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Сметный отдел\ЗАПОРОЖЧЕНКО М.Е\290729-ПС-22 Феодосийская зу 7\Замечания\Сметы, договор для МКС\17.10.2025\"/>
    </mc:Choice>
  </mc:AlternateContent>
  <xr:revisionPtr revIDLastSave="0" documentId="13_ncr:1_{29E0DCF6-CCE6-4E63-80E8-EFA43900D098}" xr6:coauthVersionLast="47" xr6:coauthVersionMax="47" xr10:uidLastSave="{00000000-0000-0000-0000-000000000000}"/>
  <bookViews>
    <workbookView xWindow="-120" yWindow="-120" windowWidth="29040" windowHeight="15720" xr2:uid="{F6105DCC-7223-46B4-A963-11C98492554F}"/>
  </bookViews>
  <sheets>
    <sheet name="Смета по ТСН-2001(с доп.43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доп.43'!$27:$27</definedName>
    <definedName name="_xlnm.Print_Area" localSheetId="0">'Смета по ТСН-2001(с доп.43'!$A$1:$K$408</definedName>
  </definedNames>
  <calcPr calcId="191029" iterate="1"/>
</workbook>
</file>

<file path=xl/calcChain.xml><?xml version="1.0" encoding="utf-8"?>
<calcChain xmlns="http://schemas.openxmlformats.org/spreadsheetml/2006/main">
  <c r="H406" i="7" l="1"/>
  <c r="H403" i="7"/>
  <c r="C406" i="7"/>
  <c r="C403" i="7"/>
  <c r="J22" i="7"/>
  <c r="J19" i="7"/>
  <c r="J18" i="7"/>
  <c r="J17" i="7"/>
  <c r="J16" i="7"/>
  <c r="J15" i="7"/>
  <c r="J14" i="7"/>
  <c r="I22" i="7"/>
  <c r="H400" i="7"/>
  <c r="J400" i="7"/>
  <c r="H399" i="7"/>
  <c r="J399" i="7"/>
  <c r="H397" i="7"/>
  <c r="J397" i="7"/>
  <c r="H396" i="7"/>
  <c r="J396" i="7"/>
  <c r="A395" i="7"/>
  <c r="H393" i="7"/>
  <c r="J393" i="7"/>
  <c r="H392" i="7"/>
  <c r="J392" i="7"/>
  <c r="A391" i="7"/>
  <c r="H389" i="7"/>
  <c r="J389" i="7"/>
  <c r="H388" i="7"/>
  <c r="J388" i="7"/>
  <c r="H387" i="7"/>
  <c r="J387" i="7"/>
  <c r="A387" i="7"/>
  <c r="A385" i="7"/>
  <c r="H383" i="7"/>
  <c r="J383" i="7"/>
  <c r="H382" i="7"/>
  <c r="J382" i="7"/>
  <c r="A381" i="7"/>
  <c r="AA378" i="7"/>
  <c r="Z378" i="7"/>
  <c r="Y378" i="7"/>
  <c r="I377" i="7"/>
  <c r="AB377" i="7" s="1"/>
  <c r="H377" i="7"/>
  <c r="G377" i="7"/>
  <c r="E377" i="7"/>
  <c r="J376" i="7"/>
  <c r="E376" i="7"/>
  <c r="J375" i="7"/>
  <c r="E375" i="7"/>
  <c r="K374" i="7"/>
  <c r="J374" i="7"/>
  <c r="H374" i="7"/>
  <c r="AA374" i="7"/>
  <c r="Z374" i="7"/>
  <c r="Y374" i="7"/>
  <c r="I374" i="7"/>
  <c r="X374" i="7" s="1"/>
  <c r="F374" i="7"/>
  <c r="V374" i="7"/>
  <c r="T374" i="7"/>
  <c r="R374" i="7"/>
  <c r="U374" i="7"/>
  <c r="S374" i="7"/>
  <c r="Q374" i="7"/>
  <c r="E374" i="7"/>
  <c r="D374" i="7"/>
  <c r="B374" i="7"/>
  <c r="K373" i="7"/>
  <c r="J373" i="7"/>
  <c r="I373" i="7"/>
  <c r="H373" i="7"/>
  <c r="G373" i="7"/>
  <c r="F373" i="7"/>
  <c r="K372" i="7"/>
  <c r="J372" i="7"/>
  <c r="I372" i="7"/>
  <c r="H372" i="7"/>
  <c r="G372" i="7"/>
  <c r="F372" i="7"/>
  <c r="C371" i="7"/>
  <c r="V370" i="7"/>
  <c r="T370" i="7"/>
  <c r="R370" i="7"/>
  <c r="K375" i="7" s="1"/>
  <c r="U370" i="7"/>
  <c r="S370" i="7"/>
  <c r="Q370" i="7"/>
  <c r="E370" i="7"/>
  <c r="D370" i="7"/>
  <c r="AA368" i="7"/>
  <c r="Z368" i="7"/>
  <c r="Y368" i="7"/>
  <c r="I367" i="7"/>
  <c r="AB367" i="7" s="1"/>
  <c r="H367" i="7"/>
  <c r="G367" i="7"/>
  <c r="E367" i="7"/>
  <c r="J366" i="7"/>
  <c r="E366" i="7"/>
  <c r="J365" i="7"/>
  <c r="E365" i="7"/>
  <c r="K364" i="7"/>
  <c r="J364" i="7"/>
  <c r="H364" i="7"/>
  <c r="AA364" i="7"/>
  <c r="Z364" i="7"/>
  <c r="Y364" i="7"/>
  <c r="I364" i="7"/>
  <c r="X364" i="7" s="1"/>
  <c r="F364" i="7"/>
  <c r="V364" i="7"/>
  <c r="T364" i="7"/>
  <c r="R364" i="7"/>
  <c r="U364" i="7"/>
  <c r="S364" i="7"/>
  <c r="Q364" i="7"/>
  <c r="E364" i="7"/>
  <c r="D364" i="7"/>
  <c r="B364" i="7"/>
  <c r="K363" i="7"/>
  <c r="J363" i="7"/>
  <c r="I363" i="7"/>
  <c r="H363" i="7"/>
  <c r="G363" i="7"/>
  <c r="F363" i="7"/>
  <c r="C362" i="7"/>
  <c r="V361" i="7"/>
  <c r="T361" i="7"/>
  <c r="K366" i="7" s="1"/>
  <c r="R361" i="7"/>
  <c r="K365" i="7" s="1"/>
  <c r="U361" i="7"/>
  <c r="S361" i="7"/>
  <c r="Q361" i="7"/>
  <c r="E361" i="7"/>
  <c r="D361" i="7"/>
  <c r="AA359" i="7"/>
  <c r="Z359" i="7"/>
  <c r="Y359" i="7"/>
  <c r="I358" i="7"/>
  <c r="AB358" i="7" s="1"/>
  <c r="H358" i="7"/>
  <c r="G358" i="7"/>
  <c r="E358" i="7"/>
  <c r="J357" i="7"/>
  <c r="E357" i="7"/>
  <c r="J356" i="7"/>
  <c r="E356" i="7"/>
  <c r="K355" i="7"/>
  <c r="J355" i="7"/>
  <c r="H355" i="7"/>
  <c r="AA355" i="7"/>
  <c r="Z355" i="7"/>
  <c r="Y355" i="7"/>
  <c r="I355" i="7"/>
  <c r="X355" i="7" s="1"/>
  <c r="F355" i="7"/>
  <c r="V355" i="7"/>
  <c r="T355" i="7"/>
  <c r="R355" i="7"/>
  <c r="U355" i="7"/>
  <c r="S355" i="7"/>
  <c r="Q355" i="7"/>
  <c r="E355" i="7"/>
  <c r="D355" i="7"/>
  <c r="B355" i="7"/>
  <c r="K354" i="7"/>
  <c r="J354" i="7"/>
  <c r="I354" i="7"/>
  <c r="H354" i="7"/>
  <c r="G354" i="7"/>
  <c r="F354" i="7"/>
  <c r="C353" i="7"/>
  <c r="V352" i="7"/>
  <c r="T352" i="7"/>
  <c r="R352" i="7"/>
  <c r="U352" i="7"/>
  <c r="S352" i="7"/>
  <c r="Q352" i="7"/>
  <c r="E352" i="7"/>
  <c r="D352" i="7"/>
  <c r="AA350" i="7"/>
  <c r="Z350" i="7"/>
  <c r="Y350" i="7"/>
  <c r="I349" i="7"/>
  <c r="AB349" i="7" s="1"/>
  <c r="H349" i="7"/>
  <c r="G349" i="7"/>
  <c r="E349" i="7"/>
  <c r="J348" i="7"/>
  <c r="E348" i="7"/>
  <c r="J347" i="7"/>
  <c r="E347" i="7"/>
  <c r="J346" i="7"/>
  <c r="E346" i="7"/>
  <c r="K345" i="7"/>
  <c r="J345" i="7"/>
  <c r="H345" i="7"/>
  <c r="AA345" i="7"/>
  <c r="Z345" i="7"/>
  <c r="Y345" i="7"/>
  <c r="I345" i="7"/>
  <c r="X345" i="7" s="1"/>
  <c r="F345" i="7"/>
  <c r="V345" i="7"/>
  <c r="T345" i="7"/>
  <c r="R345" i="7"/>
  <c r="U345" i="7"/>
  <c r="S345" i="7"/>
  <c r="Q345" i="7"/>
  <c r="E345" i="7"/>
  <c r="D345" i="7"/>
  <c r="B345" i="7"/>
  <c r="K344" i="7"/>
  <c r="J344" i="7"/>
  <c r="I344" i="7"/>
  <c r="W344" i="7" s="1"/>
  <c r="H344" i="7"/>
  <c r="G344" i="7"/>
  <c r="F344" i="7"/>
  <c r="K343" i="7"/>
  <c r="J343" i="7"/>
  <c r="I343" i="7"/>
  <c r="H343" i="7"/>
  <c r="G343" i="7"/>
  <c r="F343" i="7"/>
  <c r="K342" i="7"/>
  <c r="J342" i="7"/>
  <c r="I342" i="7"/>
  <c r="H342" i="7"/>
  <c r="G342" i="7"/>
  <c r="F342" i="7"/>
  <c r="C341" i="7"/>
  <c r="V340" i="7"/>
  <c r="K348" i="7" s="1"/>
  <c r="T340" i="7"/>
  <c r="K347" i="7" s="1"/>
  <c r="R340" i="7"/>
  <c r="U340" i="7"/>
  <c r="I348" i="7" s="1"/>
  <c r="S340" i="7"/>
  <c r="Q340" i="7"/>
  <c r="E340" i="7"/>
  <c r="D340" i="7"/>
  <c r="A339" i="7"/>
  <c r="H337" i="7"/>
  <c r="J337" i="7"/>
  <c r="H336" i="7"/>
  <c r="J336" i="7"/>
  <c r="H335" i="7"/>
  <c r="J335" i="7"/>
  <c r="A335" i="7"/>
  <c r="A333" i="7"/>
  <c r="H331" i="7"/>
  <c r="J331" i="7"/>
  <c r="H330" i="7"/>
  <c r="J330" i="7"/>
  <c r="A329" i="7"/>
  <c r="AA326" i="7"/>
  <c r="Z326" i="7"/>
  <c r="Y326" i="7"/>
  <c r="I325" i="7"/>
  <c r="AB325" i="7" s="1"/>
  <c r="H325" i="7"/>
  <c r="G325" i="7"/>
  <c r="E325" i="7"/>
  <c r="J324" i="7"/>
  <c r="E324" i="7"/>
  <c r="J323" i="7"/>
  <c r="E323" i="7"/>
  <c r="J322" i="7"/>
  <c r="E322" i="7"/>
  <c r="K321" i="7"/>
  <c r="J321" i="7"/>
  <c r="H321" i="7"/>
  <c r="AA321" i="7"/>
  <c r="Z321" i="7"/>
  <c r="Y321" i="7"/>
  <c r="I321" i="7"/>
  <c r="X321" i="7" s="1"/>
  <c r="F321" i="7"/>
  <c r="V321" i="7"/>
  <c r="T321" i="7"/>
  <c r="R321" i="7"/>
  <c r="U321" i="7"/>
  <c r="I324" i="7" s="1"/>
  <c r="S321" i="7"/>
  <c r="Q321" i="7"/>
  <c r="E321" i="7"/>
  <c r="D321" i="7"/>
  <c r="B321" i="7"/>
  <c r="K320" i="7"/>
  <c r="J320" i="7"/>
  <c r="I320" i="7"/>
  <c r="H320" i="7"/>
  <c r="G320" i="7"/>
  <c r="F320" i="7"/>
  <c r="K319" i="7"/>
  <c r="J319" i="7"/>
  <c r="I319" i="7"/>
  <c r="W319" i="7" s="1"/>
  <c r="H319" i="7"/>
  <c r="G319" i="7"/>
  <c r="F319" i="7"/>
  <c r="K318" i="7"/>
  <c r="J318" i="7"/>
  <c r="I318" i="7"/>
  <c r="H318" i="7"/>
  <c r="G318" i="7"/>
  <c r="F318" i="7"/>
  <c r="K317" i="7"/>
  <c r="J317" i="7"/>
  <c r="I317" i="7"/>
  <c r="H317" i="7"/>
  <c r="G317" i="7"/>
  <c r="F317" i="7"/>
  <c r="C316" i="7"/>
  <c r="V315" i="7"/>
  <c r="K324" i="7" s="1"/>
  <c r="T315" i="7"/>
  <c r="R315" i="7"/>
  <c r="U315" i="7"/>
  <c r="S315" i="7"/>
  <c r="Q315" i="7"/>
  <c r="E315" i="7"/>
  <c r="D315" i="7"/>
  <c r="AA313" i="7"/>
  <c r="Z313" i="7"/>
  <c r="Y313" i="7"/>
  <c r="I312" i="7"/>
  <c r="AB312" i="7" s="1"/>
  <c r="H312" i="7"/>
  <c r="G312" i="7"/>
  <c r="E312" i="7"/>
  <c r="J311" i="7"/>
  <c r="E311" i="7"/>
  <c r="J310" i="7"/>
  <c r="E310" i="7"/>
  <c r="J309" i="7"/>
  <c r="E309" i="7"/>
  <c r="K308" i="7"/>
  <c r="J308" i="7"/>
  <c r="H308" i="7"/>
  <c r="AA308" i="7"/>
  <c r="Z308" i="7"/>
  <c r="Y308" i="7"/>
  <c r="I308" i="7"/>
  <c r="X308" i="7" s="1"/>
  <c r="F308" i="7"/>
  <c r="V308" i="7"/>
  <c r="T308" i="7"/>
  <c r="K310" i="7" s="1"/>
  <c r="R308" i="7"/>
  <c r="K309" i="7" s="1"/>
  <c r="U308" i="7"/>
  <c r="I311" i="7" s="1"/>
  <c r="S308" i="7"/>
  <c r="Q308" i="7"/>
  <c r="E308" i="7"/>
  <c r="D308" i="7"/>
  <c r="K307" i="7"/>
  <c r="J307" i="7"/>
  <c r="I307" i="7"/>
  <c r="W307" i="7" s="1"/>
  <c r="H307" i="7"/>
  <c r="G307" i="7"/>
  <c r="F307" i="7"/>
  <c r="K306" i="7"/>
  <c r="J306" i="7"/>
  <c r="I306" i="7"/>
  <c r="H306" i="7"/>
  <c r="G306" i="7"/>
  <c r="F306" i="7"/>
  <c r="K305" i="7"/>
  <c r="J305" i="7"/>
  <c r="I305" i="7"/>
  <c r="H305" i="7"/>
  <c r="G305" i="7"/>
  <c r="F305" i="7"/>
  <c r="C304" i="7"/>
  <c r="V303" i="7"/>
  <c r="K311" i="7" s="1"/>
  <c r="T303" i="7"/>
  <c r="R303" i="7"/>
  <c r="U303" i="7"/>
  <c r="S303" i="7"/>
  <c r="Q303" i="7"/>
  <c r="E303" i="7"/>
  <c r="D303" i="7"/>
  <c r="AA301" i="7"/>
  <c r="Z301" i="7"/>
  <c r="Y301" i="7"/>
  <c r="I300" i="7"/>
  <c r="AB300" i="7" s="1"/>
  <c r="H300" i="7"/>
  <c r="G300" i="7"/>
  <c r="E300" i="7"/>
  <c r="J299" i="7"/>
  <c r="E299" i="7"/>
  <c r="J298" i="7"/>
  <c r="E298" i="7"/>
  <c r="J297" i="7"/>
  <c r="E297" i="7"/>
  <c r="K296" i="7"/>
  <c r="J296" i="7"/>
  <c r="H296" i="7"/>
  <c r="AA296" i="7"/>
  <c r="Z296" i="7"/>
  <c r="Y296" i="7"/>
  <c r="I296" i="7"/>
  <c r="X296" i="7" s="1"/>
  <c r="F296" i="7"/>
  <c r="V296" i="7"/>
  <c r="T296" i="7"/>
  <c r="R296" i="7"/>
  <c r="U296" i="7"/>
  <c r="S296" i="7"/>
  <c r="Q296" i="7"/>
  <c r="E296" i="7"/>
  <c r="D296" i="7"/>
  <c r="B296" i="7"/>
  <c r="K295" i="7"/>
  <c r="J295" i="7"/>
  <c r="I295" i="7"/>
  <c r="H295" i="7"/>
  <c r="G295" i="7"/>
  <c r="F295" i="7"/>
  <c r="K294" i="7"/>
  <c r="J294" i="7"/>
  <c r="I294" i="7"/>
  <c r="W294" i="7" s="1"/>
  <c r="H294" i="7"/>
  <c r="G294" i="7"/>
  <c r="F294" i="7"/>
  <c r="K293" i="7"/>
  <c r="J293" i="7"/>
  <c r="I293" i="7"/>
  <c r="H293" i="7"/>
  <c r="G293" i="7"/>
  <c r="F293" i="7"/>
  <c r="K292" i="7"/>
  <c r="J292" i="7"/>
  <c r="I292" i="7"/>
  <c r="W292" i="7" s="1"/>
  <c r="H292" i="7"/>
  <c r="G292" i="7"/>
  <c r="F292" i="7"/>
  <c r="C291" i="7"/>
  <c r="V290" i="7"/>
  <c r="K299" i="7" s="1"/>
  <c r="T290" i="7"/>
  <c r="R290" i="7"/>
  <c r="U290" i="7"/>
  <c r="S290" i="7"/>
  <c r="Q290" i="7"/>
  <c r="E290" i="7"/>
  <c r="D290" i="7"/>
  <c r="AA288" i="7"/>
  <c r="Z288" i="7"/>
  <c r="Y288" i="7"/>
  <c r="I287" i="7"/>
  <c r="AB287" i="7" s="1"/>
  <c r="H287" i="7"/>
  <c r="G287" i="7"/>
  <c r="E287" i="7"/>
  <c r="J286" i="7"/>
  <c r="I286" i="7"/>
  <c r="E286" i="7"/>
  <c r="J285" i="7"/>
  <c r="E285" i="7"/>
  <c r="J284" i="7"/>
  <c r="E284" i="7"/>
  <c r="K283" i="7"/>
  <c r="J283" i="7"/>
  <c r="H283" i="7"/>
  <c r="AA283" i="7"/>
  <c r="Z283" i="7"/>
  <c r="Y283" i="7"/>
  <c r="I283" i="7"/>
  <c r="X283" i="7" s="1"/>
  <c r="F283" i="7"/>
  <c r="V283" i="7"/>
  <c r="T283" i="7"/>
  <c r="R283" i="7"/>
  <c r="U283" i="7"/>
  <c r="S283" i="7"/>
  <c r="Q283" i="7"/>
  <c r="E283" i="7"/>
  <c r="D283" i="7"/>
  <c r="B283" i="7"/>
  <c r="K282" i="7"/>
  <c r="J282" i="7"/>
  <c r="I282" i="7"/>
  <c r="H282" i="7"/>
  <c r="G282" i="7"/>
  <c r="F282" i="7"/>
  <c r="K281" i="7"/>
  <c r="J281" i="7"/>
  <c r="I281" i="7"/>
  <c r="W281" i="7" s="1"/>
  <c r="H281" i="7"/>
  <c r="G281" i="7"/>
  <c r="F281" i="7"/>
  <c r="K280" i="7"/>
  <c r="J280" i="7"/>
  <c r="I280" i="7"/>
  <c r="H280" i="7"/>
  <c r="G280" i="7"/>
  <c r="F280" i="7"/>
  <c r="K279" i="7"/>
  <c r="J279" i="7"/>
  <c r="I279" i="7"/>
  <c r="H279" i="7"/>
  <c r="G279" i="7"/>
  <c r="F279" i="7"/>
  <c r="C278" i="7"/>
  <c r="V277" i="7"/>
  <c r="T277" i="7"/>
  <c r="R277" i="7"/>
  <c r="K284" i="7" s="1"/>
  <c r="U277" i="7"/>
  <c r="S277" i="7"/>
  <c r="Q277" i="7"/>
  <c r="E277" i="7"/>
  <c r="D277" i="7"/>
  <c r="AA275" i="7"/>
  <c r="Z275" i="7"/>
  <c r="Y275" i="7"/>
  <c r="I274" i="7"/>
  <c r="AB274" i="7" s="1"/>
  <c r="H274" i="7"/>
  <c r="G274" i="7"/>
  <c r="E274" i="7"/>
  <c r="J273" i="7"/>
  <c r="E273" i="7"/>
  <c r="J272" i="7"/>
  <c r="E272" i="7"/>
  <c r="K271" i="7"/>
  <c r="J271" i="7"/>
  <c r="H271" i="7"/>
  <c r="AA271" i="7"/>
  <c r="Z271" i="7"/>
  <c r="Y271" i="7"/>
  <c r="I271" i="7"/>
  <c r="X271" i="7" s="1"/>
  <c r="F271" i="7"/>
  <c r="V271" i="7"/>
  <c r="T271" i="7"/>
  <c r="R271" i="7"/>
  <c r="U271" i="7"/>
  <c r="S271" i="7"/>
  <c r="Q271" i="7"/>
  <c r="E271" i="7"/>
  <c r="D271" i="7"/>
  <c r="B271" i="7"/>
  <c r="K270" i="7"/>
  <c r="J270" i="7"/>
  <c r="I270" i="7"/>
  <c r="H270" i="7"/>
  <c r="G270" i="7"/>
  <c r="F270" i="7"/>
  <c r="K269" i="7"/>
  <c r="J269" i="7"/>
  <c r="I269" i="7"/>
  <c r="H269" i="7"/>
  <c r="G269" i="7"/>
  <c r="F269" i="7"/>
  <c r="C268" i="7"/>
  <c r="V267" i="7"/>
  <c r="T267" i="7"/>
  <c r="R267" i="7"/>
  <c r="U267" i="7"/>
  <c r="S267" i="7"/>
  <c r="Q267" i="7"/>
  <c r="E267" i="7"/>
  <c r="D267" i="7"/>
  <c r="AA265" i="7"/>
  <c r="Z265" i="7"/>
  <c r="Y265" i="7"/>
  <c r="I264" i="7"/>
  <c r="AB264" i="7" s="1"/>
  <c r="H264" i="7"/>
  <c r="G264" i="7"/>
  <c r="E264" i="7"/>
  <c r="J263" i="7"/>
  <c r="E263" i="7"/>
  <c r="J262" i="7"/>
  <c r="E262" i="7"/>
  <c r="J261" i="7"/>
  <c r="E261" i="7"/>
  <c r="K260" i="7"/>
  <c r="J260" i="7"/>
  <c r="H260" i="7"/>
  <c r="AA260" i="7"/>
  <c r="Z260" i="7"/>
  <c r="Y260" i="7"/>
  <c r="I260" i="7"/>
  <c r="X260" i="7" s="1"/>
  <c r="F260" i="7"/>
  <c r="V260" i="7"/>
  <c r="T260" i="7"/>
  <c r="R260" i="7"/>
  <c r="U260" i="7"/>
  <c r="S260" i="7"/>
  <c r="Q260" i="7"/>
  <c r="E260" i="7"/>
  <c r="D260" i="7"/>
  <c r="B260" i="7"/>
  <c r="K259" i="7"/>
  <c r="J259" i="7"/>
  <c r="I259" i="7"/>
  <c r="H259" i="7"/>
  <c r="G259" i="7"/>
  <c r="F259" i="7"/>
  <c r="K258" i="7"/>
  <c r="J258" i="7"/>
  <c r="I258" i="7"/>
  <c r="W258" i="7" s="1"/>
  <c r="H258" i="7"/>
  <c r="G258" i="7"/>
  <c r="F258" i="7"/>
  <c r="K257" i="7"/>
  <c r="J257" i="7"/>
  <c r="I257" i="7"/>
  <c r="H257" i="7"/>
  <c r="G257" i="7"/>
  <c r="F257" i="7"/>
  <c r="K256" i="7"/>
  <c r="J256" i="7"/>
  <c r="I256" i="7"/>
  <c r="H256" i="7"/>
  <c r="G256" i="7"/>
  <c r="F256" i="7"/>
  <c r="C255" i="7"/>
  <c r="V254" i="7"/>
  <c r="T254" i="7"/>
  <c r="K262" i="7" s="1"/>
  <c r="R254" i="7"/>
  <c r="U254" i="7"/>
  <c r="I263" i="7" s="1"/>
  <c r="S254" i="7"/>
  <c r="Q254" i="7"/>
  <c r="E254" i="7"/>
  <c r="D254" i="7"/>
  <c r="AA252" i="7"/>
  <c r="Z252" i="7"/>
  <c r="Y252" i="7"/>
  <c r="I251" i="7"/>
  <c r="AB251" i="7" s="1"/>
  <c r="H251" i="7"/>
  <c r="G251" i="7"/>
  <c r="E251" i="7"/>
  <c r="J250" i="7"/>
  <c r="E250" i="7"/>
  <c r="J249" i="7"/>
  <c r="E249" i="7"/>
  <c r="J248" i="7"/>
  <c r="I248" i="7"/>
  <c r="E248" i="7"/>
  <c r="K247" i="7"/>
  <c r="J247" i="7"/>
  <c r="H247" i="7"/>
  <c r="AA247" i="7"/>
  <c r="Z247" i="7"/>
  <c r="Y247" i="7"/>
  <c r="I247" i="7"/>
  <c r="X247" i="7" s="1"/>
  <c r="F247" i="7"/>
  <c r="V247" i="7"/>
  <c r="T247" i="7"/>
  <c r="R247" i="7"/>
  <c r="U247" i="7"/>
  <c r="S247" i="7"/>
  <c r="Q247" i="7"/>
  <c r="E247" i="7"/>
  <c r="D247" i="7"/>
  <c r="B247" i="7"/>
  <c r="K246" i="7"/>
  <c r="J246" i="7"/>
  <c r="I246" i="7"/>
  <c r="H246" i="7"/>
  <c r="G246" i="7"/>
  <c r="F246" i="7"/>
  <c r="K245" i="7"/>
  <c r="J245" i="7"/>
  <c r="I245" i="7"/>
  <c r="W245" i="7" s="1"/>
  <c r="H245" i="7"/>
  <c r="G245" i="7"/>
  <c r="F245" i="7"/>
  <c r="K244" i="7"/>
  <c r="J244" i="7"/>
  <c r="I244" i="7"/>
  <c r="H244" i="7"/>
  <c r="G244" i="7"/>
  <c r="F244" i="7"/>
  <c r="K243" i="7"/>
  <c r="J243" i="7"/>
  <c r="I243" i="7"/>
  <c r="H243" i="7"/>
  <c r="G243" i="7"/>
  <c r="F243" i="7"/>
  <c r="C242" i="7"/>
  <c r="V241" i="7"/>
  <c r="T241" i="7"/>
  <c r="R241" i="7"/>
  <c r="U241" i="7"/>
  <c r="I250" i="7" s="1"/>
  <c r="S241" i="7"/>
  <c r="I249" i="7" s="1"/>
  <c r="Q241" i="7"/>
  <c r="E241" i="7"/>
  <c r="D241" i="7"/>
  <c r="AA239" i="7"/>
  <c r="Z239" i="7"/>
  <c r="Y239" i="7"/>
  <c r="J238" i="7"/>
  <c r="I238" i="7"/>
  <c r="H239" i="7" s="1"/>
  <c r="E238" i="7"/>
  <c r="K237" i="7"/>
  <c r="J237" i="7"/>
  <c r="I237" i="7"/>
  <c r="W237" i="7" s="1"/>
  <c r="H237" i="7"/>
  <c r="G237" i="7"/>
  <c r="F237" i="7"/>
  <c r="K236" i="7"/>
  <c r="J236" i="7"/>
  <c r="I236" i="7"/>
  <c r="H236" i="7"/>
  <c r="G236" i="7"/>
  <c r="F236" i="7"/>
  <c r="C235" i="7"/>
  <c r="V234" i="7"/>
  <c r="K238" i="7" s="1"/>
  <c r="P239" i="7" s="1"/>
  <c r="T234" i="7"/>
  <c r="R234" i="7"/>
  <c r="U234" i="7"/>
  <c r="S234" i="7"/>
  <c r="Q234" i="7"/>
  <c r="E234" i="7"/>
  <c r="D234" i="7"/>
  <c r="AA232" i="7"/>
  <c r="Z232" i="7"/>
  <c r="Y232" i="7"/>
  <c r="I231" i="7"/>
  <c r="AB231" i="7" s="1"/>
  <c r="H231" i="7"/>
  <c r="G231" i="7"/>
  <c r="E231" i="7"/>
  <c r="J230" i="7"/>
  <c r="E230" i="7"/>
  <c r="J229" i="7"/>
  <c r="E229" i="7"/>
  <c r="J228" i="7"/>
  <c r="E228" i="7"/>
  <c r="K227" i="7"/>
  <c r="J227" i="7"/>
  <c r="I227" i="7"/>
  <c r="W227" i="7" s="1"/>
  <c r="H227" i="7"/>
  <c r="G227" i="7"/>
  <c r="F227" i="7"/>
  <c r="K226" i="7"/>
  <c r="J226" i="7"/>
  <c r="I226" i="7"/>
  <c r="H226" i="7"/>
  <c r="G226" i="7"/>
  <c r="F226" i="7"/>
  <c r="K225" i="7"/>
  <c r="J225" i="7"/>
  <c r="I225" i="7"/>
  <c r="W225" i="7" s="1"/>
  <c r="H225" i="7"/>
  <c r="G225" i="7"/>
  <c r="F225" i="7"/>
  <c r="C224" i="7"/>
  <c r="V223" i="7"/>
  <c r="K230" i="7" s="1"/>
  <c r="T223" i="7"/>
  <c r="K229" i="7" s="1"/>
  <c r="R223" i="7"/>
  <c r="K228" i="7" s="1"/>
  <c r="U223" i="7"/>
  <c r="I230" i="7" s="1"/>
  <c r="S223" i="7"/>
  <c r="I229" i="7" s="1"/>
  <c r="Q223" i="7"/>
  <c r="I228" i="7" s="1"/>
  <c r="E223" i="7"/>
  <c r="D223" i="7"/>
  <c r="AA221" i="7"/>
  <c r="Z221" i="7"/>
  <c r="Y221" i="7"/>
  <c r="I220" i="7"/>
  <c r="AB220" i="7" s="1"/>
  <c r="H220" i="7"/>
  <c r="G220" i="7"/>
  <c r="E220" i="7"/>
  <c r="J219" i="7"/>
  <c r="E219" i="7"/>
  <c r="J218" i="7"/>
  <c r="E218" i="7"/>
  <c r="J217" i="7"/>
  <c r="E217" i="7"/>
  <c r="K216" i="7"/>
  <c r="J216" i="7"/>
  <c r="I216" i="7"/>
  <c r="W216" i="7" s="1"/>
  <c r="H216" i="7"/>
  <c r="G216" i="7"/>
  <c r="F216" i="7"/>
  <c r="K215" i="7"/>
  <c r="J215" i="7"/>
  <c r="I215" i="7"/>
  <c r="H215" i="7"/>
  <c r="G215" i="7"/>
  <c r="F215" i="7"/>
  <c r="K214" i="7"/>
  <c r="J214" i="7"/>
  <c r="I214" i="7"/>
  <c r="H214" i="7"/>
  <c r="G214" i="7"/>
  <c r="F214" i="7"/>
  <c r="C213" i="7"/>
  <c r="V212" i="7"/>
  <c r="K219" i="7" s="1"/>
  <c r="T212" i="7"/>
  <c r="K218" i="7" s="1"/>
  <c r="R212" i="7"/>
  <c r="K217" i="7" s="1"/>
  <c r="U212" i="7"/>
  <c r="I219" i="7" s="1"/>
  <c r="S212" i="7"/>
  <c r="I218" i="7" s="1"/>
  <c r="Q212" i="7"/>
  <c r="I217" i="7" s="1"/>
  <c r="E212" i="7"/>
  <c r="D212" i="7"/>
  <c r="A211" i="7"/>
  <c r="A209" i="7"/>
  <c r="H207" i="7"/>
  <c r="J207" i="7"/>
  <c r="H206" i="7"/>
  <c r="J206" i="7"/>
  <c r="A205" i="7"/>
  <c r="AA202" i="7"/>
  <c r="Z202" i="7"/>
  <c r="X202" i="7"/>
  <c r="I201" i="7"/>
  <c r="AB201" i="7" s="1"/>
  <c r="H201" i="7"/>
  <c r="G201" i="7"/>
  <c r="E201" i="7"/>
  <c r="J200" i="7"/>
  <c r="E200" i="7"/>
  <c r="J199" i="7"/>
  <c r="E199" i="7"/>
  <c r="J198" i="7"/>
  <c r="I198" i="7"/>
  <c r="E198" i="7"/>
  <c r="K197" i="7"/>
  <c r="J197" i="7"/>
  <c r="I197" i="7"/>
  <c r="H197" i="7"/>
  <c r="G197" i="7"/>
  <c r="F197" i="7"/>
  <c r="K196" i="7"/>
  <c r="J196" i="7"/>
  <c r="I196" i="7"/>
  <c r="W196" i="7" s="1"/>
  <c r="H196" i="7"/>
  <c r="G196" i="7"/>
  <c r="F196" i="7"/>
  <c r="K195" i="7"/>
  <c r="J195" i="7"/>
  <c r="I195" i="7"/>
  <c r="H195" i="7"/>
  <c r="G195" i="7"/>
  <c r="F195" i="7"/>
  <c r="K194" i="7"/>
  <c r="J194" i="7"/>
  <c r="I194" i="7"/>
  <c r="W194" i="7" s="1"/>
  <c r="H194" i="7"/>
  <c r="G194" i="7"/>
  <c r="F194" i="7"/>
  <c r="C193" i="7"/>
  <c r="V192" i="7"/>
  <c r="K200" i="7" s="1"/>
  <c r="T192" i="7"/>
  <c r="K199" i="7" s="1"/>
  <c r="R192" i="7"/>
  <c r="K198" i="7" s="1"/>
  <c r="U192" i="7"/>
  <c r="I200" i="7" s="1"/>
  <c r="S192" i="7"/>
  <c r="I199" i="7" s="1"/>
  <c r="Q192" i="7"/>
  <c r="E192" i="7"/>
  <c r="D192" i="7"/>
  <c r="B192" i="7"/>
  <c r="AA190" i="7"/>
  <c r="Z190" i="7"/>
  <c r="X190" i="7"/>
  <c r="I189" i="7"/>
  <c r="AB189" i="7" s="1"/>
  <c r="H189" i="7"/>
  <c r="G189" i="7"/>
  <c r="E189" i="7"/>
  <c r="J188" i="7"/>
  <c r="E188" i="7"/>
  <c r="J187" i="7"/>
  <c r="E187" i="7"/>
  <c r="J186" i="7"/>
  <c r="E186" i="7"/>
  <c r="K185" i="7"/>
  <c r="J185" i="7"/>
  <c r="I185" i="7"/>
  <c r="H185" i="7"/>
  <c r="G185" i="7"/>
  <c r="F185" i="7"/>
  <c r="K184" i="7"/>
  <c r="J184" i="7"/>
  <c r="I184" i="7"/>
  <c r="W184" i="7" s="1"/>
  <c r="H184" i="7"/>
  <c r="G184" i="7"/>
  <c r="F184" i="7"/>
  <c r="K183" i="7"/>
  <c r="J183" i="7"/>
  <c r="I183" i="7"/>
  <c r="H183" i="7"/>
  <c r="G183" i="7"/>
  <c r="F183" i="7"/>
  <c r="K182" i="7"/>
  <c r="J182" i="7"/>
  <c r="I182" i="7"/>
  <c r="W182" i="7" s="1"/>
  <c r="H182" i="7"/>
  <c r="G182" i="7"/>
  <c r="F182" i="7"/>
  <c r="C181" i="7"/>
  <c r="V180" i="7"/>
  <c r="K188" i="7" s="1"/>
  <c r="T180" i="7"/>
  <c r="K187" i="7" s="1"/>
  <c r="R180" i="7"/>
  <c r="K186" i="7" s="1"/>
  <c r="U180" i="7"/>
  <c r="I188" i="7" s="1"/>
  <c r="S180" i="7"/>
  <c r="I187" i="7" s="1"/>
  <c r="Q180" i="7"/>
  <c r="I186" i="7" s="1"/>
  <c r="E180" i="7"/>
  <c r="D180" i="7"/>
  <c r="B180" i="7"/>
  <c r="AA178" i="7"/>
  <c r="Z178" i="7"/>
  <c r="X178" i="7"/>
  <c r="AB177" i="7"/>
  <c r="I177" i="7"/>
  <c r="H177" i="7"/>
  <c r="G177" i="7"/>
  <c r="E177" i="7"/>
  <c r="J176" i="7"/>
  <c r="E176" i="7"/>
  <c r="J175" i="7"/>
  <c r="E175" i="7"/>
  <c r="J174" i="7"/>
  <c r="E174" i="7"/>
  <c r="K173" i="7"/>
  <c r="J173" i="7"/>
  <c r="I173" i="7"/>
  <c r="H173" i="7"/>
  <c r="G173" i="7"/>
  <c r="F173" i="7"/>
  <c r="K172" i="7"/>
  <c r="J172" i="7"/>
  <c r="I172" i="7"/>
  <c r="W172" i="7" s="1"/>
  <c r="H172" i="7"/>
  <c r="G172" i="7"/>
  <c r="F172" i="7"/>
  <c r="K171" i="7"/>
  <c r="J171" i="7"/>
  <c r="I171" i="7"/>
  <c r="H171" i="7"/>
  <c r="G171" i="7"/>
  <c r="F171" i="7"/>
  <c r="K170" i="7"/>
  <c r="J170" i="7"/>
  <c r="I170" i="7"/>
  <c r="W170" i="7" s="1"/>
  <c r="H170" i="7"/>
  <c r="G170" i="7"/>
  <c r="F170" i="7"/>
  <c r="C169" i="7"/>
  <c r="V168" i="7"/>
  <c r="K176" i="7" s="1"/>
  <c r="T168" i="7"/>
  <c r="K175" i="7" s="1"/>
  <c r="R168" i="7"/>
  <c r="K174" i="7" s="1"/>
  <c r="U168" i="7"/>
  <c r="I176" i="7" s="1"/>
  <c r="S168" i="7"/>
  <c r="I175" i="7" s="1"/>
  <c r="Q168" i="7"/>
  <c r="I174" i="7" s="1"/>
  <c r="E168" i="7"/>
  <c r="D168" i="7"/>
  <c r="B168" i="7"/>
  <c r="AA166" i="7"/>
  <c r="Z166" i="7"/>
  <c r="X166" i="7"/>
  <c r="I165" i="7"/>
  <c r="AB165" i="7" s="1"/>
  <c r="H165" i="7"/>
  <c r="G165" i="7"/>
  <c r="E165" i="7"/>
  <c r="J164" i="7"/>
  <c r="E164" i="7"/>
  <c r="J163" i="7"/>
  <c r="E163" i="7"/>
  <c r="J162" i="7"/>
  <c r="I162" i="7"/>
  <c r="E162" i="7"/>
  <c r="K161" i="7"/>
  <c r="J161" i="7"/>
  <c r="I161" i="7"/>
  <c r="H161" i="7"/>
  <c r="G161" i="7"/>
  <c r="F161" i="7"/>
  <c r="K160" i="7"/>
  <c r="J160" i="7"/>
  <c r="I160" i="7"/>
  <c r="W160" i="7" s="1"/>
  <c r="H160" i="7"/>
  <c r="G160" i="7"/>
  <c r="F160" i="7"/>
  <c r="K159" i="7"/>
  <c r="J159" i="7"/>
  <c r="I159" i="7"/>
  <c r="H159" i="7"/>
  <c r="G159" i="7"/>
  <c r="F159" i="7"/>
  <c r="K158" i="7"/>
  <c r="J158" i="7"/>
  <c r="I158" i="7"/>
  <c r="W158" i="7" s="1"/>
  <c r="H158" i="7"/>
  <c r="G158" i="7"/>
  <c r="F158" i="7"/>
  <c r="C157" i="7"/>
  <c r="V156" i="7"/>
  <c r="K164" i="7" s="1"/>
  <c r="T156" i="7"/>
  <c r="K163" i="7" s="1"/>
  <c r="R156" i="7"/>
  <c r="K162" i="7" s="1"/>
  <c r="U156" i="7"/>
  <c r="I164" i="7" s="1"/>
  <c r="S156" i="7"/>
  <c r="I163" i="7" s="1"/>
  <c r="Q156" i="7"/>
  <c r="E156" i="7"/>
  <c r="D156" i="7"/>
  <c r="B156" i="7"/>
  <c r="AA154" i="7"/>
  <c r="Z154" i="7"/>
  <c r="X154" i="7"/>
  <c r="C153" i="7"/>
  <c r="K152" i="7"/>
  <c r="J154" i="7" s="1"/>
  <c r="J152" i="7"/>
  <c r="I152" i="7"/>
  <c r="H154" i="7" s="1"/>
  <c r="H152" i="7"/>
  <c r="G152" i="7"/>
  <c r="F152" i="7"/>
  <c r="V152" i="7"/>
  <c r="T152" i="7"/>
  <c r="R152" i="7"/>
  <c r="U152" i="7"/>
  <c r="S152" i="7"/>
  <c r="Q152" i="7"/>
  <c r="E152" i="7"/>
  <c r="D152" i="7"/>
  <c r="AA150" i="7"/>
  <c r="Z150" i="7"/>
  <c r="X150" i="7"/>
  <c r="I149" i="7"/>
  <c r="AB149" i="7" s="1"/>
  <c r="H149" i="7"/>
  <c r="G149" i="7"/>
  <c r="E149" i="7"/>
  <c r="J148" i="7"/>
  <c r="I148" i="7"/>
  <c r="E148" i="7"/>
  <c r="J147" i="7"/>
  <c r="E147" i="7"/>
  <c r="J146" i="7"/>
  <c r="I146" i="7"/>
  <c r="E146" i="7"/>
  <c r="K145" i="7"/>
  <c r="J145" i="7"/>
  <c r="I145" i="7"/>
  <c r="H145" i="7"/>
  <c r="G145" i="7"/>
  <c r="F145" i="7"/>
  <c r="K144" i="7"/>
  <c r="J144" i="7"/>
  <c r="I144" i="7"/>
  <c r="W144" i="7" s="1"/>
  <c r="H144" i="7"/>
  <c r="G144" i="7"/>
  <c r="F144" i="7"/>
  <c r="K143" i="7"/>
  <c r="J143" i="7"/>
  <c r="I143" i="7"/>
  <c r="H143" i="7"/>
  <c r="G143" i="7"/>
  <c r="F143" i="7"/>
  <c r="K142" i="7"/>
  <c r="J142" i="7"/>
  <c r="I142" i="7"/>
  <c r="W142" i="7" s="1"/>
  <c r="H142" i="7"/>
  <c r="G142" i="7"/>
  <c r="F142" i="7"/>
  <c r="C141" i="7"/>
  <c r="V140" i="7"/>
  <c r="K148" i="7" s="1"/>
  <c r="T140" i="7"/>
  <c r="K147" i="7" s="1"/>
  <c r="R140" i="7"/>
  <c r="K146" i="7" s="1"/>
  <c r="U140" i="7"/>
  <c r="S140" i="7"/>
  <c r="I147" i="7" s="1"/>
  <c r="Q140" i="7"/>
  <c r="E140" i="7"/>
  <c r="D140" i="7"/>
  <c r="AA138" i="7"/>
  <c r="Z138" i="7"/>
  <c r="X138" i="7"/>
  <c r="I137" i="7"/>
  <c r="AB137" i="7" s="1"/>
  <c r="H137" i="7"/>
  <c r="G137" i="7"/>
  <c r="E137" i="7"/>
  <c r="J136" i="7"/>
  <c r="E136" i="7"/>
  <c r="J135" i="7"/>
  <c r="I135" i="7"/>
  <c r="E135" i="7"/>
  <c r="K134" i="7"/>
  <c r="J134" i="7"/>
  <c r="I134" i="7"/>
  <c r="E134" i="7"/>
  <c r="K133" i="7"/>
  <c r="J133" i="7"/>
  <c r="I133" i="7"/>
  <c r="H133" i="7"/>
  <c r="G133" i="7"/>
  <c r="F133" i="7"/>
  <c r="K132" i="7"/>
  <c r="J132" i="7"/>
  <c r="I132" i="7"/>
  <c r="W132" i="7" s="1"/>
  <c r="H132" i="7"/>
  <c r="G132" i="7"/>
  <c r="F132" i="7"/>
  <c r="K131" i="7"/>
  <c r="J131" i="7"/>
  <c r="I131" i="7"/>
  <c r="H131" i="7"/>
  <c r="G131" i="7"/>
  <c r="F131" i="7"/>
  <c r="K130" i="7"/>
  <c r="J130" i="7"/>
  <c r="I130" i="7"/>
  <c r="W130" i="7" s="1"/>
  <c r="H130" i="7"/>
  <c r="G130" i="7"/>
  <c r="F130" i="7"/>
  <c r="C129" i="7"/>
  <c r="V128" i="7"/>
  <c r="K136" i="7" s="1"/>
  <c r="T128" i="7"/>
  <c r="K135" i="7" s="1"/>
  <c r="R128" i="7"/>
  <c r="U128" i="7"/>
  <c r="I136" i="7" s="1"/>
  <c r="S128" i="7"/>
  <c r="Q128" i="7"/>
  <c r="E128" i="7"/>
  <c r="D128" i="7"/>
  <c r="AA126" i="7"/>
  <c r="Z126" i="7"/>
  <c r="Y126" i="7"/>
  <c r="K125" i="7"/>
  <c r="P126" i="7" s="1"/>
  <c r="J125" i="7"/>
  <c r="I125" i="7"/>
  <c r="X126" i="7" s="1"/>
  <c r="H125" i="7"/>
  <c r="G125" i="7"/>
  <c r="F125" i="7"/>
  <c r="V125" i="7"/>
  <c r="T125" i="7"/>
  <c r="R125" i="7"/>
  <c r="U125" i="7"/>
  <c r="S125" i="7"/>
  <c r="Q125" i="7"/>
  <c r="E125" i="7"/>
  <c r="D125" i="7"/>
  <c r="AA123" i="7"/>
  <c r="Z123" i="7"/>
  <c r="X123" i="7"/>
  <c r="I122" i="7"/>
  <c r="AB122" i="7" s="1"/>
  <c r="H122" i="7"/>
  <c r="G122" i="7"/>
  <c r="E122" i="7"/>
  <c r="J121" i="7"/>
  <c r="E121" i="7"/>
  <c r="J120" i="7"/>
  <c r="E120" i="7"/>
  <c r="J119" i="7"/>
  <c r="E119" i="7"/>
  <c r="K118" i="7"/>
  <c r="J118" i="7"/>
  <c r="I118" i="7"/>
  <c r="W118" i="7" s="1"/>
  <c r="H118" i="7"/>
  <c r="G118" i="7"/>
  <c r="F118" i="7"/>
  <c r="K117" i="7"/>
  <c r="J117" i="7"/>
  <c r="I117" i="7"/>
  <c r="H117" i="7"/>
  <c r="G117" i="7"/>
  <c r="F117" i="7"/>
  <c r="K116" i="7"/>
  <c r="J116" i="7"/>
  <c r="I116" i="7"/>
  <c r="W116" i="7" s="1"/>
  <c r="H116" i="7"/>
  <c r="G116" i="7"/>
  <c r="F116" i="7"/>
  <c r="C115" i="7"/>
  <c r="V114" i="7"/>
  <c r="K121" i="7" s="1"/>
  <c r="T114" i="7"/>
  <c r="K120" i="7" s="1"/>
  <c r="R114" i="7"/>
  <c r="K119" i="7" s="1"/>
  <c r="U114" i="7"/>
  <c r="I121" i="7" s="1"/>
  <c r="S114" i="7"/>
  <c r="I120" i="7" s="1"/>
  <c r="Q114" i="7"/>
  <c r="I119" i="7" s="1"/>
  <c r="E114" i="7"/>
  <c r="D114" i="7"/>
  <c r="AA112" i="7"/>
  <c r="Z112" i="7"/>
  <c r="X112" i="7"/>
  <c r="I111" i="7"/>
  <c r="AB111" i="7" s="1"/>
  <c r="H111" i="7"/>
  <c r="G111" i="7"/>
  <c r="E111" i="7"/>
  <c r="K110" i="7"/>
  <c r="J110" i="7"/>
  <c r="E110" i="7"/>
  <c r="J109" i="7"/>
  <c r="E109" i="7"/>
  <c r="J108" i="7"/>
  <c r="E108" i="7"/>
  <c r="K107" i="7"/>
  <c r="J107" i="7"/>
  <c r="I107" i="7"/>
  <c r="W107" i="7" s="1"/>
  <c r="H107" i="7"/>
  <c r="G107" i="7"/>
  <c r="F107" i="7"/>
  <c r="K106" i="7"/>
  <c r="J106" i="7"/>
  <c r="I106" i="7"/>
  <c r="H106" i="7"/>
  <c r="G106" i="7"/>
  <c r="F106" i="7"/>
  <c r="K105" i="7"/>
  <c r="J105" i="7"/>
  <c r="I105" i="7"/>
  <c r="W105" i="7" s="1"/>
  <c r="H105" i="7"/>
  <c r="G105" i="7"/>
  <c r="F105" i="7"/>
  <c r="C104" i="7"/>
  <c r="V103" i="7"/>
  <c r="T103" i="7"/>
  <c r="K109" i="7" s="1"/>
  <c r="R103" i="7"/>
  <c r="K108" i="7" s="1"/>
  <c r="U103" i="7"/>
  <c r="I110" i="7" s="1"/>
  <c r="S103" i="7"/>
  <c r="I109" i="7" s="1"/>
  <c r="Q103" i="7"/>
  <c r="I108" i="7" s="1"/>
  <c r="E103" i="7"/>
  <c r="D103" i="7"/>
  <c r="AA101" i="7"/>
  <c r="Z101" i="7"/>
  <c r="X101" i="7"/>
  <c r="I100" i="7"/>
  <c r="AB100" i="7" s="1"/>
  <c r="H100" i="7"/>
  <c r="G100" i="7"/>
  <c r="E100" i="7"/>
  <c r="J99" i="7"/>
  <c r="E99" i="7"/>
  <c r="J98" i="7"/>
  <c r="E98" i="7"/>
  <c r="J97" i="7"/>
  <c r="E97" i="7"/>
  <c r="K96" i="7"/>
  <c r="J96" i="7"/>
  <c r="I96" i="7"/>
  <c r="W96" i="7" s="1"/>
  <c r="H96" i="7"/>
  <c r="G96" i="7"/>
  <c r="F96" i="7"/>
  <c r="K95" i="7"/>
  <c r="J95" i="7"/>
  <c r="I95" i="7"/>
  <c r="H95" i="7"/>
  <c r="G95" i="7"/>
  <c r="F95" i="7"/>
  <c r="K94" i="7"/>
  <c r="J94" i="7"/>
  <c r="I94" i="7"/>
  <c r="H94" i="7"/>
  <c r="G94" i="7"/>
  <c r="F94" i="7"/>
  <c r="C93" i="7"/>
  <c r="V92" i="7"/>
  <c r="K99" i="7" s="1"/>
  <c r="T92" i="7"/>
  <c r="K98" i="7" s="1"/>
  <c r="R92" i="7"/>
  <c r="K97" i="7" s="1"/>
  <c r="U92" i="7"/>
  <c r="I99" i="7" s="1"/>
  <c r="S92" i="7"/>
  <c r="I98" i="7" s="1"/>
  <c r="Q92" i="7"/>
  <c r="I97" i="7" s="1"/>
  <c r="E92" i="7"/>
  <c r="D92" i="7"/>
  <c r="AA90" i="7"/>
  <c r="Z90" i="7"/>
  <c r="X90" i="7"/>
  <c r="I89" i="7"/>
  <c r="AB89" i="7" s="1"/>
  <c r="H89" i="7"/>
  <c r="G89" i="7"/>
  <c r="E89" i="7"/>
  <c r="J88" i="7"/>
  <c r="E88" i="7"/>
  <c r="J87" i="7"/>
  <c r="E87" i="7"/>
  <c r="J86" i="7"/>
  <c r="E86" i="7"/>
  <c r="K85" i="7"/>
  <c r="J85" i="7"/>
  <c r="I85" i="7"/>
  <c r="W85" i="7" s="1"/>
  <c r="H85" i="7"/>
  <c r="G85" i="7"/>
  <c r="F85" i="7"/>
  <c r="K84" i="7"/>
  <c r="J84" i="7"/>
  <c r="I84" i="7"/>
  <c r="H84" i="7"/>
  <c r="G84" i="7"/>
  <c r="F84" i="7"/>
  <c r="K83" i="7"/>
  <c r="J83" i="7"/>
  <c r="I83" i="7"/>
  <c r="H83" i="7"/>
  <c r="G83" i="7"/>
  <c r="F83" i="7"/>
  <c r="C82" i="7"/>
  <c r="V81" i="7"/>
  <c r="K88" i="7" s="1"/>
  <c r="T81" i="7"/>
  <c r="K87" i="7" s="1"/>
  <c r="R81" i="7"/>
  <c r="K86" i="7" s="1"/>
  <c r="U81" i="7"/>
  <c r="I88" i="7" s="1"/>
  <c r="S81" i="7"/>
  <c r="I87" i="7" s="1"/>
  <c r="Q81" i="7"/>
  <c r="I86" i="7" s="1"/>
  <c r="E81" i="7"/>
  <c r="D81" i="7"/>
  <c r="A80" i="7"/>
  <c r="H78" i="7"/>
  <c r="J78" i="7"/>
  <c r="H77" i="7"/>
  <c r="J77" i="7"/>
  <c r="A76" i="7"/>
  <c r="AA73" i="7"/>
  <c r="Z73" i="7"/>
  <c r="Y73" i="7"/>
  <c r="J72" i="7"/>
  <c r="E72" i="7"/>
  <c r="K71" i="7"/>
  <c r="J71" i="7"/>
  <c r="I71" i="7"/>
  <c r="W71" i="7" s="1"/>
  <c r="H71" i="7"/>
  <c r="G71" i="7"/>
  <c r="F71" i="7"/>
  <c r="K70" i="7"/>
  <c r="J70" i="7"/>
  <c r="I70" i="7"/>
  <c r="H70" i="7"/>
  <c r="G70" i="7"/>
  <c r="F70" i="7"/>
  <c r="C69" i="7"/>
  <c r="V68" i="7"/>
  <c r="K72" i="7" s="1"/>
  <c r="T68" i="7"/>
  <c r="R68" i="7"/>
  <c r="U68" i="7"/>
  <c r="I72" i="7" s="1"/>
  <c r="S68" i="7"/>
  <c r="Q68" i="7"/>
  <c r="E68" i="7"/>
  <c r="D68" i="7"/>
  <c r="AA66" i="7"/>
  <c r="Z66" i="7"/>
  <c r="Y66" i="7"/>
  <c r="I65" i="7"/>
  <c r="AB65" i="7" s="1"/>
  <c r="H65" i="7"/>
  <c r="G65" i="7"/>
  <c r="E65" i="7"/>
  <c r="J64" i="7"/>
  <c r="E64" i="7"/>
  <c r="J63" i="7"/>
  <c r="E63" i="7"/>
  <c r="K62" i="7"/>
  <c r="J62" i="7"/>
  <c r="I62" i="7"/>
  <c r="X66" i="7" s="1"/>
  <c r="H62" i="7"/>
  <c r="G62" i="7"/>
  <c r="F62" i="7"/>
  <c r="C61" i="7"/>
  <c r="V60" i="7"/>
  <c r="T60" i="7"/>
  <c r="K64" i="7" s="1"/>
  <c r="R60" i="7"/>
  <c r="K63" i="7" s="1"/>
  <c r="U60" i="7"/>
  <c r="S60" i="7"/>
  <c r="I64" i="7" s="1"/>
  <c r="Q60" i="7"/>
  <c r="I63" i="7" s="1"/>
  <c r="E60" i="7"/>
  <c r="D60" i="7"/>
  <c r="AA58" i="7"/>
  <c r="Z58" i="7"/>
  <c r="Y58" i="7"/>
  <c r="I57" i="7"/>
  <c r="AB57" i="7" s="1"/>
  <c r="H57" i="7"/>
  <c r="G57" i="7"/>
  <c r="E57" i="7"/>
  <c r="J56" i="7"/>
  <c r="E56" i="7"/>
  <c r="J55" i="7"/>
  <c r="E55" i="7"/>
  <c r="J54" i="7"/>
  <c r="I54" i="7"/>
  <c r="E54" i="7"/>
  <c r="K53" i="7"/>
  <c r="J53" i="7"/>
  <c r="I53" i="7"/>
  <c r="W53" i="7" s="1"/>
  <c r="H53" i="7"/>
  <c r="G53" i="7"/>
  <c r="F53" i="7"/>
  <c r="K52" i="7"/>
  <c r="J52" i="7"/>
  <c r="I52" i="7"/>
  <c r="H52" i="7"/>
  <c r="G52" i="7"/>
  <c r="F52" i="7"/>
  <c r="K51" i="7"/>
  <c r="J51" i="7"/>
  <c r="I51" i="7"/>
  <c r="H51" i="7"/>
  <c r="G51" i="7"/>
  <c r="F51" i="7"/>
  <c r="C50" i="7"/>
  <c r="V49" i="7"/>
  <c r="K56" i="7" s="1"/>
  <c r="T49" i="7"/>
  <c r="K55" i="7" s="1"/>
  <c r="R49" i="7"/>
  <c r="K54" i="7" s="1"/>
  <c r="U49" i="7"/>
  <c r="I56" i="7" s="1"/>
  <c r="S49" i="7"/>
  <c r="I55" i="7" s="1"/>
  <c r="Q49" i="7"/>
  <c r="E49" i="7"/>
  <c r="D49" i="7"/>
  <c r="AA47" i="7"/>
  <c r="Z47" i="7"/>
  <c r="Y47" i="7"/>
  <c r="I46" i="7"/>
  <c r="AB46" i="7" s="1"/>
  <c r="H46" i="7"/>
  <c r="G46" i="7"/>
  <c r="E46" i="7"/>
  <c r="K45" i="7"/>
  <c r="J45" i="7"/>
  <c r="E45" i="7"/>
  <c r="J44" i="7"/>
  <c r="E44" i="7"/>
  <c r="J43" i="7"/>
  <c r="E43" i="7"/>
  <c r="K42" i="7"/>
  <c r="J42" i="7"/>
  <c r="I42" i="7"/>
  <c r="W42" i="7" s="1"/>
  <c r="H42" i="7"/>
  <c r="G42" i="7"/>
  <c r="F42" i="7"/>
  <c r="K41" i="7"/>
  <c r="J41" i="7"/>
  <c r="I41" i="7"/>
  <c r="H41" i="7"/>
  <c r="G41" i="7"/>
  <c r="F41" i="7"/>
  <c r="K40" i="7"/>
  <c r="J40" i="7"/>
  <c r="I40" i="7"/>
  <c r="H40" i="7"/>
  <c r="G40" i="7"/>
  <c r="F40" i="7"/>
  <c r="C39" i="7"/>
  <c r="V38" i="7"/>
  <c r="T38" i="7"/>
  <c r="K44" i="7" s="1"/>
  <c r="R38" i="7"/>
  <c r="K43" i="7" s="1"/>
  <c r="U38" i="7"/>
  <c r="I45" i="7" s="1"/>
  <c r="S38" i="7"/>
  <c r="I44" i="7" s="1"/>
  <c r="Q38" i="7"/>
  <c r="I43" i="7" s="1"/>
  <c r="E38" i="7"/>
  <c r="D38" i="7"/>
  <c r="AA36" i="7"/>
  <c r="Z36" i="7"/>
  <c r="Y36" i="7"/>
  <c r="I35" i="7"/>
  <c r="AB35" i="7" s="1"/>
  <c r="H35" i="7"/>
  <c r="G35" i="7"/>
  <c r="E35" i="7"/>
  <c r="J34" i="7"/>
  <c r="E34" i="7"/>
  <c r="J33" i="7"/>
  <c r="E33" i="7"/>
  <c r="K32" i="7"/>
  <c r="J32" i="7"/>
  <c r="I32" i="7"/>
  <c r="H32" i="7"/>
  <c r="G32" i="7"/>
  <c r="F32" i="7"/>
  <c r="C31" i="7"/>
  <c r="V30" i="7"/>
  <c r="T30" i="7"/>
  <c r="K34" i="7" s="1"/>
  <c r="R30" i="7"/>
  <c r="K33" i="7" s="1"/>
  <c r="U30" i="7"/>
  <c r="S30" i="7"/>
  <c r="I34" i="7" s="1"/>
  <c r="Q30" i="7"/>
  <c r="I33" i="7" s="1"/>
  <c r="E30" i="7"/>
  <c r="D30" i="7"/>
  <c r="A29" i="7"/>
  <c r="A11" i="7"/>
  <c r="A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1" i="3"/>
  <c r="Y1" i="3"/>
  <c r="CX1" i="3" s="1"/>
  <c r="CU1" i="3"/>
  <c r="CV1" i="3"/>
  <c r="CY1" i="3"/>
  <c r="CZ1" i="3"/>
  <c r="DB1" i="3" s="1"/>
  <c r="DA1" i="3"/>
  <c r="DC1" i="3"/>
  <c r="A2" i="3"/>
  <c r="Y2" i="3"/>
  <c r="CY2" i="3"/>
  <c r="CZ2" i="3"/>
  <c r="DA2" i="3"/>
  <c r="DB2" i="3"/>
  <c r="DC2" i="3"/>
  <c r="A3" i="3"/>
  <c r="Y3" i="3"/>
  <c r="CY3" i="3"/>
  <c r="CZ3" i="3"/>
  <c r="DA3" i="3"/>
  <c r="DB3" i="3"/>
  <c r="DC3" i="3"/>
  <c r="A4" i="3"/>
  <c r="Y4" i="3"/>
  <c r="CY4" i="3"/>
  <c r="CZ4" i="3"/>
  <c r="DB4" i="3" s="1"/>
  <c r="DA4" i="3"/>
  <c r="DC4" i="3"/>
  <c r="A5" i="3"/>
  <c r="Y5" i="3"/>
  <c r="CY5" i="3"/>
  <c r="CZ5" i="3"/>
  <c r="DA5" i="3"/>
  <c r="DB5" i="3"/>
  <c r="DC5" i="3"/>
  <c r="A6" i="3"/>
  <c r="Y6" i="3"/>
  <c r="CY6" i="3"/>
  <c r="CZ6" i="3"/>
  <c r="DB6" i="3" s="1"/>
  <c r="DA6" i="3"/>
  <c r="DC6" i="3"/>
  <c r="A7" i="3"/>
  <c r="Y7" i="3"/>
  <c r="CU7" i="3"/>
  <c r="CX7" i="3"/>
  <c r="CY7" i="3"/>
  <c r="CZ7" i="3"/>
  <c r="DB7" i="3" s="1"/>
  <c r="DA7" i="3"/>
  <c r="DC7" i="3"/>
  <c r="A8" i="3"/>
  <c r="Y8" i="3"/>
  <c r="CY8" i="3"/>
  <c r="CZ8" i="3"/>
  <c r="DA8" i="3"/>
  <c r="DB8" i="3"/>
  <c r="DC8" i="3"/>
  <c r="A9" i="3"/>
  <c r="Y9" i="3"/>
  <c r="CY9" i="3"/>
  <c r="CZ9" i="3"/>
  <c r="DA9" i="3"/>
  <c r="DB9" i="3"/>
  <c r="DC9" i="3"/>
  <c r="A10" i="3"/>
  <c r="Y10" i="3"/>
  <c r="CY10" i="3"/>
  <c r="CZ10" i="3"/>
  <c r="DA10" i="3"/>
  <c r="DB10" i="3"/>
  <c r="DC10" i="3"/>
  <c r="A11" i="3"/>
  <c r="Y11" i="3"/>
  <c r="CY11" i="3"/>
  <c r="CZ11" i="3"/>
  <c r="DA11" i="3"/>
  <c r="DB11" i="3"/>
  <c r="DC11" i="3"/>
  <c r="A12" i="3"/>
  <c r="Y12" i="3"/>
  <c r="CX12" i="3" s="1"/>
  <c r="CY12" i="3"/>
  <c r="CZ12" i="3"/>
  <c r="DB12" i="3" s="1"/>
  <c r="DA12" i="3"/>
  <c r="DC12" i="3"/>
  <c r="A13" i="3"/>
  <c r="Y13" i="3"/>
  <c r="CY13" i="3"/>
  <c r="CZ13" i="3"/>
  <c r="DA13" i="3"/>
  <c r="DB13" i="3"/>
  <c r="DC13" i="3"/>
  <c r="A14" i="3"/>
  <c r="Y14" i="3"/>
  <c r="CY14" i="3"/>
  <c r="CZ14" i="3"/>
  <c r="DA14" i="3"/>
  <c r="DB14" i="3"/>
  <c r="DC14" i="3"/>
  <c r="A15" i="3"/>
  <c r="Y15" i="3"/>
  <c r="CY15" i="3"/>
  <c r="CZ15" i="3"/>
  <c r="DB15" i="3" s="1"/>
  <c r="DA15" i="3"/>
  <c r="DC15" i="3"/>
  <c r="A16" i="3"/>
  <c r="Y16" i="3"/>
  <c r="CV16" i="3"/>
  <c r="CY16" i="3"/>
  <c r="CZ16" i="3"/>
  <c r="DB16" i="3" s="1"/>
  <c r="DA16" i="3"/>
  <c r="DC16" i="3"/>
  <c r="A17" i="3"/>
  <c r="Y17" i="3"/>
  <c r="CW17" i="3" s="1"/>
  <c r="CX17" i="3"/>
  <c r="CY17" i="3"/>
  <c r="CZ17" i="3"/>
  <c r="DA17" i="3"/>
  <c r="DB17" i="3"/>
  <c r="DC17" i="3"/>
  <c r="DG17" i="3"/>
  <c r="DJ17" i="3"/>
  <c r="A18" i="3"/>
  <c r="Y18" i="3"/>
  <c r="CY18" i="3"/>
  <c r="CZ18" i="3"/>
  <c r="DB18" i="3" s="1"/>
  <c r="DA18" i="3"/>
  <c r="DC18" i="3"/>
  <c r="A19" i="3"/>
  <c r="Y19" i="3"/>
  <c r="CY19" i="3"/>
  <c r="CZ19" i="3"/>
  <c r="DA19" i="3"/>
  <c r="DB19" i="3"/>
  <c r="DC19" i="3"/>
  <c r="A20" i="3"/>
  <c r="Y20" i="3"/>
  <c r="CY20" i="3"/>
  <c r="CZ20" i="3"/>
  <c r="DA20" i="3"/>
  <c r="DB20" i="3"/>
  <c r="DC20" i="3"/>
  <c r="A21" i="3"/>
  <c r="Y21" i="3"/>
  <c r="CY21" i="3"/>
  <c r="CZ21" i="3"/>
  <c r="DA21" i="3"/>
  <c r="DB21" i="3"/>
  <c r="DC21" i="3"/>
  <c r="A22" i="3"/>
  <c r="Y22" i="3"/>
  <c r="CY22" i="3"/>
  <c r="CZ22" i="3"/>
  <c r="DB22" i="3" s="1"/>
  <c r="DA22" i="3"/>
  <c r="DC22" i="3"/>
  <c r="A23" i="3"/>
  <c r="Y23" i="3"/>
  <c r="CY23" i="3"/>
  <c r="CZ23" i="3"/>
  <c r="DB23" i="3" s="1"/>
  <c r="DA23" i="3"/>
  <c r="DC23" i="3"/>
  <c r="A24" i="3"/>
  <c r="Y24" i="3"/>
  <c r="CY24" i="3"/>
  <c r="CZ24" i="3"/>
  <c r="DB24" i="3" s="1"/>
  <c r="DA24" i="3"/>
  <c r="DC24" i="3"/>
  <c r="A25" i="3"/>
  <c r="Y25" i="3"/>
  <c r="CX25" i="3"/>
  <c r="CY25" i="3"/>
  <c r="CZ25" i="3"/>
  <c r="DA25" i="3"/>
  <c r="DB25" i="3"/>
  <c r="DC25" i="3"/>
  <c r="A26" i="3"/>
  <c r="Y26" i="3"/>
  <c r="CY26" i="3"/>
  <c r="CZ26" i="3"/>
  <c r="DA26" i="3"/>
  <c r="DB26" i="3"/>
  <c r="DC26" i="3"/>
  <c r="A27" i="3"/>
  <c r="Y27" i="3"/>
  <c r="CY27" i="3"/>
  <c r="CZ27" i="3"/>
  <c r="DB27" i="3" s="1"/>
  <c r="DA27" i="3"/>
  <c r="DC27" i="3"/>
  <c r="A28" i="3"/>
  <c r="Y28" i="3"/>
  <c r="CX28" i="3" s="1"/>
  <c r="CY28" i="3"/>
  <c r="CZ28" i="3"/>
  <c r="DB28" i="3" s="1"/>
  <c r="DA28" i="3"/>
  <c r="DC28" i="3"/>
  <c r="A29" i="3"/>
  <c r="Y29" i="3"/>
  <c r="CY29" i="3"/>
  <c r="CZ29" i="3"/>
  <c r="DA29" i="3"/>
  <c r="DB29" i="3"/>
  <c r="DC29" i="3"/>
  <c r="A30" i="3"/>
  <c r="Y30" i="3"/>
  <c r="CY30" i="3"/>
  <c r="CZ30" i="3"/>
  <c r="DA30" i="3"/>
  <c r="DB30" i="3"/>
  <c r="DC30" i="3"/>
  <c r="A31" i="3"/>
  <c r="Y31" i="3"/>
  <c r="CY31" i="3"/>
  <c r="CZ31" i="3"/>
  <c r="DA31" i="3"/>
  <c r="DB31" i="3"/>
  <c r="DC31" i="3"/>
  <c r="DH31" i="3"/>
  <c r="A32" i="3"/>
  <c r="Y32" i="3"/>
  <c r="CX32" i="3" s="1"/>
  <c r="CY32" i="3"/>
  <c r="CZ32" i="3"/>
  <c r="DA32" i="3"/>
  <c r="DB32" i="3"/>
  <c r="DC32" i="3"/>
  <c r="A33" i="3"/>
  <c r="Y33" i="3"/>
  <c r="CX33" i="3"/>
  <c r="CY33" i="3"/>
  <c r="CZ33" i="3"/>
  <c r="DA33" i="3"/>
  <c r="DB33" i="3"/>
  <c r="DC33" i="3"/>
  <c r="A34" i="3"/>
  <c r="Y34" i="3"/>
  <c r="CY34" i="3"/>
  <c r="CZ34" i="3"/>
  <c r="DA34" i="3"/>
  <c r="DB34" i="3"/>
  <c r="DC34" i="3"/>
  <c r="A35" i="3"/>
  <c r="Y35" i="3"/>
  <c r="CY35" i="3"/>
  <c r="CZ35" i="3"/>
  <c r="DA35" i="3"/>
  <c r="DB35" i="3"/>
  <c r="DC35" i="3"/>
  <c r="A36" i="3"/>
  <c r="Y36" i="3"/>
  <c r="CX36" i="3"/>
  <c r="CY36" i="3"/>
  <c r="CZ36" i="3"/>
  <c r="DB36" i="3" s="1"/>
  <c r="DA36" i="3"/>
  <c r="DC36" i="3"/>
  <c r="A37" i="3"/>
  <c r="Y37" i="3"/>
  <c r="CY37" i="3"/>
  <c r="CZ37" i="3"/>
  <c r="DB37" i="3" s="1"/>
  <c r="DA37" i="3"/>
  <c r="DC37" i="3"/>
  <c r="A38" i="3"/>
  <c r="Y38" i="3"/>
  <c r="CY38" i="3"/>
  <c r="CZ38" i="3"/>
  <c r="DA38" i="3"/>
  <c r="DB38" i="3"/>
  <c r="DC38" i="3"/>
  <c r="A39" i="3"/>
  <c r="Y39" i="3"/>
  <c r="CX39" i="3"/>
  <c r="CY39" i="3"/>
  <c r="CZ39" i="3"/>
  <c r="DA39" i="3"/>
  <c r="DB39" i="3"/>
  <c r="DC39" i="3"/>
  <c r="DH39" i="3"/>
  <c r="A40" i="3"/>
  <c r="Y40" i="3"/>
  <c r="CX40" i="3" s="1"/>
  <c r="CY40" i="3"/>
  <c r="CZ40" i="3"/>
  <c r="DA40" i="3"/>
  <c r="DB40" i="3"/>
  <c r="DC40" i="3"/>
  <c r="A41" i="3"/>
  <c r="Y41" i="3"/>
  <c r="CX41" i="3"/>
  <c r="CY41" i="3"/>
  <c r="CZ41" i="3"/>
  <c r="DB41" i="3" s="1"/>
  <c r="DA41" i="3"/>
  <c r="DC41" i="3"/>
  <c r="A42" i="3"/>
  <c r="Y42" i="3"/>
  <c r="CX42" i="3" s="1"/>
  <c r="CY42" i="3"/>
  <c r="CZ42" i="3"/>
  <c r="DA42" i="3"/>
  <c r="DB42" i="3"/>
  <c r="DC42" i="3"/>
  <c r="DF42" i="3"/>
  <c r="DJ42" i="3" s="1"/>
  <c r="A43" i="3"/>
  <c r="Y43" i="3"/>
  <c r="CX43" i="3" s="1"/>
  <c r="CY43" i="3"/>
  <c r="CZ43" i="3"/>
  <c r="DB43" i="3" s="1"/>
  <c r="DA43" i="3"/>
  <c r="DC43" i="3"/>
  <c r="DF43" i="3"/>
  <c r="DJ43" i="3" s="1"/>
  <c r="DH43" i="3"/>
  <c r="A44" i="3"/>
  <c r="Y44" i="3"/>
  <c r="CX44" i="3" s="1"/>
  <c r="CY44" i="3"/>
  <c r="CZ44" i="3"/>
  <c r="DB44" i="3" s="1"/>
  <c r="DA44" i="3"/>
  <c r="DC44" i="3"/>
  <c r="A45" i="3"/>
  <c r="Y45" i="3"/>
  <c r="CX45" i="3" s="1"/>
  <c r="DF45" i="3" s="1"/>
  <c r="DJ45" i="3" s="1"/>
  <c r="CY45" i="3"/>
  <c r="CZ45" i="3"/>
  <c r="DB45" i="3" s="1"/>
  <c r="DA45" i="3"/>
  <c r="DC45" i="3"/>
  <c r="A46" i="3"/>
  <c r="Y46" i="3"/>
  <c r="CX46" i="3" s="1"/>
  <c r="CY46" i="3"/>
  <c r="CZ46" i="3"/>
  <c r="DA46" i="3"/>
  <c r="DB46" i="3"/>
  <c r="DC46" i="3"/>
  <c r="DG46" i="3"/>
  <c r="A47" i="3"/>
  <c r="Y47" i="3"/>
  <c r="CU47" i="3"/>
  <c r="CV47" i="3"/>
  <c r="CX47" i="3"/>
  <c r="DG47" i="3" s="1"/>
  <c r="CY47" i="3"/>
  <c r="CZ47" i="3"/>
  <c r="DB47" i="3" s="1"/>
  <c r="DA47" i="3"/>
  <c r="DC47" i="3"/>
  <c r="DF47" i="3"/>
  <c r="DH47" i="3"/>
  <c r="DI47" i="3"/>
  <c r="DJ47" i="3" s="1"/>
  <c r="A48" i="3"/>
  <c r="Y48" i="3"/>
  <c r="CU48" i="3"/>
  <c r="CY48" i="3"/>
  <c r="CZ48" i="3"/>
  <c r="DA48" i="3"/>
  <c r="DB48" i="3"/>
  <c r="DC48" i="3"/>
  <c r="A49" i="3"/>
  <c r="Y49" i="3"/>
  <c r="CY49" i="3"/>
  <c r="CZ49" i="3"/>
  <c r="DA49" i="3"/>
  <c r="DB49" i="3"/>
  <c r="DC49" i="3"/>
  <c r="A50" i="3"/>
  <c r="Y50" i="3"/>
  <c r="CY50" i="3"/>
  <c r="CZ50" i="3"/>
  <c r="DB50" i="3" s="1"/>
  <c r="DA50" i="3"/>
  <c r="DC50" i="3"/>
  <c r="A51" i="3"/>
  <c r="Y51" i="3"/>
  <c r="CY51" i="3"/>
  <c r="CZ51" i="3"/>
  <c r="DB51" i="3" s="1"/>
  <c r="DA51" i="3"/>
  <c r="DC51" i="3"/>
  <c r="A52" i="3"/>
  <c r="Y52" i="3"/>
  <c r="CY52" i="3"/>
  <c r="CZ52" i="3"/>
  <c r="DB52" i="3" s="1"/>
  <c r="DA52" i="3"/>
  <c r="DC52" i="3"/>
  <c r="A53" i="3"/>
  <c r="Y53" i="3"/>
  <c r="CY53" i="3"/>
  <c r="CZ53" i="3"/>
  <c r="DA53" i="3"/>
  <c r="DB53" i="3"/>
  <c r="DC53" i="3"/>
  <c r="A54" i="3"/>
  <c r="Y54" i="3"/>
  <c r="CY54" i="3"/>
  <c r="CZ54" i="3"/>
  <c r="DB54" i="3" s="1"/>
  <c r="DA54" i="3"/>
  <c r="DC54" i="3"/>
  <c r="A55" i="3"/>
  <c r="Y55" i="3"/>
  <c r="CY55" i="3"/>
  <c r="CZ55" i="3"/>
  <c r="DB55" i="3" s="1"/>
  <c r="DA55" i="3"/>
  <c r="DC55" i="3"/>
  <c r="A56" i="3"/>
  <c r="Y56" i="3"/>
  <c r="CY56" i="3"/>
  <c r="CZ56" i="3"/>
  <c r="DB56" i="3" s="1"/>
  <c r="DA56" i="3"/>
  <c r="DC56" i="3"/>
  <c r="A57" i="3"/>
  <c r="Y57" i="3"/>
  <c r="CY57" i="3"/>
  <c r="CZ57" i="3"/>
  <c r="DB57" i="3" s="1"/>
  <c r="DA57" i="3"/>
  <c r="DC57" i="3"/>
  <c r="A58" i="3"/>
  <c r="Y58" i="3"/>
  <c r="CY58" i="3"/>
  <c r="CZ58" i="3"/>
  <c r="DA58" i="3"/>
  <c r="DB58" i="3"/>
  <c r="DC58" i="3"/>
  <c r="A59" i="3"/>
  <c r="Y59" i="3"/>
  <c r="CY59" i="3"/>
  <c r="CZ59" i="3"/>
  <c r="DB59" i="3" s="1"/>
  <c r="DA59" i="3"/>
  <c r="DC59" i="3"/>
  <c r="A60" i="3"/>
  <c r="Y60" i="3"/>
  <c r="CY60" i="3"/>
  <c r="CZ60" i="3"/>
  <c r="DB60" i="3" s="1"/>
  <c r="DA60" i="3"/>
  <c r="DC60" i="3"/>
  <c r="A61" i="3"/>
  <c r="Y61" i="3"/>
  <c r="CX61" i="3" s="1"/>
  <c r="CY61" i="3"/>
  <c r="CZ61" i="3"/>
  <c r="DB61" i="3" s="1"/>
  <c r="DA61" i="3"/>
  <c r="DC61" i="3"/>
  <c r="A62" i="3"/>
  <c r="Y62" i="3"/>
  <c r="CY62" i="3"/>
  <c r="CZ62" i="3"/>
  <c r="DA62" i="3"/>
  <c r="DB62" i="3"/>
  <c r="DC62" i="3"/>
  <c r="A63" i="3"/>
  <c r="Y63" i="3"/>
  <c r="CX63" i="3"/>
  <c r="CY63" i="3"/>
  <c r="CZ63" i="3"/>
  <c r="DA63" i="3"/>
  <c r="DB63" i="3"/>
  <c r="DC63" i="3"/>
  <c r="DI63" i="3"/>
  <c r="A64" i="3"/>
  <c r="Y64" i="3"/>
  <c r="CX64" i="3" s="1"/>
  <c r="CY64" i="3"/>
  <c r="CZ64" i="3"/>
  <c r="DB64" i="3" s="1"/>
  <c r="DA64" i="3"/>
  <c r="DC64" i="3"/>
  <c r="A65" i="3"/>
  <c r="Y65" i="3"/>
  <c r="CX65" i="3"/>
  <c r="DG65" i="3" s="1"/>
  <c r="CY65" i="3"/>
  <c r="CZ65" i="3"/>
  <c r="DA65" i="3"/>
  <c r="DB65" i="3"/>
  <c r="DC65" i="3"/>
  <c r="DF65" i="3"/>
  <c r="DJ65" i="3" s="1"/>
  <c r="DH65" i="3"/>
  <c r="DI65" i="3"/>
  <c r="A66" i="3"/>
  <c r="Y66" i="3"/>
  <c r="CX66" i="3" s="1"/>
  <c r="DG66" i="3" s="1"/>
  <c r="CY66" i="3"/>
  <c r="CZ66" i="3"/>
  <c r="DB66" i="3" s="1"/>
  <c r="DA66" i="3"/>
  <c r="DC66" i="3"/>
  <c r="DF66" i="3"/>
  <c r="DJ66" i="3" s="1"/>
  <c r="DH66" i="3"/>
  <c r="DI66" i="3"/>
  <c r="A67" i="3"/>
  <c r="Y67" i="3"/>
  <c r="CX67" i="3"/>
  <c r="CY67" i="3"/>
  <c r="CZ67" i="3"/>
  <c r="DB67" i="3" s="1"/>
  <c r="DA67" i="3"/>
  <c r="DC67" i="3"/>
  <c r="DF67" i="3"/>
  <c r="DG67" i="3"/>
  <c r="DJ67" i="3"/>
  <c r="A68" i="3"/>
  <c r="Y68" i="3"/>
  <c r="CX68" i="3" s="1"/>
  <c r="CY68" i="3"/>
  <c r="CZ68" i="3"/>
  <c r="DB68" i="3" s="1"/>
  <c r="DA68" i="3"/>
  <c r="DC68" i="3"/>
  <c r="A69" i="3"/>
  <c r="Y69" i="3"/>
  <c r="CX69" i="3"/>
  <c r="CY69" i="3"/>
  <c r="CZ69" i="3"/>
  <c r="DB69" i="3" s="1"/>
  <c r="DA69" i="3"/>
  <c r="DC69" i="3"/>
  <c r="A70" i="3"/>
  <c r="Y70" i="3"/>
  <c r="CX70" i="3"/>
  <c r="CY70" i="3"/>
  <c r="CZ70" i="3"/>
  <c r="DB70" i="3" s="1"/>
  <c r="DA70" i="3"/>
  <c r="DC70" i="3"/>
  <c r="DG70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B26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K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Q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D28" i="1"/>
  <c r="I28" i="1"/>
  <c r="K28" i="1"/>
  <c r="P28" i="1"/>
  <c r="S28" i="1"/>
  <c r="U28" i="1"/>
  <c r="AC28" i="1"/>
  <c r="AE28" i="1"/>
  <c r="AF28" i="1"/>
  <c r="AG28" i="1"/>
  <c r="AH28" i="1"/>
  <c r="CV28" i="1" s="1"/>
  <c r="AI28" i="1"/>
  <c r="CW28" i="1" s="1"/>
  <c r="V28" i="1" s="1"/>
  <c r="AJ28" i="1"/>
  <c r="CQ28" i="1"/>
  <c r="CT28" i="1"/>
  <c r="CU28" i="1"/>
  <c r="T28" i="1" s="1"/>
  <c r="CX28" i="1"/>
  <c r="W28" i="1" s="1"/>
  <c r="GL28" i="1"/>
  <c r="GO28" i="1"/>
  <c r="GP28" i="1"/>
  <c r="GV28" i="1"/>
  <c r="GX28" i="1"/>
  <c r="HC28" i="1"/>
  <c r="D29" i="1"/>
  <c r="I29" i="1"/>
  <c r="P29" i="1" s="1"/>
  <c r="K29" i="1"/>
  <c r="Q29" i="1"/>
  <c r="S29" i="1"/>
  <c r="T29" i="1"/>
  <c r="W29" i="1"/>
  <c r="AC29" i="1"/>
  <c r="AE29" i="1"/>
  <c r="R29" i="1" s="1"/>
  <c r="GK29" i="1" s="1"/>
  <c r="AF29" i="1"/>
  <c r="CT29" i="1" s="1"/>
  <c r="AG29" i="1"/>
  <c r="AH29" i="1"/>
  <c r="CV29" i="1" s="1"/>
  <c r="U29" i="1" s="1"/>
  <c r="AI29" i="1"/>
  <c r="AJ29" i="1"/>
  <c r="CP29" i="1"/>
  <c r="O29" i="1" s="1"/>
  <c r="CQ29" i="1"/>
  <c r="CR29" i="1"/>
  <c r="CS29" i="1"/>
  <c r="CU29" i="1"/>
  <c r="CW29" i="1"/>
  <c r="V29" i="1" s="1"/>
  <c r="CX29" i="1"/>
  <c r="GL29" i="1"/>
  <c r="GO29" i="1"/>
  <c r="GP29" i="1"/>
  <c r="GV29" i="1"/>
  <c r="HC29" i="1" s="1"/>
  <c r="GX29" i="1" s="1"/>
  <c r="D30" i="1"/>
  <c r="I30" i="1"/>
  <c r="R30" i="1" s="1"/>
  <c r="GK30" i="1" s="1"/>
  <c r="K30" i="1"/>
  <c r="P30" i="1"/>
  <c r="CP30" i="1" s="1"/>
  <c r="O30" i="1" s="1"/>
  <c r="Q30" i="1"/>
  <c r="S30" i="1"/>
  <c r="CY30" i="1" s="1"/>
  <c r="V30" i="1"/>
  <c r="W30" i="1"/>
  <c r="X30" i="1"/>
  <c r="AB30" i="1"/>
  <c r="AC30" i="1"/>
  <c r="CQ30" i="1" s="1"/>
  <c r="AE30" i="1"/>
  <c r="AD30" i="1" s="1"/>
  <c r="AF30" i="1"/>
  <c r="AG30" i="1"/>
  <c r="CU30" i="1" s="1"/>
  <c r="T30" i="1" s="1"/>
  <c r="AH30" i="1"/>
  <c r="AI30" i="1"/>
  <c r="CW30" i="1" s="1"/>
  <c r="AJ30" i="1"/>
  <c r="CX30" i="1" s="1"/>
  <c r="CR30" i="1"/>
  <c r="CS30" i="1"/>
  <c r="CT30" i="1"/>
  <c r="CV30" i="1"/>
  <c r="U30" i="1" s="1"/>
  <c r="GL30" i="1"/>
  <c r="GO30" i="1"/>
  <c r="GP30" i="1"/>
  <c r="GV30" i="1"/>
  <c r="HC30" i="1" s="1"/>
  <c r="GX30" i="1" s="1"/>
  <c r="D31" i="1"/>
  <c r="I31" i="1"/>
  <c r="K31" i="1"/>
  <c r="P31" i="1"/>
  <c r="Q31" i="1"/>
  <c r="R31" i="1"/>
  <c r="S31" i="1"/>
  <c r="CY31" i="1" s="1"/>
  <c r="T31" i="1"/>
  <c r="U31" i="1"/>
  <c r="X31" i="1"/>
  <c r="AC31" i="1"/>
  <c r="AD31" i="1"/>
  <c r="AB31" i="1" s="1"/>
  <c r="AE31" i="1"/>
  <c r="CR31" i="1" s="1"/>
  <c r="AF31" i="1"/>
  <c r="AG31" i="1"/>
  <c r="CU31" i="1" s="1"/>
  <c r="AH31" i="1"/>
  <c r="CV31" i="1" s="1"/>
  <c r="AI31" i="1"/>
  <c r="AJ31" i="1"/>
  <c r="CQ31" i="1"/>
  <c r="CS31" i="1"/>
  <c r="CT31" i="1"/>
  <c r="CW31" i="1"/>
  <c r="V31" i="1" s="1"/>
  <c r="CX31" i="1"/>
  <c r="W31" i="1" s="1"/>
  <c r="GK31" i="1"/>
  <c r="GL31" i="1"/>
  <c r="GO31" i="1"/>
  <c r="GP31" i="1"/>
  <c r="GV31" i="1"/>
  <c r="HC31" i="1" s="1"/>
  <c r="GX31" i="1"/>
  <c r="D32" i="1"/>
  <c r="I32" i="1"/>
  <c r="K32" i="1"/>
  <c r="U32" i="1"/>
  <c r="AC32" i="1"/>
  <c r="AD32" i="1"/>
  <c r="AE32" i="1"/>
  <c r="AF32" i="1"/>
  <c r="AG32" i="1"/>
  <c r="AH32" i="1"/>
  <c r="CV32" i="1" s="1"/>
  <c r="AI32" i="1"/>
  <c r="CW32" i="1" s="1"/>
  <c r="AJ32" i="1"/>
  <c r="CR32" i="1"/>
  <c r="CT32" i="1"/>
  <c r="CU32" i="1"/>
  <c r="T32" i="1" s="1"/>
  <c r="CX32" i="1"/>
  <c r="GL32" i="1"/>
  <c r="GO32" i="1"/>
  <c r="GP32" i="1"/>
  <c r="GV32" i="1"/>
  <c r="HC32" i="1" s="1"/>
  <c r="D33" i="1"/>
  <c r="AC33" i="1"/>
  <c r="AD33" i="1"/>
  <c r="AE33" i="1"/>
  <c r="CR33" i="1" s="1"/>
  <c r="AF33" i="1"/>
  <c r="AG33" i="1"/>
  <c r="CU33" i="1" s="1"/>
  <c r="AH33" i="1"/>
  <c r="CV33" i="1" s="1"/>
  <c r="AI33" i="1"/>
  <c r="CW33" i="1" s="1"/>
  <c r="AJ33" i="1"/>
  <c r="CQ33" i="1"/>
  <c r="CS33" i="1"/>
  <c r="CX33" i="1"/>
  <c r="GL33" i="1"/>
  <c r="GO33" i="1"/>
  <c r="GP33" i="1"/>
  <c r="GV33" i="1"/>
  <c r="HC33" i="1"/>
  <c r="D34" i="1"/>
  <c r="I34" i="1"/>
  <c r="R34" i="1" s="1"/>
  <c r="K34" i="1"/>
  <c r="Q34" i="1"/>
  <c r="U34" i="1"/>
  <c r="AC34" i="1"/>
  <c r="AE34" i="1"/>
  <c r="AF34" i="1"/>
  <c r="AG34" i="1"/>
  <c r="CU34" i="1" s="1"/>
  <c r="T34" i="1" s="1"/>
  <c r="AH34" i="1"/>
  <c r="CV34" i="1" s="1"/>
  <c r="AI34" i="1"/>
  <c r="AJ34" i="1"/>
  <c r="CQ34" i="1"/>
  <c r="CR34" i="1"/>
  <c r="CW34" i="1"/>
  <c r="V34" i="1" s="1"/>
  <c r="CX34" i="1"/>
  <c r="W34" i="1" s="1"/>
  <c r="GK34" i="1"/>
  <c r="GL34" i="1"/>
  <c r="GO34" i="1"/>
  <c r="GP34" i="1"/>
  <c r="GV34" i="1"/>
  <c r="GX34" i="1"/>
  <c r="HC34" i="1"/>
  <c r="D35" i="1"/>
  <c r="I35" i="1"/>
  <c r="K35" i="1"/>
  <c r="P35" i="1"/>
  <c r="T35" i="1"/>
  <c r="V35" i="1"/>
  <c r="AC35" i="1"/>
  <c r="AE35" i="1"/>
  <c r="AF35" i="1"/>
  <c r="AG35" i="1"/>
  <c r="CU35" i="1" s="1"/>
  <c r="AH35" i="1"/>
  <c r="AI35" i="1"/>
  <c r="AJ35" i="1"/>
  <c r="CX35" i="1" s="1"/>
  <c r="CQ35" i="1"/>
  <c r="CR35" i="1"/>
  <c r="CS35" i="1"/>
  <c r="CT35" i="1"/>
  <c r="CV35" i="1"/>
  <c r="CW35" i="1"/>
  <c r="GL35" i="1"/>
  <c r="GO35" i="1"/>
  <c r="GP35" i="1"/>
  <c r="GV35" i="1"/>
  <c r="HC35" i="1"/>
  <c r="GX35" i="1" s="1"/>
  <c r="D36" i="1"/>
  <c r="I36" i="1"/>
  <c r="K36" i="1"/>
  <c r="P36" i="1"/>
  <c r="R36" i="1"/>
  <c r="GK36" i="1" s="1"/>
  <c r="S36" i="1"/>
  <c r="T36" i="1"/>
  <c r="U36" i="1"/>
  <c r="AC36" i="1"/>
  <c r="AE36" i="1"/>
  <c r="AF36" i="1"/>
  <c r="CT36" i="1" s="1"/>
  <c r="AG36" i="1"/>
  <c r="AH36" i="1"/>
  <c r="AI36" i="1"/>
  <c r="CW36" i="1" s="1"/>
  <c r="V36" i="1" s="1"/>
  <c r="AJ36" i="1"/>
  <c r="CX36" i="1" s="1"/>
  <c r="W36" i="1" s="1"/>
  <c r="CQ36" i="1"/>
  <c r="CU36" i="1"/>
  <c r="CV36" i="1"/>
  <c r="GL36" i="1"/>
  <c r="GO36" i="1"/>
  <c r="GP36" i="1"/>
  <c r="GV36" i="1"/>
  <c r="HC36" i="1" s="1"/>
  <c r="GX36" i="1"/>
  <c r="D37" i="1"/>
  <c r="I37" i="1"/>
  <c r="K37" i="1"/>
  <c r="P37" i="1"/>
  <c r="V37" i="1"/>
  <c r="W37" i="1"/>
  <c r="AB37" i="1"/>
  <c r="AC37" i="1"/>
  <c r="CQ37" i="1" s="1"/>
  <c r="AE37" i="1"/>
  <c r="AD37" i="1" s="1"/>
  <c r="AF37" i="1"/>
  <c r="AG37" i="1"/>
  <c r="AH37" i="1"/>
  <c r="AI37" i="1"/>
  <c r="CW37" i="1" s="1"/>
  <c r="AJ37" i="1"/>
  <c r="CX37" i="1" s="1"/>
  <c r="CR37" i="1"/>
  <c r="CS37" i="1"/>
  <c r="CU37" i="1"/>
  <c r="T37" i="1" s="1"/>
  <c r="CV37" i="1"/>
  <c r="U37" i="1" s="1"/>
  <c r="GL37" i="1"/>
  <c r="GO37" i="1"/>
  <c r="GP37" i="1"/>
  <c r="FV59" i="1" s="1"/>
  <c r="GV37" i="1"/>
  <c r="HC37" i="1"/>
  <c r="GX37" i="1" s="1"/>
  <c r="D38" i="1"/>
  <c r="Q38" i="1"/>
  <c r="S38" i="1"/>
  <c r="CY38" i="1" s="1"/>
  <c r="U38" i="1"/>
  <c r="X38" i="1"/>
  <c r="AC38" i="1"/>
  <c r="AE38" i="1"/>
  <c r="AF38" i="1"/>
  <c r="AG38" i="1"/>
  <c r="AH38" i="1"/>
  <c r="CV38" i="1" s="1"/>
  <c r="AI38" i="1"/>
  <c r="AJ38" i="1"/>
  <c r="CT38" i="1"/>
  <c r="CU38" i="1"/>
  <c r="T38" i="1" s="1"/>
  <c r="CW38" i="1"/>
  <c r="V38" i="1" s="1"/>
  <c r="CX38" i="1"/>
  <c r="W38" i="1" s="1"/>
  <c r="GL38" i="1"/>
  <c r="GO38" i="1"/>
  <c r="GP38" i="1"/>
  <c r="GV38" i="1"/>
  <c r="GX38" i="1"/>
  <c r="HC38" i="1"/>
  <c r="D39" i="1"/>
  <c r="P39" i="1"/>
  <c r="S39" i="1"/>
  <c r="CZ39" i="1" s="1"/>
  <c r="V39" i="1"/>
  <c r="Y39" i="1"/>
  <c r="AC39" i="1"/>
  <c r="AD39" i="1"/>
  <c r="AE39" i="1"/>
  <c r="AF39" i="1"/>
  <c r="AG39" i="1"/>
  <c r="CU39" i="1" s="1"/>
  <c r="T39" i="1" s="1"/>
  <c r="AH39" i="1"/>
  <c r="AI39" i="1"/>
  <c r="AJ39" i="1"/>
  <c r="CS39" i="1"/>
  <c r="CT39" i="1"/>
  <c r="CV39" i="1"/>
  <c r="U39" i="1" s="1"/>
  <c r="CW39" i="1"/>
  <c r="CX39" i="1"/>
  <c r="W39" i="1" s="1"/>
  <c r="GL39" i="1"/>
  <c r="GO39" i="1"/>
  <c r="GP39" i="1"/>
  <c r="GV39" i="1"/>
  <c r="HC39" i="1" s="1"/>
  <c r="GX39" i="1" s="1"/>
  <c r="I40" i="1"/>
  <c r="K40" i="1"/>
  <c r="P40" i="1"/>
  <c r="R40" i="1"/>
  <c r="T40" i="1"/>
  <c r="W40" i="1"/>
  <c r="AC40" i="1"/>
  <c r="AD40" i="1"/>
  <c r="AB40" i="1" s="1"/>
  <c r="AE40" i="1"/>
  <c r="CS40" i="1" s="1"/>
  <c r="AF40" i="1"/>
  <c r="AG40" i="1"/>
  <c r="AH40" i="1"/>
  <c r="AI40" i="1"/>
  <c r="CW40" i="1" s="1"/>
  <c r="V40" i="1" s="1"/>
  <c r="AJ40" i="1"/>
  <c r="CQ40" i="1"/>
  <c r="CR40" i="1"/>
  <c r="CU40" i="1"/>
  <c r="CV40" i="1"/>
  <c r="U40" i="1" s="1"/>
  <c r="CX40" i="1"/>
  <c r="GK40" i="1"/>
  <c r="GL40" i="1"/>
  <c r="GO40" i="1"/>
  <c r="GP40" i="1"/>
  <c r="GV40" i="1"/>
  <c r="HC40" i="1" s="1"/>
  <c r="GX40" i="1"/>
  <c r="I41" i="1"/>
  <c r="K41" i="1"/>
  <c r="AC41" i="1"/>
  <c r="CQ41" i="1" s="1"/>
  <c r="AE41" i="1"/>
  <c r="AF41" i="1"/>
  <c r="AG41" i="1"/>
  <c r="CU41" i="1" s="1"/>
  <c r="AH41" i="1"/>
  <c r="AI41" i="1"/>
  <c r="AJ41" i="1"/>
  <c r="CV41" i="1"/>
  <c r="CW41" i="1"/>
  <c r="CX41" i="1"/>
  <c r="GL41" i="1"/>
  <c r="GO41" i="1"/>
  <c r="GP41" i="1"/>
  <c r="GV41" i="1"/>
  <c r="HC41" i="1" s="1"/>
  <c r="I42" i="1"/>
  <c r="K42" i="1"/>
  <c r="AC42" i="1"/>
  <c r="AE42" i="1"/>
  <c r="AF42" i="1"/>
  <c r="AG42" i="1"/>
  <c r="AH42" i="1"/>
  <c r="AI42" i="1"/>
  <c r="CW42" i="1" s="1"/>
  <c r="V42" i="1" s="1"/>
  <c r="AJ42" i="1"/>
  <c r="CT42" i="1"/>
  <c r="CU42" i="1"/>
  <c r="T42" i="1" s="1"/>
  <c r="CV42" i="1"/>
  <c r="U42" i="1" s="1"/>
  <c r="CX42" i="1"/>
  <c r="W42" i="1" s="1"/>
  <c r="GL42" i="1"/>
  <c r="GO42" i="1"/>
  <c r="GP42" i="1"/>
  <c r="GV42" i="1"/>
  <c r="HC42" i="1" s="1"/>
  <c r="GX42" i="1" s="1"/>
  <c r="I43" i="1"/>
  <c r="K43" i="1"/>
  <c r="P43" i="1"/>
  <c r="S43" i="1"/>
  <c r="V43" i="1"/>
  <c r="AC43" i="1"/>
  <c r="CQ43" i="1" s="1"/>
  <c r="AD43" i="1"/>
  <c r="AB43" i="1" s="1"/>
  <c r="AE43" i="1"/>
  <c r="AF43" i="1"/>
  <c r="CT43" i="1" s="1"/>
  <c r="AG43" i="1"/>
  <c r="AH43" i="1"/>
  <c r="CV43" i="1" s="1"/>
  <c r="U43" i="1" s="1"/>
  <c r="AI43" i="1"/>
  <c r="AJ43" i="1"/>
  <c r="CR43" i="1"/>
  <c r="CU43" i="1"/>
  <c r="T43" i="1" s="1"/>
  <c r="CW43" i="1"/>
  <c r="CX43" i="1"/>
  <c r="W43" i="1" s="1"/>
  <c r="GL43" i="1"/>
  <c r="GO43" i="1"/>
  <c r="GP43" i="1"/>
  <c r="GV43" i="1"/>
  <c r="HC43" i="1"/>
  <c r="GX43" i="1" s="1"/>
  <c r="D44" i="1"/>
  <c r="O44" i="1"/>
  <c r="Q44" i="1"/>
  <c r="R44" i="1"/>
  <c r="GK44" i="1" s="1"/>
  <c r="V44" i="1"/>
  <c r="X44" i="1"/>
  <c r="Y44" i="1"/>
  <c r="AC44" i="1"/>
  <c r="P44" i="1" s="1"/>
  <c r="CP44" i="1" s="1"/>
  <c r="AD44" i="1"/>
  <c r="AB44" i="1" s="1"/>
  <c r="AE44" i="1"/>
  <c r="AF44" i="1"/>
  <c r="S44" i="1" s="1"/>
  <c r="CZ44" i="1" s="1"/>
  <c r="AG44" i="1"/>
  <c r="AH44" i="1"/>
  <c r="CV44" i="1" s="1"/>
  <c r="U44" i="1" s="1"/>
  <c r="AI44" i="1"/>
  <c r="CW44" i="1" s="1"/>
  <c r="AJ44" i="1"/>
  <c r="CX44" i="1" s="1"/>
  <c r="W44" i="1" s="1"/>
  <c r="CQ44" i="1"/>
  <c r="CR44" i="1"/>
  <c r="CS44" i="1"/>
  <c r="CT44" i="1"/>
  <c r="CU44" i="1"/>
  <c r="T44" i="1" s="1"/>
  <c r="CY44" i="1"/>
  <c r="GL44" i="1"/>
  <c r="GO44" i="1"/>
  <c r="GP44" i="1"/>
  <c r="GV44" i="1"/>
  <c r="HC44" i="1" s="1"/>
  <c r="GX44" i="1"/>
  <c r="D45" i="1"/>
  <c r="O45" i="1"/>
  <c r="GM45" i="1" s="1"/>
  <c r="GN45" i="1" s="1"/>
  <c r="Q45" i="1"/>
  <c r="R45" i="1"/>
  <c r="S45" i="1"/>
  <c r="CY45" i="1" s="1"/>
  <c r="U45" i="1"/>
  <c r="W45" i="1"/>
  <c r="X45" i="1"/>
  <c r="AC45" i="1"/>
  <c r="P45" i="1" s="1"/>
  <c r="AD45" i="1"/>
  <c r="AE45" i="1"/>
  <c r="CS45" i="1" s="1"/>
  <c r="AF45" i="1"/>
  <c r="CT45" i="1" s="1"/>
  <c r="AG45" i="1"/>
  <c r="CU45" i="1" s="1"/>
  <c r="T45" i="1" s="1"/>
  <c r="AH45" i="1"/>
  <c r="CV45" i="1" s="1"/>
  <c r="AI45" i="1"/>
  <c r="CW45" i="1" s="1"/>
  <c r="V45" i="1" s="1"/>
  <c r="AJ45" i="1"/>
  <c r="CX45" i="1" s="1"/>
  <c r="CP45" i="1"/>
  <c r="CQ45" i="1"/>
  <c r="CR45" i="1"/>
  <c r="CZ45" i="1"/>
  <c r="Y45" i="1" s="1"/>
  <c r="GK45" i="1"/>
  <c r="GL45" i="1"/>
  <c r="GO45" i="1"/>
  <c r="GP45" i="1"/>
  <c r="GV45" i="1"/>
  <c r="HC45" i="1" s="1"/>
  <c r="GX45" i="1" s="1"/>
  <c r="D46" i="1"/>
  <c r="P46" i="1"/>
  <c r="Q46" i="1"/>
  <c r="R46" i="1"/>
  <c r="GK46" i="1" s="1"/>
  <c r="S46" i="1"/>
  <c r="AC46" i="1"/>
  <c r="CQ46" i="1" s="1"/>
  <c r="AD46" i="1"/>
  <c r="AE46" i="1"/>
  <c r="CS46" i="1" s="1"/>
  <c r="AF46" i="1"/>
  <c r="CT46" i="1" s="1"/>
  <c r="AG46" i="1"/>
  <c r="CU46" i="1" s="1"/>
  <c r="T46" i="1" s="1"/>
  <c r="AH46" i="1"/>
  <c r="AI46" i="1"/>
  <c r="AJ46" i="1"/>
  <c r="CR46" i="1"/>
  <c r="CV46" i="1"/>
  <c r="U46" i="1" s="1"/>
  <c r="CW46" i="1"/>
  <c r="V46" i="1" s="1"/>
  <c r="CX46" i="1"/>
  <c r="W46" i="1" s="1"/>
  <c r="GL46" i="1"/>
  <c r="GO46" i="1"/>
  <c r="GP46" i="1"/>
  <c r="GV46" i="1"/>
  <c r="GX46" i="1"/>
  <c r="HC46" i="1"/>
  <c r="D47" i="1"/>
  <c r="AC47" i="1"/>
  <c r="AE47" i="1"/>
  <c r="AF47" i="1"/>
  <c r="CT47" i="1" s="1"/>
  <c r="AG47" i="1"/>
  <c r="CU47" i="1" s="1"/>
  <c r="T47" i="1" s="1"/>
  <c r="AH47" i="1"/>
  <c r="CV47" i="1" s="1"/>
  <c r="U47" i="1" s="1"/>
  <c r="AI47" i="1"/>
  <c r="AJ47" i="1"/>
  <c r="CS47" i="1"/>
  <c r="CW47" i="1"/>
  <c r="V47" i="1" s="1"/>
  <c r="CX47" i="1"/>
  <c r="W47" i="1" s="1"/>
  <c r="GL47" i="1"/>
  <c r="GO47" i="1"/>
  <c r="GP47" i="1"/>
  <c r="GV47" i="1"/>
  <c r="GX47" i="1"/>
  <c r="HC47" i="1"/>
  <c r="I48" i="1"/>
  <c r="K48" i="1"/>
  <c r="AB48" i="1"/>
  <c r="AC48" i="1"/>
  <c r="AD48" i="1"/>
  <c r="AE48" i="1"/>
  <c r="AF48" i="1"/>
  <c r="AG48" i="1"/>
  <c r="AH48" i="1"/>
  <c r="CV48" i="1" s="1"/>
  <c r="AI48" i="1"/>
  <c r="CW48" i="1" s="1"/>
  <c r="AJ48" i="1"/>
  <c r="CR48" i="1"/>
  <c r="CS48" i="1"/>
  <c r="CT48" i="1"/>
  <c r="CU48" i="1"/>
  <c r="T48" i="1" s="1"/>
  <c r="CX48" i="1"/>
  <c r="GL48" i="1"/>
  <c r="GO48" i="1"/>
  <c r="GP48" i="1"/>
  <c r="GV48" i="1"/>
  <c r="HC48" i="1" s="1"/>
  <c r="I49" i="1"/>
  <c r="K49" i="1"/>
  <c r="Q49" i="1"/>
  <c r="R49" i="1"/>
  <c r="GK49" i="1" s="1"/>
  <c r="S49" i="1"/>
  <c r="T49" i="1"/>
  <c r="W49" i="1"/>
  <c r="AC49" i="1"/>
  <c r="AE49" i="1"/>
  <c r="AD49" i="1" s="1"/>
  <c r="AF49" i="1"/>
  <c r="CT49" i="1" s="1"/>
  <c r="AG49" i="1"/>
  <c r="CU49" i="1" s="1"/>
  <c r="AH49" i="1"/>
  <c r="CV49" i="1" s="1"/>
  <c r="U49" i="1" s="1"/>
  <c r="AI49" i="1"/>
  <c r="CW49" i="1" s="1"/>
  <c r="V49" i="1" s="1"/>
  <c r="AJ49" i="1"/>
  <c r="CX49" i="1" s="1"/>
  <c r="CQ49" i="1"/>
  <c r="CR49" i="1"/>
  <c r="CY49" i="1"/>
  <c r="X49" i="1" s="1"/>
  <c r="CZ49" i="1"/>
  <c r="Y49" i="1" s="1"/>
  <c r="GL49" i="1"/>
  <c r="GO49" i="1"/>
  <c r="GP49" i="1"/>
  <c r="GV49" i="1"/>
  <c r="GX49" i="1"/>
  <c r="HC49" i="1"/>
  <c r="P50" i="1"/>
  <c r="T50" i="1"/>
  <c r="V50" i="1"/>
  <c r="AC50" i="1"/>
  <c r="CQ50" i="1" s="1"/>
  <c r="AE50" i="1"/>
  <c r="AF50" i="1"/>
  <c r="AG50" i="1"/>
  <c r="CU50" i="1" s="1"/>
  <c r="AH50" i="1"/>
  <c r="CV50" i="1" s="1"/>
  <c r="U50" i="1" s="1"/>
  <c r="AI50" i="1"/>
  <c r="AJ50" i="1"/>
  <c r="CW50" i="1"/>
  <c r="CX50" i="1"/>
  <c r="W50" i="1" s="1"/>
  <c r="GL50" i="1"/>
  <c r="GO50" i="1"/>
  <c r="GP50" i="1"/>
  <c r="GV50" i="1"/>
  <c r="HC50" i="1" s="1"/>
  <c r="GX50" i="1" s="1"/>
  <c r="P51" i="1"/>
  <c r="AC51" i="1"/>
  <c r="CQ51" i="1" s="1"/>
  <c r="AE51" i="1"/>
  <c r="AF51" i="1"/>
  <c r="CT51" i="1" s="1"/>
  <c r="AG51" i="1"/>
  <c r="CU51" i="1" s="1"/>
  <c r="T51" i="1" s="1"/>
  <c r="AH51" i="1"/>
  <c r="AI51" i="1"/>
  <c r="AJ51" i="1"/>
  <c r="CX51" i="1" s="1"/>
  <c r="W51" i="1" s="1"/>
  <c r="CR51" i="1"/>
  <c r="CV51" i="1"/>
  <c r="U51" i="1" s="1"/>
  <c r="CW51" i="1"/>
  <c r="V51" i="1" s="1"/>
  <c r="GL51" i="1"/>
  <c r="GO51" i="1"/>
  <c r="GP51" i="1"/>
  <c r="GV51" i="1"/>
  <c r="GX51" i="1"/>
  <c r="HC51" i="1"/>
  <c r="R52" i="1"/>
  <c r="GK52" i="1" s="1"/>
  <c r="T52" i="1"/>
  <c r="W52" i="1"/>
  <c r="AC52" i="1"/>
  <c r="AE52" i="1"/>
  <c r="AF52" i="1"/>
  <c r="AG52" i="1"/>
  <c r="AH52" i="1"/>
  <c r="CV52" i="1" s="1"/>
  <c r="U52" i="1" s="1"/>
  <c r="AI52" i="1"/>
  <c r="AJ52" i="1"/>
  <c r="CU52" i="1"/>
  <c r="CW52" i="1"/>
  <c r="V52" i="1" s="1"/>
  <c r="CX52" i="1"/>
  <c r="GL52" i="1"/>
  <c r="GO52" i="1"/>
  <c r="GP52" i="1"/>
  <c r="GV52" i="1"/>
  <c r="HC52" i="1"/>
  <c r="GX52" i="1" s="1"/>
  <c r="Q53" i="1"/>
  <c r="S53" i="1"/>
  <c r="CZ53" i="1" s="1"/>
  <c r="Y53" i="1" s="1"/>
  <c r="T53" i="1"/>
  <c r="X53" i="1"/>
  <c r="AC53" i="1"/>
  <c r="AE53" i="1"/>
  <c r="AF53" i="1"/>
  <c r="AG53" i="1"/>
  <c r="AH53" i="1"/>
  <c r="AI53" i="1"/>
  <c r="CW53" i="1" s="1"/>
  <c r="V53" i="1" s="1"/>
  <c r="AJ53" i="1"/>
  <c r="CX53" i="1" s="1"/>
  <c r="W53" i="1" s="1"/>
  <c r="CS53" i="1"/>
  <c r="CT53" i="1"/>
  <c r="CU53" i="1"/>
  <c r="CV53" i="1"/>
  <c r="U53" i="1" s="1"/>
  <c r="CY53" i="1"/>
  <c r="GL53" i="1"/>
  <c r="GO53" i="1"/>
  <c r="GP53" i="1"/>
  <c r="GV53" i="1"/>
  <c r="HC53" i="1" s="1"/>
  <c r="GX53" i="1" s="1"/>
  <c r="D54" i="1"/>
  <c r="R54" i="1"/>
  <c r="S54" i="1"/>
  <c r="T54" i="1"/>
  <c r="X54" i="1"/>
  <c r="AC54" i="1"/>
  <c r="AE54" i="1"/>
  <c r="CR54" i="1" s="1"/>
  <c r="AF54" i="1"/>
  <c r="AG54" i="1"/>
  <c r="CU54" i="1" s="1"/>
  <c r="AH54" i="1"/>
  <c r="CV54" i="1" s="1"/>
  <c r="U54" i="1" s="1"/>
  <c r="AI54" i="1"/>
  <c r="AJ54" i="1"/>
  <c r="CT54" i="1"/>
  <c r="CW54" i="1"/>
  <c r="V54" i="1" s="1"/>
  <c r="CX54" i="1"/>
  <c r="W54" i="1" s="1"/>
  <c r="CY54" i="1"/>
  <c r="CZ54" i="1"/>
  <c r="Y54" i="1" s="1"/>
  <c r="GK54" i="1"/>
  <c r="GL54" i="1"/>
  <c r="GO54" i="1"/>
  <c r="GP54" i="1"/>
  <c r="GV54" i="1"/>
  <c r="HC54" i="1"/>
  <c r="GX54" i="1" s="1"/>
  <c r="D55" i="1"/>
  <c r="P55" i="1"/>
  <c r="Q55" i="1"/>
  <c r="R55" i="1"/>
  <c r="GK55" i="1" s="1"/>
  <c r="V55" i="1"/>
  <c r="AC55" i="1"/>
  <c r="AD55" i="1"/>
  <c r="AE55" i="1"/>
  <c r="AF55" i="1"/>
  <c r="AG55" i="1"/>
  <c r="AH55" i="1"/>
  <c r="AI55" i="1"/>
  <c r="AJ55" i="1"/>
  <c r="CX55" i="1" s="1"/>
  <c r="W55" i="1" s="1"/>
  <c r="CR55" i="1"/>
  <c r="CS55" i="1"/>
  <c r="CU55" i="1"/>
  <c r="T55" i="1" s="1"/>
  <c r="CV55" i="1"/>
  <c r="U55" i="1" s="1"/>
  <c r="CW55" i="1"/>
  <c r="GL55" i="1"/>
  <c r="GO55" i="1"/>
  <c r="GP55" i="1"/>
  <c r="GV55" i="1"/>
  <c r="HC55" i="1"/>
  <c r="GX55" i="1" s="1"/>
  <c r="I56" i="1"/>
  <c r="K56" i="1"/>
  <c r="AC56" i="1"/>
  <c r="AD56" i="1"/>
  <c r="AE56" i="1"/>
  <c r="CS56" i="1" s="1"/>
  <c r="AF56" i="1"/>
  <c r="CT56" i="1" s="1"/>
  <c r="AG56" i="1"/>
  <c r="CU56" i="1" s="1"/>
  <c r="AH56" i="1"/>
  <c r="CV56" i="1" s="1"/>
  <c r="AI56" i="1"/>
  <c r="CW56" i="1" s="1"/>
  <c r="AJ56" i="1"/>
  <c r="CX56" i="1" s="1"/>
  <c r="CQ56" i="1"/>
  <c r="CR56" i="1"/>
  <c r="GL56" i="1"/>
  <c r="GO56" i="1"/>
  <c r="GP56" i="1"/>
  <c r="GV56" i="1"/>
  <c r="HC56" i="1" s="1"/>
  <c r="I57" i="1"/>
  <c r="K57" i="1"/>
  <c r="AC57" i="1"/>
  <c r="AE57" i="1"/>
  <c r="AF57" i="1"/>
  <c r="AG57" i="1"/>
  <c r="CU57" i="1" s="1"/>
  <c r="AH57" i="1"/>
  <c r="AI57" i="1"/>
  <c r="AJ57" i="1"/>
  <c r="CX57" i="1" s="1"/>
  <c r="CQ57" i="1"/>
  <c r="CT57" i="1"/>
  <c r="CV57" i="1"/>
  <c r="CW57" i="1"/>
  <c r="GL57" i="1"/>
  <c r="GO57" i="1"/>
  <c r="GP57" i="1"/>
  <c r="GV57" i="1"/>
  <c r="HC57" i="1" s="1"/>
  <c r="B59" i="1"/>
  <c r="C59" i="1"/>
  <c r="C26" i="1" s="1"/>
  <c r="D59" i="1"/>
  <c r="D26" i="1" s="1"/>
  <c r="F59" i="1"/>
  <c r="F26" i="1" s="1"/>
  <c r="G59" i="1"/>
  <c r="G26" i="1" s="1"/>
  <c r="BD59" i="1"/>
  <c r="BX59" i="1"/>
  <c r="BY59" i="1"/>
  <c r="BY26" i="1" s="1"/>
  <c r="CK59" i="1"/>
  <c r="BB59" i="1" s="1"/>
  <c r="BB26" i="1" s="1"/>
  <c r="CL59" i="1"/>
  <c r="BC59" i="1" s="1"/>
  <c r="CM59" i="1"/>
  <c r="CM26" i="1" s="1"/>
  <c r="EH59" i="1"/>
  <c r="EI59" i="1"/>
  <c r="ET59" i="1"/>
  <c r="ET26" i="1" s="1"/>
  <c r="FP59" i="1"/>
  <c r="FQ59" i="1"/>
  <c r="FR59" i="1"/>
  <c r="GC59" i="1"/>
  <c r="GC26" i="1" s="1"/>
  <c r="GD59" i="1"/>
  <c r="GD26" i="1" s="1"/>
  <c r="GE59" i="1"/>
  <c r="F72" i="1"/>
  <c r="P72" i="1"/>
  <c r="D89" i="1"/>
  <c r="E91" i="1"/>
  <c r="Z91" i="1"/>
  <c r="AA91" i="1"/>
  <c r="AM91" i="1"/>
  <c r="AN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Y91" i="1"/>
  <c r="CK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R91" i="1"/>
  <c r="DS91" i="1"/>
  <c r="EE91" i="1"/>
  <c r="EF91" i="1"/>
  <c r="EW91" i="1"/>
  <c r="EX91" i="1"/>
  <c r="EY91" i="1"/>
  <c r="EZ91" i="1"/>
  <c r="FA91" i="1"/>
  <c r="FB91" i="1"/>
  <c r="FC91" i="1"/>
  <c r="FD91" i="1"/>
  <c r="FE91" i="1"/>
  <c r="FF91" i="1"/>
  <c r="FG91" i="1"/>
  <c r="FH91" i="1"/>
  <c r="FI91" i="1"/>
  <c r="FJ91" i="1"/>
  <c r="FK91" i="1"/>
  <c r="FL91" i="1"/>
  <c r="FM91" i="1"/>
  <c r="FN91" i="1"/>
  <c r="FO91" i="1"/>
  <c r="GC91" i="1"/>
  <c r="GF91" i="1"/>
  <c r="GG91" i="1"/>
  <c r="GH91" i="1"/>
  <c r="GI91" i="1"/>
  <c r="GJ91" i="1"/>
  <c r="GK91" i="1"/>
  <c r="GL91" i="1"/>
  <c r="GM91" i="1"/>
  <c r="GN91" i="1"/>
  <c r="GO91" i="1"/>
  <c r="GP91" i="1"/>
  <c r="GQ91" i="1"/>
  <c r="GR91" i="1"/>
  <c r="GS91" i="1"/>
  <c r="GT91" i="1"/>
  <c r="GU91" i="1"/>
  <c r="GV91" i="1"/>
  <c r="GW91" i="1"/>
  <c r="GX91" i="1"/>
  <c r="D93" i="1"/>
  <c r="I93" i="1"/>
  <c r="K93" i="1"/>
  <c r="P93" i="1"/>
  <c r="Q93" i="1"/>
  <c r="T93" i="1"/>
  <c r="W93" i="1"/>
  <c r="AC93" i="1"/>
  <c r="AE93" i="1"/>
  <c r="R93" i="1" s="1"/>
  <c r="AF93" i="1"/>
  <c r="AG93" i="1"/>
  <c r="AH93" i="1"/>
  <c r="CV93" i="1" s="1"/>
  <c r="U93" i="1" s="1"/>
  <c r="AI93" i="1"/>
  <c r="CW93" i="1" s="1"/>
  <c r="V93" i="1" s="1"/>
  <c r="AJ93" i="1"/>
  <c r="CQ93" i="1"/>
  <c r="CR93" i="1"/>
  <c r="CS93" i="1"/>
  <c r="CU93" i="1"/>
  <c r="CX93" i="1"/>
  <c r="GK93" i="1"/>
  <c r="GL93" i="1"/>
  <c r="GN93" i="1"/>
  <c r="GP93" i="1"/>
  <c r="GV93" i="1"/>
  <c r="HC93" i="1" s="1"/>
  <c r="GX93" i="1"/>
  <c r="D94" i="1"/>
  <c r="I94" i="1"/>
  <c r="Q94" i="1" s="1"/>
  <c r="K94" i="1"/>
  <c r="P94" i="1"/>
  <c r="R94" i="1"/>
  <c r="GK94" i="1" s="1"/>
  <c r="S94" i="1"/>
  <c r="U94" i="1"/>
  <c r="AC94" i="1"/>
  <c r="AD94" i="1"/>
  <c r="AE94" i="1"/>
  <c r="AF94" i="1"/>
  <c r="CT94" i="1" s="1"/>
  <c r="AG94" i="1"/>
  <c r="CU94" i="1" s="1"/>
  <c r="T94" i="1" s="1"/>
  <c r="AH94" i="1"/>
  <c r="AI94" i="1"/>
  <c r="AJ94" i="1"/>
  <c r="CQ94" i="1"/>
  <c r="CR94" i="1"/>
  <c r="CS94" i="1"/>
  <c r="CV94" i="1"/>
  <c r="CW94" i="1"/>
  <c r="V94" i="1" s="1"/>
  <c r="CX94" i="1"/>
  <c r="W94" i="1" s="1"/>
  <c r="GL94" i="1"/>
  <c r="GN94" i="1"/>
  <c r="GP94" i="1"/>
  <c r="GV94" i="1"/>
  <c r="HC94" i="1" s="1"/>
  <c r="D95" i="1"/>
  <c r="I95" i="1"/>
  <c r="K95" i="1"/>
  <c r="P95" i="1"/>
  <c r="Q95" i="1"/>
  <c r="R95" i="1"/>
  <c r="S95" i="1"/>
  <c r="T95" i="1"/>
  <c r="AC95" i="1"/>
  <c r="AB95" i="1" s="1"/>
  <c r="AD95" i="1"/>
  <c r="AE95" i="1"/>
  <c r="AF95" i="1"/>
  <c r="CT95" i="1" s="1"/>
  <c r="AG95" i="1"/>
  <c r="CU95" i="1" s="1"/>
  <c r="AH95" i="1"/>
  <c r="CV95" i="1" s="1"/>
  <c r="U95" i="1" s="1"/>
  <c r="AI95" i="1"/>
  <c r="AJ95" i="1"/>
  <c r="CP95" i="1"/>
  <c r="O95" i="1" s="1"/>
  <c r="CQ95" i="1"/>
  <c r="CW95" i="1"/>
  <c r="V95" i="1" s="1"/>
  <c r="CX95" i="1"/>
  <c r="W95" i="1" s="1"/>
  <c r="GL95" i="1"/>
  <c r="GN95" i="1"/>
  <c r="GP95" i="1"/>
  <c r="GV95" i="1"/>
  <c r="HC95" i="1"/>
  <c r="GX95" i="1" s="1"/>
  <c r="D96" i="1"/>
  <c r="I96" i="1"/>
  <c r="K96" i="1"/>
  <c r="P96" i="1"/>
  <c r="AC96" i="1"/>
  <c r="AE96" i="1"/>
  <c r="AF96" i="1"/>
  <c r="AG96" i="1"/>
  <c r="AH96" i="1"/>
  <c r="CV96" i="1" s="1"/>
  <c r="AI96" i="1"/>
  <c r="CW96" i="1" s="1"/>
  <c r="AJ96" i="1"/>
  <c r="CQ96" i="1"/>
  <c r="CT96" i="1"/>
  <c r="CU96" i="1"/>
  <c r="T96" i="1" s="1"/>
  <c r="CX96" i="1"/>
  <c r="GL96" i="1"/>
  <c r="GN96" i="1"/>
  <c r="GP96" i="1"/>
  <c r="GV96" i="1"/>
  <c r="HC96" i="1" s="1"/>
  <c r="D97" i="1"/>
  <c r="I97" i="1"/>
  <c r="K97" i="1"/>
  <c r="P97" i="1"/>
  <c r="AC97" i="1"/>
  <c r="CQ97" i="1" s="1"/>
  <c r="AE97" i="1"/>
  <c r="AF97" i="1"/>
  <c r="AG97" i="1"/>
  <c r="AH97" i="1"/>
  <c r="AI97" i="1"/>
  <c r="CW97" i="1" s="1"/>
  <c r="V97" i="1" s="1"/>
  <c r="AJ97" i="1"/>
  <c r="CS97" i="1"/>
  <c r="CU97" i="1"/>
  <c r="T97" i="1" s="1"/>
  <c r="CV97" i="1"/>
  <c r="U97" i="1" s="1"/>
  <c r="CX97" i="1"/>
  <c r="GL97" i="1"/>
  <c r="GN97" i="1"/>
  <c r="GP97" i="1"/>
  <c r="GV97" i="1"/>
  <c r="HC97" i="1" s="1"/>
  <c r="GX97" i="1"/>
  <c r="D98" i="1"/>
  <c r="I98" i="1"/>
  <c r="K98" i="1"/>
  <c r="Q98" i="1"/>
  <c r="R98" i="1"/>
  <c r="W98" i="1"/>
  <c r="AC98" i="1"/>
  <c r="AE98" i="1"/>
  <c r="AF98" i="1"/>
  <c r="AG98" i="1"/>
  <c r="CU98" i="1" s="1"/>
  <c r="T98" i="1" s="1"/>
  <c r="AH98" i="1"/>
  <c r="AI98" i="1"/>
  <c r="AJ98" i="1"/>
  <c r="CX98" i="1" s="1"/>
  <c r="CS98" i="1"/>
  <c r="CV98" i="1"/>
  <c r="U98" i="1" s="1"/>
  <c r="CW98" i="1"/>
  <c r="V98" i="1" s="1"/>
  <c r="GK98" i="1"/>
  <c r="GL98" i="1"/>
  <c r="GN98" i="1"/>
  <c r="GP98" i="1"/>
  <c r="GV98" i="1"/>
  <c r="GX98" i="1"/>
  <c r="HC98" i="1"/>
  <c r="D99" i="1"/>
  <c r="I99" i="1"/>
  <c r="K99" i="1"/>
  <c r="V99" i="1"/>
  <c r="AC99" i="1"/>
  <c r="AD99" i="1"/>
  <c r="AE99" i="1"/>
  <c r="AF99" i="1"/>
  <c r="AG99" i="1"/>
  <c r="AH99" i="1"/>
  <c r="AI99" i="1"/>
  <c r="AJ99" i="1"/>
  <c r="CT99" i="1"/>
  <c r="CU99" i="1"/>
  <c r="T99" i="1" s="1"/>
  <c r="CV99" i="1"/>
  <c r="U99" i="1" s="1"/>
  <c r="CW99" i="1"/>
  <c r="CX99" i="1"/>
  <c r="W99" i="1" s="1"/>
  <c r="GL99" i="1"/>
  <c r="GN99" i="1"/>
  <c r="GP99" i="1"/>
  <c r="GV99" i="1"/>
  <c r="HC99" i="1" s="1"/>
  <c r="GX99" i="1" s="1"/>
  <c r="D100" i="1"/>
  <c r="I100" i="1"/>
  <c r="Q100" i="1" s="1"/>
  <c r="K100" i="1"/>
  <c r="S100" i="1"/>
  <c r="T100" i="1"/>
  <c r="V100" i="1"/>
  <c r="AC100" i="1"/>
  <c r="AD100" i="1"/>
  <c r="AE100" i="1"/>
  <c r="AF100" i="1"/>
  <c r="AG100" i="1"/>
  <c r="AH100" i="1"/>
  <c r="AI100" i="1"/>
  <c r="AJ100" i="1"/>
  <c r="CX100" i="1" s="1"/>
  <c r="W100" i="1" s="1"/>
  <c r="CR100" i="1"/>
  <c r="CT100" i="1"/>
  <c r="CU100" i="1"/>
  <c r="CV100" i="1"/>
  <c r="CW100" i="1"/>
  <c r="GL100" i="1"/>
  <c r="GN100" i="1"/>
  <c r="GP100" i="1"/>
  <c r="GV100" i="1"/>
  <c r="HC100" i="1" s="1"/>
  <c r="GX100" i="1" s="1"/>
  <c r="P101" i="1"/>
  <c r="W101" i="1"/>
  <c r="AC101" i="1"/>
  <c r="CQ101" i="1" s="1"/>
  <c r="AE101" i="1"/>
  <c r="AF101" i="1"/>
  <c r="AG101" i="1"/>
  <c r="AH101" i="1"/>
  <c r="CV101" i="1" s="1"/>
  <c r="U101" i="1" s="1"/>
  <c r="AI101" i="1"/>
  <c r="CW101" i="1" s="1"/>
  <c r="V101" i="1" s="1"/>
  <c r="AJ101" i="1"/>
  <c r="CU101" i="1"/>
  <c r="T101" i="1" s="1"/>
  <c r="CX101" i="1"/>
  <c r="GL101" i="1"/>
  <c r="GO101" i="1"/>
  <c r="GP101" i="1"/>
  <c r="GV101" i="1"/>
  <c r="HC101" i="1" s="1"/>
  <c r="GX101" i="1" s="1"/>
  <c r="P102" i="1"/>
  <c r="Q102" i="1"/>
  <c r="S102" i="1"/>
  <c r="V102" i="1"/>
  <c r="AC102" i="1"/>
  <c r="AE102" i="1"/>
  <c r="AF102" i="1"/>
  <c r="AG102" i="1"/>
  <c r="AH102" i="1"/>
  <c r="AI102" i="1"/>
  <c r="CW102" i="1" s="1"/>
  <c r="AJ102" i="1"/>
  <c r="CX102" i="1" s="1"/>
  <c r="W102" i="1" s="1"/>
  <c r="CQ102" i="1"/>
  <c r="CT102" i="1"/>
  <c r="CU102" i="1"/>
  <c r="T102" i="1" s="1"/>
  <c r="CV102" i="1"/>
  <c r="U102" i="1" s="1"/>
  <c r="GL102" i="1"/>
  <c r="GO102" i="1"/>
  <c r="GP102" i="1"/>
  <c r="GV102" i="1"/>
  <c r="HC102" i="1" s="1"/>
  <c r="GX102" i="1"/>
  <c r="D103" i="1"/>
  <c r="I103" i="1"/>
  <c r="Q103" i="1" s="1"/>
  <c r="K103" i="1"/>
  <c r="AC103" i="1"/>
  <c r="AE103" i="1"/>
  <c r="AF103" i="1"/>
  <c r="AG103" i="1"/>
  <c r="CU103" i="1" s="1"/>
  <c r="AH103" i="1"/>
  <c r="AI103" i="1"/>
  <c r="CW103" i="1" s="1"/>
  <c r="AJ103" i="1"/>
  <c r="CX103" i="1" s="1"/>
  <c r="W103" i="1" s="1"/>
  <c r="CV103" i="1"/>
  <c r="U103" i="1" s="1"/>
  <c r="GL103" i="1"/>
  <c r="GN103" i="1"/>
  <c r="GP103" i="1"/>
  <c r="GV103" i="1"/>
  <c r="HC103" i="1"/>
  <c r="GX103" i="1" s="1"/>
  <c r="D104" i="1"/>
  <c r="I104" i="1"/>
  <c r="K104" i="1"/>
  <c r="Q104" i="1"/>
  <c r="R104" i="1"/>
  <c r="GK104" i="1" s="1"/>
  <c r="S104" i="1"/>
  <c r="AC104" i="1"/>
  <c r="AE104" i="1"/>
  <c r="AF104" i="1"/>
  <c r="AG104" i="1"/>
  <c r="CU104" i="1" s="1"/>
  <c r="T104" i="1" s="1"/>
  <c r="AH104" i="1"/>
  <c r="AI104" i="1"/>
  <c r="AJ104" i="1"/>
  <c r="CX104" i="1" s="1"/>
  <c r="W104" i="1" s="1"/>
  <c r="CT104" i="1"/>
  <c r="CV104" i="1"/>
  <c r="U104" i="1" s="1"/>
  <c r="CW104" i="1"/>
  <c r="V104" i="1" s="1"/>
  <c r="GL104" i="1"/>
  <c r="GN104" i="1"/>
  <c r="GP104" i="1"/>
  <c r="GV104" i="1"/>
  <c r="GX104" i="1"/>
  <c r="HC104" i="1"/>
  <c r="D105" i="1"/>
  <c r="I105" i="1"/>
  <c r="K105" i="1"/>
  <c r="P105" i="1"/>
  <c r="CP105" i="1" s="1"/>
  <c r="O105" i="1" s="1"/>
  <c r="GM105" i="1" s="1"/>
  <c r="GO105" i="1" s="1"/>
  <c r="Q105" i="1"/>
  <c r="S105" i="1"/>
  <c r="CZ105" i="1" s="1"/>
  <c r="V105" i="1"/>
  <c r="X105" i="1"/>
  <c r="Y105" i="1"/>
  <c r="AB105" i="1"/>
  <c r="AC105" i="1"/>
  <c r="AD105" i="1"/>
  <c r="AE105" i="1"/>
  <c r="R105" i="1" s="1"/>
  <c r="AF105" i="1"/>
  <c r="AG105" i="1"/>
  <c r="CU105" i="1" s="1"/>
  <c r="T105" i="1" s="1"/>
  <c r="AH105" i="1"/>
  <c r="CV105" i="1" s="1"/>
  <c r="U105" i="1" s="1"/>
  <c r="AI105" i="1"/>
  <c r="AJ105" i="1"/>
  <c r="CQ105" i="1"/>
  <c r="CR105" i="1"/>
  <c r="CS105" i="1"/>
  <c r="CT105" i="1"/>
  <c r="CW105" i="1"/>
  <c r="CX105" i="1"/>
  <c r="W105" i="1" s="1"/>
  <c r="CY105" i="1"/>
  <c r="GK105" i="1"/>
  <c r="GL105" i="1"/>
  <c r="GN105" i="1"/>
  <c r="GP105" i="1"/>
  <c r="GV105" i="1"/>
  <c r="HC105" i="1" s="1"/>
  <c r="GX105" i="1"/>
  <c r="D106" i="1"/>
  <c r="I106" i="1"/>
  <c r="K106" i="1"/>
  <c r="S106" i="1"/>
  <c r="U106" i="1"/>
  <c r="AC106" i="1"/>
  <c r="AE106" i="1"/>
  <c r="AF106" i="1"/>
  <c r="AG106" i="1"/>
  <c r="AH106" i="1"/>
  <c r="AI106" i="1"/>
  <c r="AJ106" i="1"/>
  <c r="CT106" i="1"/>
  <c r="CU106" i="1"/>
  <c r="T106" i="1" s="1"/>
  <c r="CV106" i="1"/>
  <c r="CW106" i="1"/>
  <c r="V106" i="1" s="1"/>
  <c r="CX106" i="1"/>
  <c r="W106" i="1" s="1"/>
  <c r="GL106" i="1"/>
  <c r="GN106" i="1"/>
  <c r="GP106" i="1"/>
  <c r="GV106" i="1"/>
  <c r="HC106" i="1"/>
  <c r="GX106" i="1" s="1"/>
  <c r="D107" i="1"/>
  <c r="P107" i="1"/>
  <c r="CP107" i="1" s="1"/>
  <c r="O107" i="1" s="1"/>
  <c r="Q107" i="1"/>
  <c r="S107" i="1"/>
  <c r="CZ107" i="1" s="1"/>
  <c r="V107" i="1"/>
  <c r="Y107" i="1"/>
  <c r="AC107" i="1"/>
  <c r="CQ107" i="1" s="1"/>
  <c r="AE107" i="1"/>
  <c r="AF107" i="1"/>
  <c r="AG107" i="1"/>
  <c r="AH107" i="1"/>
  <c r="CV107" i="1" s="1"/>
  <c r="U107" i="1" s="1"/>
  <c r="AI107" i="1"/>
  <c r="AJ107" i="1"/>
  <c r="CT107" i="1"/>
  <c r="CU107" i="1"/>
  <c r="T107" i="1" s="1"/>
  <c r="CW107" i="1"/>
  <c r="CX107" i="1"/>
  <c r="W107" i="1" s="1"/>
  <c r="CY107" i="1"/>
  <c r="X107" i="1" s="1"/>
  <c r="GL107" i="1"/>
  <c r="GN107" i="1"/>
  <c r="GP107" i="1"/>
  <c r="GV107" i="1"/>
  <c r="HC107" i="1" s="1"/>
  <c r="GX107" i="1"/>
  <c r="D108" i="1"/>
  <c r="Q108" i="1"/>
  <c r="R108" i="1"/>
  <c r="GK108" i="1" s="1"/>
  <c r="S108" i="1"/>
  <c r="T108" i="1"/>
  <c r="AC108" i="1"/>
  <c r="AE108" i="1"/>
  <c r="AF108" i="1"/>
  <c r="CT108" i="1" s="1"/>
  <c r="AG108" i="1"/>
  <c r="CU108" i="1" s="1"/>
  <c r="AH108" i="1"/>
  <c r="CV108" i="1" s="1"/>
  <c r="U108" i="1" s="1"/>
  <c r="AI108" i="1"/>
  <c r="AJ108" i="1"/>
  <c r="CW108" i="1"/>
  <c r="V108" i="1" s="1"/>
  <c r="CX108" i="1"/>
  <c r="W108" i="1" s="1"/>
  <c r="GL108" i="1"/>
  <c r="GN108" i="1"/>
  <c r="GP108" i="1"/>
  <c r="GV108" i="1"/>
  <c r="HC108" i="1"/>
  <c r="GX108" i="1" s="1"/>
  <c r="D109" i="1"/>
  <c r="P109" i="1"/>
  <c r="Q109" i="1"/>
  <c r="U109" i="1"/>
  <c r="AC109" i="1"/>
  <c r="CQ109" i="1" s="1"/>
  <c r="AD109" i="1"/>
  <c r="AE109" i="1"/>
  <c r="AF109" i="1"/>
  <c r="AG109" i="1"/>
  <c r="CU109" i="1" s="1"/>
  <c r="T109" i="1" s="1"/>
  <c r="AH109" i="1"/>
  <c r="AI109" i="1"/>
  <c r="CW109" i="1" s="1"/>
  <c r="V109" i="1" s="1"/>
  <c r="AJ109" i="1"/>
  <c r="CV109" i="1"/>
  <c r="CX109" i="1"/>
  <c r="W109" i="1" s="1"/>
  <c r="GL109" i="1"/>
  <c r="GN109" i="1"/>
  <c r="GP109" i="1"/>
  <c r="GV109" i="1"/>
  <c r="HC109" i="1" s="1"/>
  <c r="GX109" i="1" s="1"/>
  <c r="D110" i="1"/>
  <c r="P110" i="1"/>
  <c r="CP110" i="1" s="1"/>
  <c r="O110" i="1" s="1"/>
  <c r="Q110" i="1"/>
  <c r="S110" i="1"/>
  <c r="CY110" i="1" s="1"/>
  <c r="X110" i="1" s="1"/>
  <c r="W110" i="1"/>
  <c r="AC110" i="1"/>
  <c r="AE110" i="1"/>
  <c r="AF110" i="1"/>
  <c r="AG110" i="1"/>
  <c r="CU110" i="1" s="1"/>
  <c r="T110" i="1" s="1"/>
  <c r="AH110" i="1"/>
  <c r="CV110" i="1" s="1"/>
  <c r="U110" i="1" s="1"/>
  <c r="AI110" i="1"/>
  <c r="CW110" i="1" s="1"/>
  <c r="V110" i="1" s="1"/>
  <c r="AJ110" i="1"/>
  <c r="CQ110" i="1"/>
  <c r="CR110" i="1"/>
  <c r="CS110" i="1"/>
  <c r="CT110" i="1"/>
  <c r="CX110" i="1"/>
  <c r="CZ110" i="1"/>
  <c r="Y110" i="1" s="1"/>
  <c r="GL110" i="1"/>
  <c r="GN110" i="1"/>
  <c r="GP110" i="1"/>
  <c r="GV110" i="1"/>
  <c r="HC110" i="1" s="1"/>
  <c r="GX110" i="1" s="1"/>
  <c r="D111" i="1"/>
  <c r="P111" i="1"/>
  <c r="Q111" i="1"/>
  <c r="CP111" i="1" s="1"/>
  <c r="O111" i="1" s="1"/>
  <c r="R111" i="1"/>
  <c r="GK111" i="1" s="1"/>
  <c r="T111" i="1"/>
  <c r="U111" i="1"/>
  <c r="W111" i="1"/>
  <c r="X111" i="1"/>
  <c r="AC111" i="1"/>
  <c r="AE111" i="1"/>
  <c r="AF111" i="1"/>
  <c r="S111" i="1" s="1"/>
  <c r="AG111" i="1"/>
  <c r="CU111" i="1" s="1"/>
  <c r="AH111" i="1"/>
  <c r="CV111" i="1" s="1"/>
  <c r="AI111" i="1"/>
  <c r="AJ111" i="1"/>
  <c r="CQ111" i="1"/>
  <c r="CS111" i="1"/>
  <c r="CT111" i="1"/>
  <c r="CW111" i="1"/>
  <c r="V111" i="1" s="1"/>
  <c r="CX111" i="1"/>
  <c r="CY111" i="1"/>
  <c r="CZ111" i="1"/>
  <c r="Y111" i="1" s="1"/>
  <c r="GL111" i="1"/>
  <c r="GN111" i="1"/>
  <c r="GP111" i="1"/>
  <c r="GV111" i="1"/>
  <c r="HC111" i="1" s="1"/>
  <c r="GX111" i="1" s="1"/>
  <c r="D112" i="1"/>
  <c r="P112" i="1"/>
  <c r="R112" i="1"/>
  <c r="GK112" i="1" s="1"/>
  <c r="U112" i="1"/>
  <c r="AC112" i="1"/>
  <c r="AD112" i="1"/>
  <c r="AE112" i="1"/>
  <c r="Q112" i="1" s="1"/>
  <c r="AF112" i="1"/>
  <c r="AG112" i="1"/>
  <c r="CU112" i="1" s="1"/>
  <c r="T112" i="1" s="1"/>
  <c r="AH112" i="1"/>
  <c r="AI112" i="1"/>
  <c r="CW112" i="1" s="1"/>
  <c r="V112" i="1" s="1"/>
  <c r="AJ112" i="1"/>
  <c r="CQ112" i="1"/>
  <c r="CR112" i="1"/>
  <c r="CS112" i="1"/>
  <c r="CV112" i="1"/>
  <c r="CX112" i="1"/>
  <c r="W112" i="1" s="1"/>
  <c r="GL112" i="1"/>
  <c r="GN112" i="1"/>
  <c r="GP112" i="1"/>
  <c r="GV112" i="1"/>
  <c r="HC112" i="1" s="1"/>
  <c r="GX112" i="1" s="1"/>
  <c r="I113" i="1"/>
  <c r="K113" i="1"/>
  <c r="Q113" i="1"/>
  <c r="U113" i="1"/>
  <c r="V113" i="1"/>
  <c r="AC113" i="1"/>
  <c r="AE113" i="1"/>
  <c r="AF113" i="1"/>
  <c r="AG113" i="1"/>
  <c r="CU113" i="1" s="1"/>
  <c r="AH113" i="1"/>
  <c r="CV113" i="1" s="1"/>
  <c r="AI113" i="1"/>
  <c r="AJ113" i="1"/>
  <c r="CX113" i="1" s="1"/>
  <c r="CQ113" i="1"/>
  <c r="CR113" i="1"/>
  <c r="CW113" i="1"/>
  <c r="GL113" i="1"/>
  <c r="GN113" i="1"/>
  <c r="GP113" i="1"/>
  <c r="GV113" i="1"/>
  <c r="HC113" i="1" s="1"/>
  <c r="GX113" i="1" s="1"/>
  <c r="I114" i="1"/>
  <c r="K114" i="1"/>
  <c r="P114" i="1"/>
  <c r="W114" i="1"/>
  <c r="AC114" i="1"/>
  <c r="AD114" i="1"/>
  <c r="AE114" i="1"/>
  <c r="AF114" i="1"/>
  <c r="AG114" i="1"/>
  <c r="CU114" i="1" s="1"/>
  <c r="T114" i="1" s="1"/>
  <c r="AH114" i="1"/>
  <c r="AI114" i="1"/>
  <c r="AJ114" i="1"/>
  <c r="CQ114" i="1"/>
  <c r="CV114" i="1"/>
  <c r="U114" i="1" s="1"/>
  <c r="CW114" i="1"/>
  <c r="V114" i="1" s="1"/>
  <c r="CX114" i="1"/>
  <c r="GL114" i="1"/>
  <c r="GN114" i="1"/>
  <c r="GP114" i="1"/>
  <c r="GV114" i="1"/>
  <c r="HC114" i="1" s="1"/>
  <c r="GX114" i="1" s="1"/>
  <c r="Q115" i="1"/>
  <c r="R115" i="1"/>
  <c r="GK115" i="1" s="1"/>
  <c r="S115" i="1"/>
  <c r="V115" i="1"/>
  <c r="AC115" i="1"/>
  <c r="AE115" i="1"/>
  <c r="AD115" i="1" s="1"/>
  <c r="AF115" i="1"/>
  <c r="CT115" i="1" s="1"/>
  <c r="AG115" i="1"/>
  <c r="CU115" i="1" s="1"/>
  <c r="T115" i="1" s="1"/>
  <c r="AH115" i="1"/>
  <c r="CV115" i="1" s="1"/>
  <c r="U115" i="1" s="1"/>
  <c r="AI115" i="1"/>
  <c r="CW115" i="1" s="1"/>
  <c r="AJ115" i="1"/>
  <c r="CX115" i="1" s="1"/>
  <c r="W115" i="1" s="1"/>
  <c r="CR115" i="1"/>
  <c r="CS115" i="1"/>
  <c r="CY115" i="1"/>
  <c r="X115" i="1" s="1"/>
  <c r="CZ115" i="1"/>
  <c r="Y115" i="1" s="1"/>
  <c r="GL115" i="1"/>
  <c r="GN115" i="1"/>
  <c r="GP115" i="1"/>
  <c r="GV115" i="1"/>
  <c r="GX115" i="1"/>
  <c r="HC115" i="1"/>
  <c r="Q116" i="1"/>
  <c r="R116" i="1"/>
  <c r="GK116" i="1" s="1"/>
  <c r="S116" i="1"/>
  <c r="CY116" i="1" s="1"/>
  <c r="X116" i="1" s="1"/>
  <c r="V116" i="1"/>
  <c r="W116" i="1"/>
  <c r="AC116" i="1"/>
  <c r="AD116" i="1"/>
  <c r="AE116" i="1"/>
  <c r="AF116" i="1"/>
  <c r="AG116" i="1"/>
  <c r="CU116" i="1" s="1"/>
  <c r="T116" i="1" s="1"/>
  <c r="AH116" i="1"/>
  <c r="CV116" i="1" s="1"/>
  <c r="U116" i="1" s="1"/>
  <c r="AI116" i="1"/>
  <c r="CW116" i="1" s="1"/>
  <c r="AJ116" i="1"/>
  <c r="CR116" i="1"/>
  <c r="CS116" i="1"/>
  <c r="CT116" i="1"/>
  <c r="CX116" i="1"/>
  <c r="GL116" i="1"/>
  <c r="GN116" i="1"/>
  <c r="GP116" i="1"/>
  <c r="GV116" i="1"/>
  <c r="HC116" i="1" s="1"/>
  <c r="GX116" i="1"/>
  <c r="D117" i="1"/>
  <c r="P117" i="1"/>
  <c r="U117" i="1"/>
  <c r="AC117" i="1"/>
  <c r="AE117" i="1"/>
  <c r="AF117" i="1"/>
  <c r="AG117" i="1"/>
  <c r="AH117" i="1"/>
  <c r="AI117" i="1"/>
  <c r="AJ117" i="1"/>
  <c r="CX117" i="1" s="1"/>
  <c r="W117" i="1" s="1"/>
  <c r="CQ117" i="1"/>
  <c r="CU117" i="1"/>
  <c r="T117" i="1" s="1"/>
  <c r="CV117" i="1"/>
  <c r="CW117" i="1"/>
  <c r="V117" i="1" s="1"/>
  <c r="GL117" i="1"/>
  <c r="GN117" i="1"/>
  <c r="GP117" i="1"/>
  <c r="GV117" i="1"/>
  <c r="HC117" i="1" s="1"/>
  <c r="GX117" i="1" s="1"/>
  <c r="D118" i="1"/>
  <c r="Q118" i="1"/>
  <c r="R118" i="1"/>
  <c r="GK118" i="1" s="1"/>
  <c r="S118" i="1"/>
  <c r="W118" i="1"/>
  <c r="AC118" i="1"/>
  <c r="AD118" i="1"/>
  <c r="AE118" i="1"/>
  <c r="CS118" i="1" s="1"/>
  <c r="AF118" i="1"/>
  <c r="CT118" i="1" s="1"/>
  <c r="AG118" i="1"/>
  <c r="CU118" i="1" s="1"/>
  <c r="T118" i="1" s="1"/>
  <c r="AH118" i="1"/>
  <c r="AI118" i="1"/>
  <c r="CW118" i="1" s="1"/>
  <c r="V118" i="1" s="1"/>
  <c r="AJ118" i="1"/>
  <c r="CX118" i="1" s="1"/>
  <c r="CQ118" i="1"/>
  <c r="CR118" i="1"/>
  <c r="CV118" i="1"/>
  <c r="U118" i="1" s="1"/>
  <c r="GL118" i="1"/>
  <c r="GN118" i="1"/>
  <c r="GP118" i="1"/>
  <c r="GV118" i="1"/>
  <c r="HC118" i="1" s="1"/>
  <c r="GX118" i="1" s="1"/>
  <c r="D119" i="1"/>
  <c r="P119" i="1"/>
  <c r="Q119" i="1"/>
  <c r="R119" i="1"/>
  <c r="GK119" i="1" s="1"/>
  <c r="S119" i="1"/>
  <c r="V119" i="1"/>
  <c r="W119" i="1"/>
  <c r="AC119" i="1"/>
  <c r="AE119" i="1"/>
  <c r="AF119" i="1"/>
  <c r="CT119" i="1" s="1"/>
  <c r="AG119" i="1"/>
  <c r="CU119" i="1" s="1"/>
  <c r="T119" i="1" s="1"/>
  <c r="AH119" i="1"/>
  <c r="AI119" i="1"/>
  <c r="AJ119" i="1"/>
  <c r="CX119" i="1" s="1"/>
  <c r="CP119" i="1"/>
  <c r="O119" i="1" s="1"/>
  <c r="CQ119" i="1"/>
  <c r="CV119" i="1"/>
  <c r="U119" i="1" s="1"/>
  <c r="CW119" i="1"/>
  <c r="GL119" i="1"/>
  <c r="GN119" i="1"/>
  <c r="GP119" i="1"/>
  <c r="GV119" i="1"/>
  <c r="GX119" i="1"/>
  <c r="HC119" i="1"/>
  <c r="D120" i="1"/>
  <c r="U120" i="1"/>
  <c r="AC120" i="1"/>
  <c r="AE120" i="1"/>
  <c r="AF120" i="1"/>
  <c r="AG120" i="1"/>
  <c r="CU120" i="1" s="1"/>
  <c r="T120" i="1" s="1"/>
  <c r="AH120" i="1"/>
  <c r="AI120" i="1"/>
  <c r="AJ120" i="1"/>
  <c r="CX120" i="1" s="1"/>
  <c r="W120" i="1" s="1"/>
  <c r="CV120" i="1"/>
  <c r="CW120" i="1"/>
  <c r="V120" i="1" s="1"/>
  <c r="GL120" i="1"/>
  <c r="GN120" i="1"/>
  <c r="GP120" i="1"/>
  <c r="GV120" i="1"/>
  <c r="HC120" i="1"/>
  <c r="GX120" i="1" s="1"/>
  <c r="C121" i="1"/>
  <c r="D121" i="1"/>
  <c r="I121" i="1"/>
  <c r="CX3" i="3" s="1"/>
  <c r="K121" i="1"/>
  <c r="AC121" i="1"/>
  <c r="AE121" i="1"/>
  <c r="AF121" i="1"/>
  <c r="AG121" i="1"/>
  <c r="AH121" i="1"/>
  <c r="AI121" i="1"/>
  <c r="AJ121" i="1"/>
  <c r="CX121" i="1" s="1"/>
  <c r="CU121" i="1"/>
  <c r="CV121" i="1"/>
  <c r="CW121" i="1"/>
  <c r="V121" i="1" s="1"/>
  <c r="GL121" i="1"/>
  <c r="GN121" i="1"/>
  <c r="GP121" i="1"/>
  <c r="GV121" i="1"/>
  <c r="HC121" i="1" s="1"/>
  <c r="GX121" i="1" s="1"/>
  <c r="C122" i="1"/>
  <c r="D122" i="1"/>
  <c r="I122" i="1"/>
  <c r="K122" i="1"/>
  <c r="AC122" i="1"/>
  <c r="AE122" i="1"/>
  <c r="AF122" i="1"/>
  <c r="AG122" i="1"/>
  <c r="AH122" i="1"/>
  <c r="CV122" i="1" s="1"/>
  <c r="AI122" i="1"/>
  <c r="AJ122" i="1"/>
  <c r="CT122" i="1"/>
  <c r="CU122" i="1"/>
  <c r="CW122" i="1"/>
  <c r="CX122" i="1"/>
  <c r="W122" i="1" s="1"/>
  <c r="GL122" i="1"/>
  <c r="GN122" i="1"/>
  <c r="GP122" i="1"/>
  <c r="GV122" i="1"/>
  <c r="HC122" i="1"/>
  <c r="C123" i="1"/>
  <c r="D123" i="1"/>
  <c r="I123" i="1"/>
  <c r="K123" i="1"/>
  <c r="Q123" i="1"/>
  <c r="CP123" i="1" s="1"/>
  <c r="O123" i="1" s="1"/>
  <c r="R123" i="1"/>
  <c r="GK123" i="1" s="1"/>
  <c r="V123" i="1"/>
  <c r="W123" i="1"/>
  <c r="AC123" i="1"/>
  <c r="P123" i="1" s="1"/>
  <c r="AE123" i="1"/>
  <c r="AD123" i="1" s="1"/>
  <c r="AF123" i="1"/>
  <c r="S123" i="1" s="1"/>
  <c r="AG123" i="1"/>
  <c r="CU123" i="1" s="1"/>
  <c r="T123" i="1" s="1"/>
  <c r="AH123" i="1"/>
  <c r="CV123" i="1" s="1"/>
  <c r="U123" i="1" s="1"/>
  <c r="AI123" i="1"/>
  <c r="AJ123" i="1"/>
  <c r="CQ123" i="1"/>
  <c r="CR123" i="1"/>
  <c r="CS123" i="1"/>
  <c r="CT123" i="1"/>
  <c r="CW123" i="1"/>
  <c r="CX123" i="1"/>
  <c r="CY123" i="1"/>
  <c r="X123" i="1" s="1"/>
  <c r="CZ123" i="1"/>
  <c r="Y123" i="1" s="1"/>
  <c r="GL123" i="1"/>
  <c r="GN123" i="1"/>
  <c r="GP123" i="1"/>
  <c r="GV123" i="1"/>
  <c r="HC123" i="1" s="1"/>
  <c r="GX123" i="1" s="1"/>
  <c r="C124" i="1"/>
  <c r="D124" i="1"/>
  <c r="I124" i="1"/>
  <c r="K124" i="1"/>
  <c r="T124" i="1"/>
  <c r="AC124" i="1"/>
  <c r="AE124" i="1"/>
  <c r="AF124" i="1"/>
  <c r="AG124" i="1"/>
  <c r="CU124" i="1" s="1"/>
  <c r="AH124" i="1"/>
  <c r="AI124" i="1"/>
  <c r="AJ124" i="1"/>
  <c r="CT124" i="1"/>
  <c r="CV124" i="1"/>
  <c r="U124" i="1" s="1"/>
  <c r="CW124" i="1"/>
  <c r="V124" i="1" s="1"/>
  <c r="CX124" i="1"/>
  <c r="W124" i="1" s="1"/>
  <c r="GL124" i="1"/>
  <c r="GN124" i="1"/>
  <c r="GP124" i="1"/>
  <c r="GV124" i="1"/>
  <c r="HC124" i="1" s="1"/>
  <c r="C125" i="1"/>
  <c r="D125" i="1"/>
  <c r="I125" i="1"/>
  <c r="K125" i="1"/>
  <c r="P125" i="1"/>
  <c r="AC125" i="1"/>
  <c r="CQ125" i="1" s="1"/>
  <c r="AE125" i="1"/>
  <c r="AF125" i="1"/>
  <c r="AG125" i="1"/>
  <c r="AH125" i="1"/>
  <c r="AI125" i="1"/>
  <c r="CW125" i="1" s="1"/>
  <c r="AJ125" i="1"/>
  <c r="CX125" i="1" s="1"/>
  <c r="CT125" i="1"/>
  <c r="CU125" i="1"/>
  <c r="T125" i="1" s="1"/>
  <c r="CV125" i="1"/>
  <c r="U125" i="1" s="1"/>
  <c r="GL125" i="1"/>
  <c r="GN125" i="1"/>
  <c r="GP125" i="1"/>
  <c r="GV125" i="1"/>
  <c r="HC125" i="1" s="1"/>
  <c r="C126" i="1"/>
  <c r="D126" i="1"/>
  <c r="I126" i="1"/>
  <c r="CU16" i="3" s="1"/>
  <c r="K126" i="1"/>
  <c r="S126" i="1"/>
  <c r="W126" i="1"/>
  <c r="AC126" i="1"/>
  <c r="AD126" i="1"/>
  <c r="AE126" i="1"/>
  <c r="AF126" i="1"/>
  <c r="AG126" i="1"/>
  <c r="AH126" i="1"/>
  <c r="AI126" i="1"/>
  <c r="AJ126" i="1"/>
  <c r="CT126" i="1"/>
  <c r="CU126" i="1"/>
  <c r="T126" i="1" s="1"/>
  <c r="CV126" i="1"/>
  <c r="U126" i="1" s="1"/>
  <c r="CW126" i="1"/>
  <c r="V126" i="1" s="1"/>
  <c r="CX126" i="1"/>
  <c r="GL126" i="1"/>
  <c r="GN126" i="1"/>
  <c r="GP126" i="1"/>
  <c r="GV126" i="1"/>
  <c r="HC126" i="1"/>
  <c r="GX126" i="1" s="1"/>
  <c r="C127" i="1"/>
  <c r="D127" i="1"/>
  <c r="I127" i="1"/>
  <c r="K127" i="1"/>
  <c r="AC127" i="1"/>
  <c r="AD127" i="1"/>
  <c r="AE127" i="1"/>
  <c r="AF127" i="1"/>
  <c r="AG127" i="1"/>
  <c r="AH127" i="1"/>
  <c r="AI127" i="1"/>
  <c r="CW127" i="1" s="1"/>
  <c r="AJ127" i="1"/>
  <c r="CX127" i="1" s="1"/>
  <c r="CT127" i="1"/>
  <c r="CU127" i="1"/>
  <c r="CV127" i="1"/>
  <c r="GL127" i="1"/>
  <c r="GN127" i="1"/>
  <c r="GP127" i="1"/>
  <c r="GV127" i="1"/>
  <c r="HC127" i="1" s="1"/>
  <c r="GX127" i="1" s="1"/>
  <c r="C128" i="1"/>
  <c r="D128" i="1"/>
  <c r="I128" i="1"/>
  <c r="K128" i="1"/>
  <c r="P128" i="1"/>
  <c r="Q128" i="1"/>
  <c r="S128" i="1"/>
  <c r="CY128" i="1" s="1"/>
  <c r="U128" i="1"/>
  <c r="V128" i="1"/>
  <c r="W128" i="1"/>
  <c r="X128" i="1"/>
  <c r="AC128" i="1"/>
  <c r="AD128" i="1"/>
  <c r="AB128" i="1" s="1"/>
  <c r="AE128" i="1"/>
  <c r="AF128" i="1"/>
  <c r="AG128" i="1"/>
  <c r="CU128" i="1" s="1"/>
  <c r="T128" i="1" s="1"/>
  <c r="AH128" i="1"/>
  <c r="CV128" i="1" s="1"/>
  <c r="AI128" i="1"/>
  <c r="CW128" i="1" s="1"/>
  <c r="AJ128" i="1"/>
  <c r="CX128" i="1" s="1"/>
  <c r="CP128" i="1"/>
  <c r="O128" i="1" s="1"/>
  <c r="CQ128" i="1"/>
  <c r="CR128" i="1"/>
  <c r="CT128" i="1"/>
  <c r="CZ128" i="1"/>
  <c r="Y128" i="1" s="1"/>
  <c r="GL128" i="1"/>
  <c r="GN128" i="1"/>
  <c r="GP128" i="1"/>
  <c r="GV128" i="1"/>
  <c r="HC128" i="1" s="1"/>
  <c r="GX128" i="1"/>
  <c r="D129" i="1"/>
  <c r="Q129" i="1"/>
  <c r="R129" i="1"/>
  <c r="GK129" i="1" s="1"/>
  <c r="S129" i="1"/>
  <c r="CY129" i="1" s="1"/>
  <c r="X129" i="1" s="1"/>
  <c r="T129" i="1"/>
  <c r="U129" i="1"/>
  <c r="V129" i="1"/>
  <c r="AC129" i="1"/>
  <c r="AD129" i="1"/>
  <c r="AE129" i="1"/>
  <c r="AF129" i="1"/>
  <c r="AG129" i="1"/>
  <c r="AH129" i="1"/>
  <c r="AI129" i="1"/>
  <c r="AJ129" i="1"/>
  <c r="CT129" i="1"/>
  <c r="CU129" i="1"/>
  <c r="CV129" i="1"/>
  <c r="CW129" i="1"/>
  <c r="CX129" i="1"/>
  <c r="W129" i="1" s="1"/>
  <c r="GL129" i="1"/>
  <c r="GN129" i="1"/>
  <c r="GP129" i="1"/>
  <c r="GV129" i="1"/>
  <c r="HC129" i="1"/>
  <c r="GX129" i="1" s="1"/>
  <c r="D130" i="1"/>
  <c r="S130" i="1"/>
  <c r="W130" i="1"/>
  <c r="AC130" i="1"/>
  <c r="AD130" i="1"/>
  <c r="AE130" i="1"/>
  <c r="AF130" i="1"/>
  <c r="AG130" i="1"/>
  <c r="AH130" i="1"/>
  <c r="AI130" i="1"/>
  <c r="AJ130" i="1"/>
  <c r="CR130" i="1"/>
  <c r="CS130" i="1"/>
  <c r="CT130" i="1"/>
  <c r="CU130" i="1"/>
  <c r="T130" i="1" s="1"/>
  <c r="CV130" i="1"/>
  <c r="U130" i="1" s="1"/>
  <c r="CW130" i="1"/>
  <c r="V130" i="1" s="1"/>
  <c r="CX130" i="1"/>
  <c r="GL130" i="1"/>
  <c r="GN130" i="1"/>
  <c r="GP130" i="1"/>
  <c r="GV130" i="1"/>
  <c r="HC130" i="1"/>
  <c r="GX130" i="1" s="1"/>
  <c r="Q131" i="1"/>
  <c r="W131" i="1"/>
  <c r="AC131" i="1"/>
  <c r="AE131" i="1"/>
  <c r="AF131" i="1"/>
  <c r="AG131" i="1"/>
  <c r="CU131" i="1" s="1"/>
  <c r="T131" i="1" s="1"/>
  <c r="AH131" i="1"/>
  <c r="AI131" i="1"/>
  <c r="AJ131" i="1"/>
  <c r="CR131" i="1"/>
  <c r="CV131" i="1"/>
  <c r="U131" i="1" s="1"/>
  <c r="CW131" i="1"/>
  <c r="V131" i="1" s="1"/>
  <c r="CX131" i="1"/>
  <c r="GL131" i="1"/>
  <c r="GO131" i="1"/>
  <c r="GP131" i="1"/>
  <c r="GV131" i="1"/>
  <c r="HC131" i="1"/>
  <c r="GX131" i="1" s="1"/>
  <c r="S132" i="1"/>
  <c r="CY132" i="1" s="1"/>
  <c r="X132" i="1" s="1"/>
  <c r="AC132" i="1"/>
  <c r="AE132" i="1"/>
  <c r="AF132" i="1"/>
  <c r="AG132" i="1"/>
  <c r="AH132" i="1"/>
  <c r="AI132" i="1"/>
  <c r="AJ132" i="1"/>
  <c r="CX132" i="1" s="1"/>
  <c r="W132" i="1" s="1"/>
  <c r="CT132" i="1"/>
  <c r="CU132" i="1"/>
  <c r="T132" i="1" s="1"/>
  <c r="CV132" i="1"/>
  <c r="U132" i="1" s="1"/>
  <c r="CW132" i="1"/>
  <c r="V132" i="1" s="1"/>
  <c r="CZ132" i="1"/>
  <c r="Y132" i="1" s="1"/>
  <c r="GL132" i="1"/>
  <c r="GO132" i="1"/>
  <c r="GP132" i="1"/>
  <c r="GV132" i="1"/>
  <c r="HC132" i="1"/>
  <c r="GX132" i="1" s="1"/>
  <c r="D133" i="1"/>
  <c r="Q133" i="1"/>
  <c r="R133" i="1"/>
  <c r="GK133" i="1" s="1"/>
  <c r="T133" i="1"/>
  <c r="U133" i="1"/>
  <c r="V133" i="1"/>
  <c r="W133" i="1"/>
  <c r="AC133" i="1"/>
  <c r="P133" i="1" s="1"/>
  <c r="AD133" i="1"/>
  <c r="AE133" i="1"/>
  <c r="AF133" i="1"/>
  <c r="AG133" i="1"/>
  <c r="AH133" i="1"/>
  <c r="CV133" i="1" s="1"/>
  <c r="AI133" i="1"/>
  <c r="CW133" i="1" s="1"/>
  <c r="AJ133" i="1"/>
  <c r="CX133" i="1" s="1"/>
  <c r="CQ133" i="1"/>
  <c r="CR133" i="1"/>
  <c r="CS133" i="1"/>
  <c r="CU133" i="1"/>
  <c r="GL133" i="1"/>
  <c r="GN133" i="1"/>
  <c r="GP133" i="1"/>
  <c r="GV133" i="1"/>
  <c r="HC133" i="1" s="1"/>
  <c r="GX133" i="1"/>
  <c r="D134" i="1"/>
  <c r="P134" i="1"/>
  <c r="U134" i="1"/>
  <c r="AC134" i="1"/>
  <c r="AE134" i="1"/>
  <c r="AF134" i="1"/>
  <c r="AG134" i="1"/>
  <c r="CU134" i="1" s="1"/>
  <c r="T134" i="1" s="1"/>
  <c r="AH134" i="1"/>
  <c r="CV134" i="1" s="1"/>
  <c r="AI134" i="1"/>
  <c r="AJ134" i="1"/>
  <c r="CQ134" i="1"/>
  <c r="CW134" i="1"/>
  <c r="V134" i="1" s="1"/>
  <c r="CX134" i="1"/>
  <c r="W134" i="1" s="1"/>
  <c r="GL134" i="1"/>
  <c r="GN134" i="1"/>
  <c r="GP134" i="1"/>
  <c r="GV134" i="1"/>
  <c r="HC134" i="1"/>
  <c r="GX134" i="1" s="1"/>
  <c r="P135" i="1"/>
  <c r="Q135" i="1"/>
  <c r="R135" i="1"/>
  <c r="GK135" i="1" s="1"/>
  <c r="S135" i="1"/>
  <c r="T135" i="1"/>
  <c r="AC135" i="1"/>
  <c r="AE135" i="1"/>
  <c r="AF135" i="1"/>
  <c r="CT135" i="1" s="1"/>
  <c r="AG135" i="1"/>
  <c r="CU135" i="1" s="1"/>
  <c r="AH135" i="1"/>
  <c r="CV135" i="1" s="1"/>
  <c r="U135" i="1" s="1"/>
  <c r="AI135" i="1"/>
  <c r="AJ135" i="1"/>
  <c r="CQ135" i="1"/>
  <c r="CS135" i="1"/>
  <c r="CW135" i="1"/>
  <c r="V135" i="1" s="1"/>
  <c r="CX135" i="1"/>
  <c r="W135" i="1" s="1"/>
  <c r="GL135" i="1"/>
  <c r="GN135" i="1"/>
  <c r="GP135" i="1"/>
  <c r="GV135" i="1"/>
  <c r="HC135" i="1" s="1"/>
  <c r="GX135" i="1" s="1"/>
  <c r="P136" i="1"/>
  <c r="Q136" i="1"/>
  <c r="S136" i="1"/>
  <c r="T136" i="1"/>
  <c r="AC136" i="1"/>
  <c r="AE136" i="1"/>
  <c r="R136" i="1" s="1"/>
  <c r="AF136" i="1"/>
  <c r="AG136" i="1"/>
  <c r="CU136" i="1" s="1"/>
  <c r="AH136" i="1"/>
  <c r="CV136" i="1" s="1"/>
  <c r="U136" i="1" s="1"/>
  <c r="AI136" i="1"/>
  <c r="CW136" i="1" s="1"/>
  <c r="V136" i="1" s="1"/>
  <c r="AJ136" i="1"/>
  <c r="CX136" i="1" s="1"/>
  <c r="W136" i="1" s="1"/>
  <c r="CQ136" i="1"/>
  <c r="CR136" i="1"/>
  <c r="CS136" i="1"/>
  <c r="CT136" i="1"/>
  <c r="GK136" i="1"/>
  <c r="GL136" i="1"/>
  <c r="GN136" i="1"/>
  <c r="GP136" i="1"/>
  <c r="GV136" i="1"/>
  <c r="HC136" i="1" s="1"/>
  <c r="GX136" i="1"/>
  <c r="D137" i="1"/>
  <c r="Q137" i="1"/>
  <c r="R137" i="1"/>
  <c r="GK137" i="1" s="1"/>
  <c r="S137" i="1"/>
  <c r="CZ137" i="1" s="1"/>
  <c r="Y137" i="1" s="1"/>
  <c r="V137" i="1"/>
  <c r="AB137" i="1"/>
  <c r="AC137" i="1"/>
  <c r="P137" i="1" s="1"/>
  <c r="AD137" i="1"/>
  <c r="AE137" i="1"/>
  <c r="CR137" i="1" s="1"/>
  <c r="AF137" i="1"/>
  <c r="AG137" i="1"/>
  <c r="AH137" i="1"/>
  <c r="CV137" i="1" s="1"/>
  <c r="U137" i="1" s="1"/>
  <c r="AI137" i="1"/>
  <c r="AJ137" i="1"/>
  <c r="CX137" i="1" s="1"/>
  <c r="W137" i="1" s="1"/>
  <c r="CP137" i="1"/>
  <c r="O137" i="1" s="1"/>
  <c r="CS137" i="1"/>
  <c r="CT137" i="1"/>
  <c r="CU137" i="1"/>
  <c r="T137" i="1" s="1"/>
  <c r="CW137" i="1"/>
  <c r="CY137" i="1"/>
  <c r="X137" i="1" s="1"/>
  <c r="GL137" i="1"/>
  <c r="GM137" i="1"/>
  <c r="GN137" i="1"/>
  <c r="GO137" i="1"/>
  <c r="GP137" i="1"/>
  <c r="GV137" i="1"/>
  <c r="HC137" i="1" s="1"/>
  <c r="GX137" i="1" s="1"/>
  <c r="D138" i="1"/>
  <c r="P138" i="1"/>
  <c r="R138" i="1"/>
  <c r="GK138" i="1" s="1"/>
  <c r="S138" i="1"/>
  <c r="U138" i="1"/>
  <c r="AC138" i="1"/>
  <c r="AE138" i="1"/>
  <c r="Q138" i="1" s="1"/>
  <c r="AF138" i="1"/>
  <c r="AG138" i="1"/>
  <c r="CU138" i="1" s="1"/>
  <c r="T138" i="1" s="1"/>
  <c r="AH138" i="1"/>
  <c r="AI138" i="1"/>
  <c r="CW138" i="1" s="1"/>
  <c r="V138" i="1" s="1"/>
  <c r="AJ138" i="1"/>
  <c r="CQ138" i="1"/>
  <c r="CR138" i="1"/>
  <c r="CS138" i="1"/>
  <c r="CT138" i="1"/>
  <c r="CV138" i="1"/>
  <c r="CX138" i="1"/>
  <c r="W138" i="1" s="1"/>
  <c r="GL138" i="1"/>
  <c r="GN138" i="1"/>
  <c r="GP138" i="1"/>
  <c r="GV138" i="1"/>
  <c r="HC138" i="1" s="1"/>
  <c r="GX138" i="1" s="1"/>
  <c r="Q139" i="1"/>
  <c r="R139" i="1"/>
  <c r="GK139" i="1" s="1"/>
  <c r="S139" i="1"/>
  <c r="T139" i="1"/>
  <c r="U139" i="1"/>
  <c r="AB139" i="1"/>
  <c r="AC139" i="1"/>
  <c r="P139" i="1" s="1"/>
  <c r="AE139" i="1"/>
  <c r="AD139" i="1" s="1"/>
  <c r="AF139" i="1"/>
  <c r="AG139" i="1"/>
  <c r="CU139" i="1" s="1"/>
  <c r="AH139" i="1"/>
  <c r="CV139" i="1" s="1"/>
  <c r="AI139" i="1"/>
  <c r="CW139" i="1" s="1"/>
  <c r="V139" i="1" s="1"/>
  <c r="AJ139" i="1"/>
  <c r="CX139" i="1" s="1"/>
  <c r="W139" i="1" s="1"/>
  <c r="CQ139" i="1"/>
  <c r="CR139" i="1"/>
  <c r="CS139" i="1"/>
  <c r="CT139" i="1"/>
  <c r="GL139" i="1"/>
  <c r="GN139" i="1"/>
  <c r="GP139" i="1"/>
  <c r="GV139" i="1"/>
  <c r="GX139" i="1"/>
  <c r="HC139" i="1"/>
  <c r="P140" i="1"/>
  <c r="Q140" i="1"/>
  <c r="R140" i="1"/>
  <c r="GK140" i="1" s="1"/>
  <c r="T140" i="1"/>
  <c r="U140" i="1"/>
  <c r="V140" i="1"/>
  <c r="W140" i="1"/>
  <c r="AC140" i="1"/>
  <c r="CQ140" i="1" s="1"/>
  <c r="AE140" i="1"/>
  <c r="AD140" i="1" s="1"/>
  <c r="AF140" i="1"/>
  <c r="AG140" i="1"/>
  <c r="CU140" i="1" s="1"/>
  <c r="AH140" i="1"/>
  <c r="AI140" i="1"/>
  <c r="CW140" i="1" s="1"/>
  <c r="AJ140" i="1"/>
  <c r="CX140" i="1" s="1"/>
  <c r="CR140" i="1"/>
  <c r="CS140" i="1"/>
  <c r="CV140" i="1"/>
  <c r="GL140" i="1"/>
  <c r="GN140" i="1"/>
  <c r="GP140" i="1"/>
  <c r="GV140" i="1"/>
  <c r="HC140" i="1"/>
  <c r="GX140" i="1" s="1"/>
  <c r="D141" i="1"/>
  <c r="Q141" i="1"/>
  <c r="R141" i="1"/>
  <c r="GK141" i="1" s="1"/>
  <c r="V141" i="1"/>
  <c r="W141" i="1"/>
  <c r="X141" i="1"/>
  <c r="AC141" i="1"/>
  <c r="AD141" i="1"/>
  <c r="AE141" i="1"/>
  <c r="CR141" i="1" s="1"/>
  <c r="AF141" i="1"/>
  <c r="S141" i="1" s="1"/>
  <c r="AG141" i="1"/>
  <c r="AH141" i="1"/>
  <c r="CV141" i="1" s="1"/>
  <c r="U141" i="1" s="1"/>
  <c r="AI141" i="1"/>
  <c r="CW141" i="1" s="1"/>
  <c r="AJ141" i="1"/>
  <c r="CX141" i="1" s="1"/>
  <c r="CQ141" i="1"/>
  <c r="CS141" i="1"/>
  <c r="CT141" i="1"/>
  <c r="CU141" i="1"/>
  <c r="T141" i="1" s="1"/>
  <c r="CY141" i="1"/>
  <c r="CZ141" i="1"/>
  <c r="Y141" i="1" s="1"/>
  <c r="GL141" i="1"/>
  <c r="GN141" i="1"/>
  <c r="GP141" i="1"/>
  <c r="GV141" i="1"/>
  <c r="HC141" i="1" s="1"/>
  <c r="GX141" i="1"/>
  <c r="D142" i="1"/>
  <c r="Q142" i="1"/>
  <c r="R142" i="1"/>
  <c r="S142" i="1"/>
  <c r="T142" i="1"/>
  <c r="V142" i="1"/>
  <c r="W142" i="1"/>
  <c r="AC142" i="1"/>
  <c r="AD142" i="1"/>
  <c r="AE142" i="1"/>
  <c r="CS142" i="1" s="1"/>
  <c r="AF142" i="1"/>
  <c r="AG142" i="1"/>
  <c r="AH142" i="1"/>
  <c r="CV142" i="1" s="1"/>
  <c r="U142" i="1" s="1"/>
  <c r="AI142" i="1"/>
  <c r="CW142" i="1" s="1"/>
  <c r="AJ142" i="1"/>
  <c r="CR142" i="1"/>
  <c r="CT142" i="1"/>
  <c r="CU142" i="1"/>
  <c r="CX142" i="1"/>
  <c r="GK142" i="1"/>
  <c r="GL142" i="1"/>
  <c r="GN142" i="1"/>
  <c r="GP142" i="1"/>
  <c r="GV142" i="1"/>
  <c r="HC142" i="1"/>
  <c r="GX142" i="1" s="1"/>
  <c r="D143" i="1"/>
  <c r="Q143" i="1"/>
  <c r="R143" i="1"/>
  <c r="AC143" i="1"/>
  <c r="AE143" i="1"/>
  <c r="AD143" i="1" s="1"/>
  <c r="AF143" i="1"/>
  <c r="AG143" i="1"/>
  <c r="CU143" i="1" s="1"/>
  <c r="T143" i="1" s="1"/>
  <c r="AH143" i="1"/>
  <c r="AI143" i="1"/>
  <c r="AJ143" i="1"/>
  <c r="CR143" i="1"/>
  <c r="CS143" i="1"/>
  <c r="CV143" i="1"/>
  <c r="U143" i="1" s="1"/>
  <c r="CW143" i="1"/>
  <c r="V143" i="1" s="1"/>
  <c r="CX143" i="1"/>
  <c r="W143" i="1" s="1"/>
  <c r="GK143" i="1"/>
  <c r="GL143" i="1"/>
  <c r="GN143" i="1"/>
  <c r="GP143" i="1"/>
  <c r="GV143" i="1"/>
  <c r="HC143" i="1" s="1"/>
  <c r="GX143" i="1" s="1"/>
  <c r="D144" i="1"/>
  <c r="R144" i="1"/>
  <c r="GK144" i="1" s="1"/>
  <c r="S144" i="1"/>
  <c r="CY144" i="1" s="1"/>
  <c r="U144" i="1"/>
  <c r="V144" i="1"/>
  <c r="W144" i="1"/>
  <c r="X144" i="1"/>
  <c r="AC144" i="1"/>
  <c r="P144" i="1" s="1"/>
  <c r="AD144" i="1"/>
  <c r="AE144" i="1"/>
  <c r="Q144" i="1" s="1"/>
  <c r="AF144" i="1"/>
  <c r="AG144" i="1"/>
  <c r="CU144" i="1" s="1"/>
  <c r="T144" i="1" s="1"/>
  <c r="AH144" i="1"/>
  <c r="CV144" i="1" s="1"/>
  <c r="AI144" i="1"/>
  <c r="CW144" i="1" s="1"/>
  <c r="AJ144" i="1"/>
  <c r="CX144" i="1" s="1"/>
  <c r="CP144" i="1"/>
  <c r="O144" i="1" s="1"/>
  <c r="GM144" i="1" s="1"/>
  <c r="GO144" i="1" s="1"/>
  <c r="CQ144" i="1"/>
  <c r="CR144" i="1"/>
  <c r="CS144" i="1"/>
  <c r="CZ144" i="1"/>
  <c r="Y144" i="1" s="1"/>
  <c r="GL144" i="1"/>
  <c r="GN144" i="1"/>
  <c r="GP144" i="1"/>
  <c r="GV144" i="1"/>
  <c r="HC144" i="1"/>
  <c r="GX144" i="1" s="1"/>
  <c r="I145" i="1"/>
  <c r="K145" i="1"/>
  <c r="P145" i="1"/>
  <c r="CP145" i="1" s="1"/>
  <c r="O145" i="1" s="1"/>
  <c r="Q145" i="1"/>
  <c r="R145" i="1"/>
  <c r="GK145" i="1" s="1"/>
  <c r="S145" i="1"/>
  <c r="T145" i="1"/>
  <c r="AC145" i="1"/>
  <c r="AE145" i="1"/>
  <c r="AF145" i="1"/>
  <c r="AG145" i="1"/>
  <c r="AH145" i="1"/>
  <c r="CV145" i="1" s="1"/>
  <c r="U145" i="1" s="1"/>
  <c r="AI145" i="1"/>
  <c r="AJ145" i="1"/>
  <c r="CX145" i="1" s="1"/>
  <c r="W145" i="1" s="1"/>
  <c r="CQ145" i="1"/>
  <c r="CT145" i="1"/>
  <c r="CU145" i="1"/>
  <c r="CW145" i="1"/>
  <c r="V145" i="1" s="1"/>
  <c r="GL145" i="1"/>
  <c r="GN145" i="1"/>
  <c r="GP145" i="1"/>
  <c r="GV145" i="1"/>
  <c r="HC145" i="1"/>
  <c r="GX145" i="1" s="1"/>
  <c r="I146" i="1"/>
  <c r="K146" i="1"/>
  <c r="AC146" i="1"/>
  <c r="AD146" i="1"/>
  <c r="AE146" i="1"/>
  <c r="AF146" i="1"/>
  <c r="AG146" i="1"/>
  <c r="AH146" i="1"/>
  <c r="CV146" i="1" s="1"/>
  <c r="AI146" i="1"/>
  <c r="AJ146" i="1"/>
  <c r="CX146" i="1" s="1"/>
  <c r="CR146" i="1"/>
  <c r="CS146" i="1"/>
  <c r="CT146" i="1"/>
  <c r="CU146" i="1"/>
  <c r="CW146" i="1"/>
  <c r="GL146" i="1"/>
  <c r="GN146" i="1"/>
  <c r="GP146" i="1"/>
  <c r="GV146" i="1"/>
  <c r="HC146" i="1" s="1"/>
  <c r="B148" i="1"/>
  <c r="B91" i="1" s="1"/>
  <c r="C148" i="1"/>
  <c r="C91" i="1" s="1"/>
  <c r="D148" i="1"/>
  <c r="D91" i="1" s="1"/>
  <c r="F148" i="1"/>
  <c r="F91" i="1" s="1"/>
  <c r="G148" i="1"/>
  <c r="G91" i="1" s="1"/>
  <c r="AO148" i="1"/>
  <c r="AO91" i="1" s="1"/>
  <c r="AP148" i="1"/>
  <c r="BB148" i="1"/>
  <c r="BD148" i="1"/>
  <c r="BD91" i="1" s="1"/>
  <c r="BX148" i="1"/>
  <c r="BX91" i="1" s="1"/>
  <c r="BY148" i="1"/>
  <c r="CK148" i="1"/>
  <c r="CL148" i="1"/>
  <c r="CL91" i="1" s="1"/>
  <c r="CM148" i="1"/>
  <c r="EV148" i="1"/>
  <c r="FP148" i="1"/>
  <c r="FQ148" i="1"/>
  <c r="GC148" i="1"/>
  <c r="ET148" i="1" s="1"/>
  <c r="GD148" i="1"/>
  <c r="GE148" i="1"/>
  <c r="GE91" i="1" s="1"/>
  <c r="F152" i="1"/>
  <c r="F173" i="1"/>
  <c r="D178" i="1"/>
  <c r="B180" i="1"/>
  <c r="E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G180" i="1"/>
  <c r="CH180" i="1"/>
  <c r="CI180" i="1"/>
  <c r="CJ180" i="1"/>
  <c r="CK180" i="1"/>
  <c r="CL180" i="1"/>
  <c r="CM180" i="1"/>
  <c r="CN180" i="1"/>
  <c r="CO180" i="1"/>
  <c r="CP180" i="1"/>
  <c r="CQ180" i="1"/>
  <c r="CR180" i="1"/>
  <c r="CS180" i="1"/>
  <c r="CT180" i="1"/>
  <c r="CU180" i="1"/>
  <c r="CV180" i="1"/>
  <c r="CW180" i="1"/>
  <c r="CX180" i="1"/>
  <c r="CY180" i="1"/>
  <c r="CZ180" i="1"/>
  <c r="DA180" i="1"/>
  <c r="DB180" i="1"/>
  <c r="DC180" i="1"/>
  <c r="DD180" i="1"/>
  <c r="DE180" i="1"/>
  <c r="DF180" i="1"/>
  <c r="DR180" i="1"/>
  <c r="DS180" i="1"/>
  <c r="DT180" i="1"/>
  <c r="DU180" i="1"/>
  <c r="DV180" i="1"/>
  <c r="DW180" i="1"/>
  <c r="DX180" i="1"/>
  <c r="DY180" i="1"/>
  <c r="DZ180" i="1"/>
  <c r="EA180" i="1"/>
  <c r="EB180" i="1"/>
  <c r="EC180" i="1"/>
  <c r="ED180" i="1"/>
  <c r="EE180" i="1"/>
  <c r="EF180" i="1"/>
  <c r="EW180" i="1"/>
  <c r="EX180" i="1"/>
  <c r="EY180" i="1"/>
  <c r="EZ180" i="1"/>
  <c r="FA180" i="1"/>
  <c r="FB180" i="1"/>
  <c r="FC180" i="1"/>
  <c r="FD180" i="1"/>
  <c r="FE180" i="1"/>
  <c r="FF180" i="1"/>
  <c r="FG180" i="1"/>
  <c r="FH180" i="1"/>
  <c r="FI180" i="1"/>
  <c r="FJ180" i="1"/>
  <c r="FK180" i="1"/>
  <c r="FL180" i="1"/>
  <c r="FM180" i="1"/>
  <c r="FN180" i="1"/>
  <c r="FO180" i="1"/>
  <c r="FP180" i="1"/>
  <c r="FQ180" i="1"/>
  <c r="FR180" i="1"/>
  <c r="FS180" i="1"/>
  <c r="FT180" i="1"/>
  <c r="FU180" i="1"/>
  <c r="FV180" i="1"/>
  <c r="FW180" i="1"/>
  <c r="FX180" i="1"/>
  <c r="FY180" i="1"/>
  <c r="FZ180" i="1"/>
  <c r="GA180" i="1"/>
  <c r="GB180" i="1"/>
  <c r="GC180" i="1"/>
  <c r="GD180" i="1"/>
  <c r="GE180" i="1"/>
  <c r="GF180" i="1"/>
  <c r="GG180" i="1"/>
  <c r="GH180" i="1"/>
  <c r="GI180" i="1"/>
  <c r="GJ180" i="1"/>
  <c r="GK180" i="1"/>
  <c r="GL180" i="1"/>
  <c r="GM180" i="1"/>
  <c r="GN180" i="1"/>
  <c r="GO180" i="1"/>
  <c r="GP180" i="1"/>
  <c r="GQ180" i="1"/>
  <c r="GR180" i="1"/>
  <c r="GS180" i="1"/>
  <c r="GT180" i="1"/>
  <c r="GU180" i="1"/>
  <c r="GV180" i="1"/>
  <c r="GW180" i="1"/>
  <c r="GX180" i="1"/>
  <c r="D182" i="1"/>
  <c r="C184" i="1"/>
  <c r="E184" i="1"/>
  <c r="Z184" i="1"/>
  <c r="AA184" i="1"/>
  <c r="AM184" i="1"/>
  <c r="AN184" i="1"/>
  <c r="AP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Y184" i="1"/>
  <c r="CN184" i="1"/>
  <c r="CO184" i="1"/>
  <c r="CP184" i="1"/>
  <c r="CQ184" i="1"/>
  <c r="CR184" i="1"/>
  <c r="CS184" i="1"/>
  <c r="CT184" i="1"/>
  <c r="CU184" i="1"/>
  <c r="CV184" i="1"/>
  <c r="CW184" i="1"/>
  <c r="CX184" i="1"/>
  <c r="CY184" i="1"/>
  <c r="CZ184" i="1"/>
  <c r="DA184" i="1"/>
  <c r="DB184" i="1"/>
  <c r="DC184" i="1"/>
  <c r="DD184" i="1"/>
  <c r="DE184" i="1"/>
  <c r="DF184" i="1"/>
  <c r="DR184" i="1"/>
  <c r="DS184" i="1"/>
  <c r="EE184" i="1"/>
  <c r="EF184" i="1"/>
  <c r="EW184" i="1"/>
  <c r="EX184" i="1"/>
  <c r="EY184" i="1"/>
  <c r="EZ184" i="1"/>
  <c r="FA184" i="1"/>
  <c r="FB184" i="1"/>
  <c r="FC184" i="1"/>
  <c r="FD184" i="1"/>
  <c r="FE184" i="1"/>
  <c r="FF184" i="1"/>
  <c r="FG184" i="1"/>
  <c r="FH184" i="1"/>
  <c r="FI184" i="1"/>
  <c r="FJ184" i="1"/>
  <c r="FK184" i="1"/>
  <c r="FL184" i="1"/>
  <c r="FM184" i="1"/>
  <c r="FN184" i="1"/>
  <c r="FO184" i="1"/>
  <c r="FP184" i="1"/>
  <c r="GC184" i="1"/>
  <c r="GF184" i="1"/>
  <c r="GG184" i="1"/>
  <c r="GH184" i="1"/>
  <c r="GI184" i="1"/>
  <c r="GJ184" i="1"/>
  <c r="GK184" i="1"/>
  <c r="GL184" i="1"/>
  <c r="GM184" i="1"/>
  <c r="GN184" i="1"/>
  <c r="GO184" i="1"/>
  <c r="GP184" i="1"/>
  <c r="GQ184" i="1"/>
  <c r="GR184" i="1"/>
  <c r="GS184" i="1"/>
  <c r="GT184" i="1"/>
  <c r="GU184" i="1"/>
  <c r="GV184" i="1"/>
  <c r="GW184" i="1"/>
  <c r="GX184" i="1"/>
  <c r="D186" i="1"/>
  <c r="I186" i="1"/>
  <c r="K186" i="1"/>
  <c r="AC186" i="1"/>
  <c r="AE186" i="1"/>
  <c r="AF186" i="1"/>
  <c r="AG186" i="1"/>
  <c r="AH186" i="1"/>
  <c r="AI186" i="1"/>
  <c r="AJ186" i="1"/>
  <c r="CX186" i="1" s="1"/>
  <c r="CR186" i="1"/>
  <c r="CT186" i="1"/>
  <c r="CU186" i="1"/>
  <c r="CV186" i="1"/>
  <c r="CW186" i="1"/>
  <c r="GL186" i="1"/>
  <c r="GO186" i="1"/>
  <c r="GP186" i="1"/>
  <c r="GV186" i="1"/>
  <c r="HC186" i="1" s="1"/>
  <c r="D187" i="1"/>
  <c r="I187" i="1"/>
  <c r="K187" i="1"/>
  <c r="P187" i="1"/>
  <c r="Q187" i="1"/>
  <c r="R187" i="1"/>
  <c r="S187" i="1"/>
  <c r="W187" i="1"/>
  <c r="AC187" i="1"/>
  <c r="AD187" i="1"/>
  <c r="AE187" i="1"/>
  <c r="AF187" i="1"/>
  <c r="CT187" i="1" s="1"/>
  <c r="AG187" i="1"/>
  <c r="CU187" i="1" s="1"/>
  <c r="T187" i="1" s="1"/>
  <c r="AH187" i="1"/>
  <c r="CV187" i="1" s="1"/>
  <c r="U187" i="1" s="1"/>
  <c r="AI187" i="1"/>
  <c r="CW187" i="1" s="1"/>
  <c r="V187" i="1" s="1"/>
  <c r="AJ187" i="1"/>
  <c r="CX187" i="1"/>
  <c r="GK187" i="1"/>
  <c r="GL187" i="1"/>
  <c r="GO187" i="1"/>
  <c r="GP187" i="1"/>
  <c r="GV187" i="1"/>
  <c r="HC187" i="1" s="1"/>
  <c r="GX187" i="1" s="1"/>
  <c r="D188" i="1"/>
  <c r="I188" i="1"/>
  <c r="K188" i="1"/>
  <c r="Q188" i="1"/>
  <c r="R188" i="1"/>
  <c r="GK188" i="1" s="1"/>
  <c r="W188" i="1"/>
  <c r="AC188" i="1"/>
  <c r="AE188" i="1"/>
  <c r="AD188" i="1" s="1"/>
  <c r="AF188" i="1"/>
  <c r="AG188" i="1"/>
  <c r="AH188" i="1"/>
  <c r="AI188" i="1"/>
  <c r="AJ188" i="1"/>
  <c r="CX188" i="1" s="1"/>
  <c r="CR188" i="1"/>
  <c r="CU188" i="1"/>
  <c r="T188" i="1" s="1"/>
  <c r="CV188" i="1"/>
  <c r="U188" i="1" s="1"/>
  <c r="CW188" i="1"/>
  <c r="V188" i="1" s="1"/>
  <c r="GL188" i="1"/>
  <c r="GO188" i="1"/>
  <c r="GP188" i="1"/>
  <c r="GV188" i="1"/>
  <c r="HC188" i="1" s="1"/>
  <c r="GX188" i="1" s="1"/>
  <c r="D189" i="1"/>
  <c r="I189" i="1"/>
  <c r="K189" i="1"/>
  <c r="P189" i="1"/>
  <c r="Q189" i="1"/>
  <c r="R189" i="1"/>
  <c r="GK189" i="1" s="1"/>
  <c r="AC189" i="1"/>
  <c r="CQ189" i="1" s="1"/>
  <c r="AE189" i="1"/>
  <c r="AD189" i="1" s="1"/>
  <c r="AF189" i="1"/>
  <c r="AG189" i="1"/>
  <c r="CU189" i="1" s="1"/>
  <c r="T189" i="1" s="1"/>
  <c r="AH189" i="1"/>
  <c r="CV189" i="1" s="1"/>
  <c r="U189" i="1" s="1"/>
  <c r="AI189" i="1"/>
  <c r="CW189" i="1" s="1"/>
  <c r="V189" i="1" s="1"/>
  <c r="AJ189" i="1"/>
  <c r="CX189" i="1" s="1"/>
  <c r="W189" i="1" s="1"/>
  <c r="CR189" i="1"/>
  <c r="CS189" i="1"/>
  <c r="GL189" i="1"/>
  <c r="GO189" i="1"/>
  <c r="GP189" i="1"/>
  <c r="GV189" i="1"/>
  <c r="HC189" i="1" s="1"/>
  <c r="GX189" i="1" s="1"/>
  <c r="D190" i="1"/>
  <c r="AC190" i="1"/>
  <c r="AD190" i="1"/>
  <c r="AE190" i="1"/>
  <c r="AF190" i="1"/>
  <c r="AG190" i="1"/>
  <c r="AH190" i="1"/>
  <c r="CV190" i="1" s="1"/>
  <c r="AI190" i="1"/>
  <c r="AJ190" i="1"/>
  <c r="CX190" i="1" s="1"/>
  <c r="CR190" i="1"/>
  <c r="CS190" i="1"/>
  <c r="CT190" i="1"/>
  <c r="CU190" i="1"/>
  <c r="CW190" i="1"/>
  <c r="GL190" i="1"/>
  <c r="GO190" i="1"/>
  <c r="GP190" i="1"/>
  <c r="GV190" i="1"/>
  <c r="HC190" i="1"/>
  <c r="D191" i="1"/>
  <c r="I191" i="1"/>
  <c r="W191" i="1" s="1"/>
  <c r="K191" i="1"/>
  <c r="AC191" i="1"/>
  <c r="P191" i="1" s="1"/>
  <c r="AE191" i="1"/>
  <c r="AF191" i="1"/>
  <c r="AG191" i="1"/>
  <c r="AH191" i="1"/>
  <c r="AI191" i="1"/>
  <c r="AJ191" i="1"/>
  <c r="CQ191" i="1"/>
  <c r="CU191" i="1"/>
  <c r="T191" i="1" s="1"/>
  <c r="CV191" i="1"/>
  <c r="U191" i="1" s="1"/>
  <c r="CW191" i="1"/>
  <c r="V191" i="1" s="1"/>
  <c r="CX191" i="1"/>
  <c r="GL191" i="1"/>
  <c r="GO191" i="1"/>
  <c r="GP191" i="1"/>
  <c r="GV191" i="1"/>
  <c r="GX191" i="1"/>
  <c r="HC191" i="1"/>
  <c r="C192" i="1"/>
  <c r="D192" i="1"/>
  <c r="I192" i="1"/>
  <c r="K192" i="1"/>
  <c r="R192" i="1"/>
  <c r="GK192" i="1" s="1"/>
  <c r="AC192" i="1"/>
  <c r="AE192" i="1"/>
  <c r="AF192" i="1"/>
  <c r="AG192" i="1"/>
  <c r="CU192" i="1" s="1"/>
  <c r="T192" i="1" s="1"/>
  <c r="AH192" i="1"/>
  <c r="AI192" i="1"/>
  <c r="AJ192" i="1"/>
  <c r="CX192" i="1" s="1"/>
  <c r="W192" i="1" s="1"/>
  <c r="CV192" i="1"/>
  <c r="U192" i="1" s="1"/>
  <c r="CW192" i="1"/>
  <c r="V192" i="1" s="1"/>
  <c r="GL192" i="1"/>
  <c r="GO192" i="1"/>
  <c r="GP192" i="1"/>
  <c r="GV192" i="1"/>
  <c r="HC192" i="1" s="1"/>
  <c r="GX192" i="1"/>
  <c r="C193" i="1"/>
  <c r="D193" i="1"/>
  <c r="I193" i="1"/>
  <c r="K193" i="1"/>
  <c r="U193" i="1"/>
  <c r="AC193" i="1"/>
  <c r="AD193" i="1"/>
  <c r="AE193" i="1"/>
  <c r="AF193" i="1"/>
  <c r="AG193" i="1"/>
  <c r="AH193" i="1"/>
  <c r="AI193" i="1"/>
  <c r="CW193" i="1" s="1"/>
  <c r="AJ193" i="1"/>
  <c r="CX193" i="1" s="1"/>
  <c r="W193" i="1" s="1"/>
  <c r="CQ193" i="1"/>
  <c r="CR193" i="1"/>
  <c r="CT193" i="1"/>
  <c r="CU193" i="1"/>
  <c r="T193" i="1" s="1"/>
  <c r="CV193" i="1"/>
  <c r="GL193" i="1"/>
  <c r="GO193" i="1"/>
  <c r="GP193" i="1"/>
  <c r="GV193" i="1"/>
  <c r="HC193" i="1" s="1"/>
  <c r="I194" i="1"/>
  <c r="Q194" i="1" s="1"/>
  <c r="R194" i="1"/>
  <c r="GK194" i="1" s="1"/>
  <c r="AB194" i="1"/>
  <c r="AC194" i="1"/>
  <c r="AD194" i="1"/>
  <c r="AE194" i="1"/>
  <c r="CR194" i="1" s="1"/>
  <c r="AF194" i="1"/>
  <c r="AG194" i="1"/>
  <c r="CU194" i="1" s="1"/>
  <c r="T194" i="1" s="1"/>
  <c r="AH194" i="1"/>
  <c r="CV194" i="1" s="1"/>
  <c r="U194" i="1" s="1"/>
  <c r="AI194" i="1"/>
  <c r="CW194" i="1" s="1"/>
  <c r="V194" i="1" s="1"/>
  <c r="AJ194" i="1"/>
  <c r="CX194" i="1" s="1"/>
  <c r="CS194" i="1"/>
  <c r="CT194" i="1"/>
  <c r="GL194" i="1"/>
  <c r="GO194" i="1"/>
  <c r="GP194" i="1"/>
  <c r="GV194" i="1"/>
  <c r="HC194" i="1" s="1"/>
  <c r="AB195" i="1"/>
  <c r="AC195" i="1"/>
  <c r="AE195" i="1"/>
  <c r="AD195" i="1" s="1"/>
  <c r="AF195" i="1"/>
  <c r="CT195" i="1" s="1"/>
  <c r="AG195" i="1"/>
  <c r="CU195" i="1" s="1"/>
  <c r="AH195" i="1"/>
  <c r="AI195" i="1"/>
  <c r="CW195" i="1" s="1"/>
  <c r="AJ195" i="1"/>
  <c r="CX195" i="1" s="1"/>
  <c r="CQ195" i="1"/>
  <c r="CR195" i="1"/>
  <c r="CS195" i="1"/>
  <c r="CV195" i="1"/>
  <c r="GL195" i="1"/>
  <c r="GO195" i="1"/>
  <c r="GP195" i="1"/>
  <c r="GV195" i="1"/>
  <c r="HC195" i="1"/>
  <c r="C196" i="1"/>
  <c r="D196" i="1"/>
  <c r="I196" i="1"/>
  <c r="I198" i="1" s="1"/>
  <c r="K196" i="1"/>
  <c r="S196" i="1"/>
  <c r="CY196" i="1" s="1"/>
  <c r="X196" i="1" s="1"/>
  <c r="V196" i="1"/>
  <c r="W196" i="1"/>
  <c r="AC196" i="1"/>
  <c r="AE196" i="1"/>
  <c r="AF196" i="1"/>
  <c r="AG196" i="1"/>
  <c r="AH196" i="1"/>
  <c r="AI196" i="1"/>
  <c r="AJ196" i="1"/>
  <c r="CR196" i="1"/>
  <c r="CT196" i="1"/>
  <c r="CU196" i="1"/>
  <c r="T196" i="1" s="1"/>
  <c r="CV196" i="1"/>
  <c r="U196" i="1" s="1"/>
  <c r="CW196" i="1"/>
  <c r="CX196" i="1"/>
  <c r="GL196" i="1"/>
  <c r="GO196" i="1"/>
  <c r="GP196" i="1"/>
  <c r="GV196" i="1"/>
  <c r="HC196" i="1"/>
  <c r="GX196" i="1" s="1"/>
  <c r="C197" i="1"/>
  <c r="D197" i="1"/>
  <c r="I197" i="1"/>
  <c r="Q197" i="1" s="1"/>
  <c r="K197" i="1"/>
  <c r="R197" i="1"/>
  <c r="GK197" i="1" s="1"/>
  <c r="S197" i="1"/>
  <c r="CY197" i="1" s="1"/>
  <c r="T197" i="1"/>
  <c r="V197" i="1"/>
  <c r="W197" i="1"/>
  <c r="X197" i="1"/>
  <c r="AB197" i="1"/>
  <c r="AC197" i="1"/>
  <c r="P197" i="1" s="1"/>
  <c r="AE197" i="1"/>
  <c r="AD197" i="1" s="1"/>
  <c r="AF197" i="1"/>
  <c r="AG197" i="1"/>
  <c r="CU197" i="1" s="1"/>
  <c r="AH197" i="1"/>
  <c r="AI197" i="1"/>
  <c r="CW197" i="1" s="1"/>
  <c r="AJ197" i="1"/>
  <c r="CX197" i="1" s="1"/>
  <c r="CP197" i="1"/>
  <c r="O197" i="1" s="1"/>
  <c r="CQ197" i="1"/>
  <c r="CR197" i="1"/>
  <c r="CS197" i="1"/>
  <c r="CT197" i="1"/>
  <c r="CV197" i="1"/>
  <c r="U197" i="1" s="1"/>
  <c r="GL197" i="1"/>
  <c r="GO197" i="1"/>
  <c r="GP197" i="1"/>
  <c r="GV197" i="1"/>
  <c r="GX197" i="1"/>
  <c r="HC197" i="1"/>
  <c r="Q198" i="1"/>
  <c r="T198" i="1"/>
  <c r="V198" i="1"/>
  <c r="AC198" i="1"/>
  <c r="AE198" i="1"/>
  <c r="R198" i="1" s="1"/>
  <c r="AF198" i="1"/>
  <c r="CT198" i="1" s="1"/>
  <c r="AG198" i="1"/>
  <c r="CU198" i="1" s="1"/>
  <c r="AH198" i="1"/>
  <c r="AI198" i="1"/>
  <c r="AJ198" i="1"/>
  <c r="CX198" i="1" s="1"/>
  <c r="W198" i="1" s="1"/>
  <c r="CQ198" i="1"/>
  <c r="CR198" i="1"/>
  <c r="CS198" i="1"/>
  <c r="CV198" i="1"/>
  <c r="U198" i="1" s="1"/>
  <c r="CW198" i="1"/>
  <c r="GK198" i="1"/>
  <c r="GL198" i="1"/>
  <c r="GO198" i="1"/>
  <c r="GP198" i="1"/>
  <c r="GV198" i="1"/>
  <c r="GX198" i="1"/>
  <c r="HC198" i="1"/>
  <c r="I199" i="1"/>
  <c r="Q199" i="1"/>
  <c r="AC199" i="1"/>
  <c r="AE199" i="1"/>
  <c r="AF199" i="1"/>
  <c r="AG199" i="1"/>
  <c r="AH199" i="1"/>
  <c r="CV199" i="1" s="1"/>
  <c r="U199" i="1" s="1"/>
  <c r="AI199" i="1"/>
  <c r="CW199" i="1" s="1"/>
  <c r="AJ199" i="1"/>
  <c r="CX199" i="1" s="1"/>
  <c r="CT199" i="1"/>
  <c r="CU199" i="1"/>
  <c r="GL199" i="1"/>
  <c r="GO199" i="1"/>
  <c r="GP199" i="1"/>
  <c r="GV199" i="1"/>
  <c r="HC199" i="1" s="1"/>
  <c r="C200" i="1"/>
  <c r="D200" i="1"/>
  <c r="I200" i="1"/>
  <c r="K200" i="1"/>
  <c r="P200" i="1"/>
  <c r="U200" i="1"/>
  <c r="W200" i="1"/>
  <c r="AC200" i="1"/>
  <c r="AD200" i="1"/>
  <c r="AE200" i="1"/>
  <c r="R200" i="1" s="1"/>
  <c r="GK200" i="1" s="1"/>
  <c r="AF200" i="1"/>
  <c r="AG200" i="1"/>
  <c r="AH200" i="1"/>
  <c r="AI200" i="1"/>
  <c r="CW200" i="1" s="1"/>
  <c r="V200" i="1" s="1"/>
  <c r="AJ200" i="1"/>
  <c r="CQ200" i="1"/>
  <c r="CR200" i="1"/>
  <c r="CT200" i="1"/>
  <c r="CU200" i="1"/>
  <c r="T200" i="1" s="1"/>
  <c r="CV200" i="1"/>
  <c r="CX200" i="1"/>
  <c r="GL200" i="1"/>
  <c r="GO200" i="1"/>
  <c r="GP200" i="1"/>
  <c r="GV200" i="1"/>
  <c r="HC200" i="1" s="1"/>
  <c r="GX200" i="1" s="1"/>
  <c r="C201" i="1"/>
  <c r="D201" i="1"/>
  <c r="I201" i="1"/>
  <c r="K201" i="1"/>
  <c r="AC201" i="1"/>
  <c r="AD201" i="1"/>
  <c r="AE201" i="1"/>
  <c r="AF201" i="1"/>
  <c r="AG201" i="1"/>
  <c r="CU201" i="1" s="1"/>
  <c r="T201" i="1" s="1"/>
  <c r="AH201" i="1"/>
  <c r="CV201" i="1" s="1"/>
  <c r="U201" i="1" s="1"/>
  <c r="AI201" i="1"/>
  <c r="CW201" i="1" s="1"/>
  <c r="V201" i="1" s="1"/>
  <c r="AJ201" i="1"/>
  <c r="CX201" i="1"/>
  <c r="GL201" i="1"/>
  <c r="GO201" i="1"/>
  <c r="GP201" i="1"/>
  <c r="GV201" i="1"/>
  <c r="HC201" i="1" s="1"/>
  <c r="GX201" i="1" s="1"/>
  <c r="I202" i="1"/>
  <c r="GX202" i="1" s="1"/>
  <c r="AC202" i="1"/>
  <c r="AE202" i="1"/>
  <c r="AD202" i="1" s="1"/>
  <c r="AF202" i="1"/>
  <c r="AG202" i="1"/>
  <c r="AH202" i="1"/>
  <c r="CV202" i="1" s="1"/>
  <c r="AI202" i="1"/>
  <c r="AJ202" i="1"/>
  <c r="CR202" i="1"/>
  <c r="CS202" i="1"/>
  <c r="CT202" i="1"/>
  <c r="CU202" i="1"/>
  <c r="CW202" i="1"/>
  <c r="V202" i="1" s="1"/>
  <c r="CX202" i="1"/>
  <c r="GL202" i="1"/>
  <c r="GO202" i="1"/>
  <c r="GP202" i="1"/>
  <c r="GV202" i="1"/>
  <c r="HC202" i="1" s="1"/>
  <c r="AC203" i="1"/>
  <c r="AE203" i="1"/>
  <c r="AF203" i="1"/>
  <c r="AG203" i="1"/>
  <c r="CU203" i="1" s="1"/>
  <c r="AH203" i="1"/>
  <c r="AI203" i="1"/>
  <c r="AJ203" i="1"/>
  <c r="CX203" i="1" s="1"/>
  <c r="CQ203" i="1"/>
  <c r="CR203" i="1"/>
  <c r="CS203" i="1"/>
  <c r="CT203" i="1"/>
  <c r="CV203" i="1"/>
  <c r="CW203" i="1"/>
  <c r="GL203" i="1"/>
  <c r="GO203" i="1"/>
  <c r="GP203" i="1"/>
  <c r="GV203" i="1"/>
  <c r="HC203" i="1"/>
  <c r="C204" i="1"/>
  <c r="D204" i="1"/>
  <c r="I204" i="1"/>
  <c r="CX31" i="3" s="1"/>
  <c r="DG31" i="3" s="1"/>
  <c r="K204" i="1"/>
  <c r="Q204" i="1"/>
  <c r="R204" i="1"/>
  <c r="GK204" i="1" s="1"/>
  <c r="S204" i="1"/>
  <c r="W204" i="1"/>
  <c r="AC204" i="1"/>
  <c r="AD204" i="1"/>
  <c r="AE204" i="1"/>
  <c r="AF204" i="1"/>
  <c r="AG204" i="1"/>
  <c r="AH204" i="1"/>
  <c r="AI204" i="1"/>
  <c r="AJ204" i="1"/>
  <c r="CX204" i="1" s="1"/>
  <c r="CT204" i="1"/>
  <c r="CU204" i="1"/>
  <c r="T204" i="1" s="1"/>
  <c r="CV204" i="1"/>
  <c r="U204" i="1" s="1"/>
  <c r="CW204" i="1"/>
  <c r="V204" i="1" s="1"/>
  <c r="GL204" i="1"/>
  <c r="GO204" i="1"/>
  <c r="GP204" i="1"/>
  <c r="GV204" i="1"/>
  <c r="HC204" i="1" s="1"/>
  <c r="GX204" i="1" s="1"/>
  <c r="C205" i="1"/>
  <c r="D205" i="1"/>
  <c r="I205" i="1"/>
  <c r="I207" i="1" s="1"/>
  <c r="K205" i="1"/>
  <c r="Q205" i="1"/>
  <c r="U205" i="1"/>
  <c r="W205" i="1"/>
  <c r="AC205" i="1"/>
  <c r="AE205" i="1"/>
  <c r="AF205" i="1"/>
  <c r="S205" i="1" s="1"/>
  <c r="AG205" i="1"/>
  <c r="AH205" i="1"/>
  <c r="AI205" i="1"/>
  <c r="CW205" i="1" s="1"/>
  <c r="V205" i="1" s="1"/>
  <c r="AJ205" i="1"/>
  <c r="CX205" i="1" s="1"/>
  <c r="CR205" i="1"/>
  <c r="CS205" i="1"/>
  <c r="CT205" i="1"/>
  <c r="CU205" i="1"/>
  <c r="T205" i="1" s="1"/>
  <c r="CV205" i="1"/>
  <c r="GL205" i="1"/>
  <c r="GO205" i="1"/>
  <c r="GP205" i="1"/>
  <c r="GV205" i="1"/>
  <c r="HC205" i="1" s="1"/>
  <c r="GX205" i="1" s="1"/>
  <c r="I206" i="1"/>
  <c r="R206" i="1"/>
  <c r="GK206" i="1" s="1"/>
  <c r="V206" i="1"/>
  <c r="AC206" i="1"/>
  <c r="AD206" i="1"/>
  <c r="AE206" i="1"/>
  <c r="AF206" i="1"/>
  <c r="AG206" i="1"/>
  <c r="AH206" i="1"/>
  <c r="CV206" i="1" s="1"/>
  <c r="AI206" i="1"/>
  <c r="CW206" i="1" s="1"/>
  <c r="AJ206" i="1"/>
  <c r="CX206" i="1" s="1"/>
  <c r="CQ206" i="1"/>
  <c r="CR206" i="1"/>
  <c r="CS206" i="1"/>
  <c r="CT206" i="1"/>
  <c r="CU206" i="1"/>
  <c r="GL206" i="1"/>
  <c r="GO206" i="1"/>
  <c r="GP206" i="1"/>
  <c r="GV206" i="1"/>
  <c r="HC206" i="1" s="1"/>
  <c r="P207" i="1"/>
  <c r="Q207" i="1"/>
  <c r="R207" i="1"/>
  <c r="GK207" i="1" s="1"/>
  <c r="V207" i="1"/>
  <c r="AC207" i="1"/>
  <c r="AE207" i="1"/>
  <c r="AF207" i="1"/>
  <c r="AG207" i="1"/>
  <c r="CU207" i="1" s="1"/>
  <c r="T207" i="1" s="1"/>
  <c r="AH207" i="1"/>
  <c r="CV207" i="1" s="1"/>
  <c r="U207" i="1" s="1"/>
  <c r="AI207" i="1"/>
  <c r="AJ207" i="1"/>
  <c r="CX207" i="1" s="1"/>
  <c r="W207" i="1" s="1"/>
  <c r="CQ207" i="1"/>
  <c r="CW207" i="1"/>
  <c r="GL207" i="1"/>
  <c r="GO207" i="1"/>
  <c r="GP207" i="1"/>
  <c r="GV207" i="1"/>
  <c r="HC207" i="1"/>
  <c r="GX207" i="1" s="1"/>
  <c r="C208" i="1"/>
  <c r="D208" i="1"/>
  <c r="I208" i="1"/>
  <c r="K208" i="1"/>
  <c r="S208" i="1"/>
  <c r="AC208" i="1"/>
  <c r="AD208" i="1"/>
  <c r="AE208" i="1"/>
  <c r="R208" i="1" s="1"/>
  <c r="GK208" i="1" s="1"/>
  <c r="AF208" i="1"/>
  <c r="AG208" i="1"/>
  <c r="AH208" i="1"/>
  <c r="AI208" i="1"/>
  <c r="CW208" i="1" s="1"/>
  <c r="AJ208" i="1"/>
  <c r="CR208" i="1"/>
  <c r="CT208" i="1"/>
  <c r="CU208" i="1"/>
  <c r="T208" i="1" s="1"/>
  <c r="CV208" i="1"/>
  <c r="U208" i="1" s="1"/>
  <c r="CX208" i="1"/>
  <c r="W208" i="1" s="1"/>
  <c r="GL208" i="1"/>
  <c r="GO208" i="1"/>
  <c r="GP208" i="1"/>
  <c r="GV208" i="1"/>
  <c r="HC208" i="1" s="1"/>
  <c r="GX208" i="1" s="1"/>
  <c r="C209" i="1"/>
  <c r="D209" i="1"/>
  <c r="I209" i="1"/>
  <c r="K209" i="1"/>
  <c r="R209" i="1"/>
  <c r="GK209" i="1" s="1"/>
  <c r="S209" i="1"/>
  <c r="T209" i="1"/>
  <c r="AC209" i="1"/>
  <c r="AE209" i="1"/>
  <c r="AD209" i="1" s="1"/>
  <c r="AF209" i="1"/>
  <c r="CT209" i="1" s="1"/>
  <c r="AG209" i="1"/>
  <c r="CU209" i="1" s="1"/>
  <c r="AH209" i="1"/>
  <c r="CV209" i="1" s="1"/>
  <c r="U209" i="1" s="1"/>
  <c r="AI209" i="1"/>
  <c r="AJ209" i="1"/>
  <c r="CR209" i="1"/>
  <c r="CS209" i="1"/>
  <c r="CW209" i="1"/>
  <c r="V209" i="1" s="1"/>
  <c r="CX209" i="1"/>
  <c r="W209" i="1" s="1"/>
  <c r="GL209" i="1"/>
  <c r="GO209" i="1"/>
  <c r="GP209" i="1"/>
  <c r="GV209" i="1"/>
  <c r="HC209" i="1" s="1"/>
  <c r="GX209" i="1" s="1"/>
  <c r="I210" i="1"/>
  <c r="R210" i="1" s="1"/>
  <c r="GK210" i="1" s="1"/>
  <c r="AC210" i="1"/>
  <c r="AD210" i="1"/>
  <c r="AE210" i="1"/>
  <c r="AF210" i="1"/>
  <c r="S210" i="1" s="1"/>
  <c r="CZ210" i="1" s="1"/>
  <c r="Y210" i="1" s="1"/>
  <c r="AG210" i="1"/>
  <c r="AH210" i="1"/>
  <c r="CV210" i="1" s="1"/>
  <c r="AI210" i="1"/>
  <c r="AJ210" i="1"/>
  <c r="CR210" i="1"/>
  <c r="CS210" i="1"/>
  <c r="CU210" i="1"/>
  <c r="T210" i="1" s="1"/>
  <c r="CW210" i="1"/>
  <c r="V210" i="1" s="1"/>
  <c r="CX210" i="1"/>
  <c r="W210" i="1" s="1"/>
  <c r="GL210" i="1"/>
  <c r="GO210" i="1"/>
  <c r="GP210" i="1"/>
  <c r="GV210" i="1"/>
  <c r="HC210" i="1" s="1"/>
  <c r="GX210" i="1" s="1"/>
  <c r="I211" i="1"/>
  <c r="P211" i="1"/>
  <c r="T211" i="1"/>
  <c r="AC211" i="1"/>
  <c r="CQ211" i="1" s="1"/>
  <c r="AE211" i="1"/>
  <c r="R211" i="1" s="1"/>
  <c r="GK211" i="1" s="1"/>
  <c r="AF211" i="1"/>
  <c r="AG211" i="1"/>
  <c r="AH211" i="1"/>
  <c r="CV211" i="1" s="1"/>
  <c r="AI211" i="1"/>
  <c r="AJ211" i="1"/>
  <c r="CU211" i="1"/>
  <c r="CW211" i="1"/>
  <c r="CX211" i="1"/>
  <c r="GL211" i="1"/>
  <c r="GO211" i="1"/>
  <c r="GP211" i="1"/>
  <c r="GV211" i="1"/>
  <c r="HC211" i="1"/>
  <c r="C212" i="1"/>
  <c r="D212" i="1"/>
  <c r="I212" i="1"/>
  <c r="CX35" i="3" s="1"/>
  <c r="K212" i="1"/>
  <c r="Q212" i="1"/>
  <c r="T212" i="1"/>
  <c r="AC212" i="1"/>
  <c r="AE212" i="1"/>
  <c r="AF212" i="1"/>
  <c r="AG212" i="1"/>
  <c r="CU212" i="1" s="1"/>
  <c r="AH212" i="1"/>
  <c r="AI212" i="1"/>
  <c r="AJ212" i="1"/>
  <c r="CR212" i="1"/>
  <c r="CS212" i="1"/>
  <c r="CV212" i="1"/>
  <c r="U212" i="1" s="1"/>
  <c r="CW212" i="1"/>
  <c r="V212" i="1" s="1"/>
  <c r="CX212" i="1"/>
  <c r="W212" i="1" s="1"/>
  <c r="GL212" i="1"/>
  <c r="GO212" i="1"/>
  <c r="GP212" i="1"/>
  <c r="GV212" i="1"/>
  <c r="GX212" i="1"/>
  <c r="HC212" i="1"/>
  <c r="C213" i="1"/>
  <c r="D213" i="1"/>
  <c r="I213" i="1"/>
  <c r="K213" i="1"/>
  <c r="P213" i="1"/>
  <c r="V213" i="1"/>
  <c r="AC213" i="1"/>
  <c r="AE213" i="1"/>
  <c r="AF213" i="1"/>
  <c r="AG213" i="1"/>
  <c r="CU213" i="1" s="1"/>
  <c r="T213" i="1" s="1"/>
  <c r="AH213" i="1"/>
  <c r="AI213" i="1"/>
  <c r="AJ213" i="1"/>
  <c r="CX213" i="1" s="1"/>
  <c r="W213" i="1" s="1"/>
  <c r="CV213" i="1"/>
  <c r="U213" i="1" s="1"/>
  <c r="CW213" i="1"/>
  <c r="GL213" i="1"/>
  <c r="GO213" i="1"/>
  <c r="GP213" i="1"/>
  <c r="GV213" i="1"/>
  <c r="HC213" i="1" s="1"/>
  <c r="GX213" i="1" s="1"/>
  <c r="I214" i="1"/>
  <c r="Q214" i="1" s="1"/>
  <c r="P214" i="1"/>
  <c r="R214" i="1"/>
  <c r="GK214" i="1" s="1"/>
  <c r="S214" i="1"/>
  <c r="CZ214" i="1" s="1"/>
  <c r="U214" i="1"/>
  <c r="Y214" i="1"/>
  <c r="AC214" i="1"/>
  <c r="AD214" i="1"/>
  <c r="AB214" i="1" s="1"/>
  <c r="AE214" i="1"/>
  <c r="AF214" i="1"/>
  <c r="CT214" i="1" s="1"/>
  <c r="AG214" i="1"/>
  <c r="CU214" i="1" s="1"/>
  <c r="T214" i="1" s="1"/>
  <c r="AH214" i="1"/>
  <c r="AI214" i="1"/>
  <c r="AJ214" i="1"/>
  <c r="CQ214" i="1"/>
  <c r="CR214" i="1"/>
  <c r="CS214" i="1"/>
  <c r="CV214" i="1"/>
  <c r="CW214" i="1"/>
  <c r="V214" i="1" s="1"/>
  <c r="CX214" i="1"/>
  <c r="CY214" i="1"/>
  <c r="X214" i="1" s="1"/>
  <c r="GL214" i="1"/>
  <c r="GO214" i="1"/>
  <c r="GP214" i="1"/>
  <c r="GV214" i="1"/>
  <c r="HC214" i="1" s="1"/>
  <c r="GX214" i="1"/>
  <c r="I215" i="1"/>
  <c r="W215" i="1" s="1"/>
  <c r="Q215" i="1"/>
  <c r="T215" i="1"/>
  <c r="AC215" i="1"/>
  <c r="AD215" i="1"/>
  <c r="AE215" i="1"/>
  <c r="AF215" i="1"/>
  <c r="AG215" i="1"/>
  <c r="AH215" i="1"/>
  <c r="AI215" i="1"/>
  <c r="CW215" i="1" s="1"/>
  <c r="V215" i="1" s="1"/>
  <c r="AJ215" i="1"/>
  <c r="CQ215" i="1"/>
  <c r="CR215" i="1"/>
  <c r="CS215" i="1"/>
  <c r="CU215" i="1"/>
  <c r="CV215" i="1"/>
  <c r="U215" i="1" s="1"/>
  <c r="CX215" i="1"/>
  <c r="GL215" i="1"/>
  <c r="GO215" i="1"/>
  <c r="GP215" i="1"/>
  <c r="GV215" i="1"/>
  <c r="HC215" i="1" s="1"/>
  <c r="GX215" i="1" s="1"/>
  <c r="C216" i="1"/>
  <c r="D216" i="1"/>
  <c r="I216" i="1"/>
  <c r="CX37" i="3" s="1"/>
  <c r="K216" i="1"/>
  <c r="R216" i="1"/>
  <c r="GK216" i="1" s="1"/>
  <c r="S216" i="1"/>
  <c r="U216" i="1"/>
  <c r="V216" i="1"/>
  <c r="AC216" i="1"/>
  <c r="AD216" i="1"/>
  <c r="AE216" i="1"/>
  <c r="AF216" i="1"/>
  <c r="CT216" i="1" s="1"/>
  <c r="AG216" i="1"/>
  <c r="AH216" i="1"/>
  <c r="AI216" i="1"/>
  <c r="CW216" i="1" s="1"/>
  <c r="AJ216" i="1"/>
  <c r="CQ216" i="1"/>
  <c r="CU216" i="1"/>
  <c r="T216" i="1" s="1"/>
  <c r="CV216" i="1"/>
  <c r="CX216" i="1"/>
  <c r="W216" i="1" s="1"/>
  <c r="GL216" i="1"/>
  <c r="GO216" i="1"/>
  <c r="GP216" i="1"/>
  <c r="GV216" i="1"/>
  <c r="HC216" i="1" s="1"/>
  <c r="GX216" i="1"/>
  <c r="C217" i="1"/>
  <c r="D217" i="1"/>
  <c r="I217" i="1"/>
  <c r="K217" i="1"/>
  <c r="Q217" i="1"/>
  <c r="U217" i="1"/>
  <c r="V217" i="1"/>
  <c r="AC217" i="1"/>
  <c r="P217" i="1" s="1"/>
  <c r="AE217" i="1"/>
  <c r="AF217" i="1"/>
  <c r="AG217" i="1"/>
  <c r="AH217" i="1"/>
  <c r="AI217" i="1"/>
  <c r="CW217" i="1" s="1"/>
  <c r="AJ217" i="1"/>
  <c r="CX217" i="1" s="1"/>
  <c r="W217" i="1" s="1"/>
  <c r="CQ217" i="1"/>
  <c r="CR217" i="1"/>
  <c r="CS217" i="1"/>
  <c r="CT217" i="1"/>
  <c r="CU217" i="1"/>
  <c r="CV217" i="1"/>
  <c r="GL217" i="1"/>
  <c r="GO217" i="1"/>
  <c r="GP217" i="1"/>
  <c r="GV217" i="1"/>
  <c r="HC217" i="1" s="1"/>
  <c r="GX217" i="1" s="1"/>
  <c r="I218" i="1"/>
  <c r="AC218" i="1"/>
  <c r="AD218" i="1"/>
  <c r="AE218" i="1"/>
  <c r="CR218" i="1" s="1"/>
  <c r="AF218" i="1"/>
  <c r="AG218" i="1"/>
  <c r="AH218" i="1"/>
  <c r="AI218" i="1"/>
  <c r="CW218" i="1" s="1"/>
  <c r="AJ218" i="1"/>
  <c r="CX218" i="1" s="1"/>
  <c r="CS218" i="1"/>
  <c r="CT218" i="1"/>
  <c r="CU218" i="1"/>
  <c r="T218" i="1" s="1"/>
  <c r="CV218" i="1"/>
  <c r="U218" i="1" s="1"/>
  <c r="GL218" i="1"/>
  <c r="GO218" i="1"/>
  <c r="GP218" i="1"/>
  <c r="GV218" i="1"/>
  <c r="HC218" i="1" s="1"/>
  <c r="AC219" i="1"/>
  <c r="AE219" i="1"/>
  <c r="AF219" i="1"/>
  <c r="CT219" i="1" s="1"/>
  <c r="AG219" i="1"/>
  <c r="CU219" i="1" s="1"/>
  <c r="AH219" i="1"/>
  <c r="AI219" i="1"/>
  <c r="CW219" i="1" s="1"/>
  <c r="AJ219" i="1"/>
  <c r="CQ219" i="1"/>
  <c r="CS219" i="1"/>
  <c r="CV219" i="1"/>
  <c r="CX219" i="1"/>
  <c r="GL219" i="1"/>
  <c r="GO219" i="1"/>
  <c r="GP219" i="1"/>
  <c r="GV219" i="1"/>
  <c r="HC219" i="1"/>
  <c r="B221" i="1"/>
  <c r="B184" i="1" s="1"/>
  <c r="C221" i="1"/>
  <c r="D221" i="1"/>
  <c r="D184" i="1" s="1"/>
  <c r="F221" i="1"/>
  <c r="F184" i="1" s="1"/>
  <c r="G221" i="1"/>
  <c r="G184" i="1" s="1"/>
  <c r="BB221" i="1"/>
  <c r="BX221" i="1"/>
  <c r="BY221" i="1"/>
  <c r="AP221" i="1" s="1"/>
  <c r="F230" i="1" s="1"/>
  <c r="CK221" i="1"/>
  <c r="CK184" i="1" s="1"/>
  <c r="CL221" i="1"/>
  <c r="CM221" i="1"/>
  <c r="CM184" i="1" s="1"/>
  <c r="EG221" i="1"/>
  <c r="ET221" i="1"/>
  <c r="EU221" i="1"/>
  <c r="FP221" i="1"/>
  <c r="FQ221" i="1"/>
  <c r="GC221" i="1"/>
  <c r="GD221" i="1"/>
  <c r="GD184" i="1" s="1"/>
  <c r="GE221" i="1"/>
  <c r="GE184" i="1" s="1"/>
  <c r="D251" i="1"/>
  <c r="E253" i="1"/>
  <c r="G253" i="1"/>
  <c r="Z253" i="1"/>
  <c r="AA253" i="1"/>
  <c r="AM253" i="1"/>
  <c r="AN253" i="1"/>
  <c r="BB253" i="1"/>
  <c r="BC253" i="1"/>
  <c r="BE253" i="1"/>
  <c r="BF253" i="1"/>
  <c r="BG253" i="1"/>
  <c r="BH253" i="1"/>
  <c r="BI253" i="1"/>
  <c r="BJ253" i="1"/>
  <c r="BK253" i="1"/>
  <c r="BL253" i="1"/>
  <c r="BM253" i="1"/>
  <c r="BN253" i="1"/>
  <c r="BO253" i="1"/>
  <c r="BP253" i="1"/>
  <c r="BQ253" i="1"/>
  <c r="BR253" i="1"/>
  <c r="BS253" i="1"/>
  <c r="BT253" i="1"/>
  <c r="BU253" i="1"/>
  <c r="BV253" i="1"/>
  <c r="BW253" i="1"/>
  <c r="CK253" i="1"/>
  <c r="CL253" i="1"/>
  <c r="CM253" i="1"/>
  <c r="CN253" i="1"/>
  <c r="CO253" i="1"/>
  <c r="CP253" i="1"/>
  <c r="CQ253" i="1"/>
  <c r="CR253" i="1"/>
  <c r="CS253" i="1"/>
  <c r="CT253" i="1"/>
  <c r="CU253" i="1"/>
  <c r="CV253" i="1"/>
  <c r="CW253" i="1"/>
  <c r="CX253" i="1"/>
  <c r="CY253" i="1"/>
  <c r="CZ253" i="1"/>
  <c r="DA253" i="1"/>
  <c r="DB253" i="1"/>
  <c r="DC253" i="1"/>
  <c r="DD253" i="1"/>
  <c r="DE253" i="1"/>
  <c r="DF253" i="1"/>
  <c r="DR253" i="1"/>
  <c r="DS253" i="1"/>
  <c r="EE253" i="1"/>
  <c r="EF253" i="1"/>
  <c r="EG253" i="1"/>
  <c r="ET253" i="1"/>
  <c r="EU253" i="1"/>
  <c r="EW253" i="1"/>
  <c r="EX253" i="1"/>
  <c r="EY253" i="1"/>
  <c r="EZ253" i="1"/>
  <c r="FA253" i="1"/>
  <c r="FB253" i="1"/>
  <c r="FC253" i="1"/>
  <c r="FD253" i="1"/>
  <c r="FE253" i="1"/>
  <c r="FF253" i="1"/>
  <c r="FG253" i="1"/>
  <c r="FH253" i="1"/>
  <c r="FI253" i="1"/>
  <c r="FJ253" i="1"/>
  <c r="FK253" i="1"/>
  <c r="FL253" i="1"/>
  <c r="FM253" i="1"/>
  <c r="FN253" i="1"/>
  <c r="FO253" i="1"/>
  <c r="FP253" i="1"/>
  <c r="GC253" i="1"/>
  <c r="GD253" i="1"/>
  <c r="GE253" i="1"/>
  <c r="GF253" i="1"/>
  <c r="GG253" i="1"/>
  <c r="GH253" i="1"/>
  <c r="GI253" i="1"/>
  <c r="GJ253" i="1"/>
  <c r="GK253" i="1"/>
  <c r="GL253" i="1"/>
  <c r="GM253" i="1"/>
  <c r="GN253" i="1"/>
  <c r="GO253" i="1"/>
  <c r="GP253" i="1"/>
  <c r="GQ253" i="1"/>
  <c r="GR253" i="1"/>
  <c r="GS253" i="1"/>
  <c r="GT253" i="1"/>
  <c r="GU253" i="1"/>
  <c r="GV253" i="1"/>
  <c r="GW253" i="1"/>
  <c r="GX253" i="1"/>
  <c r="D255" i="1"/>
  <c r="P255" i="1"/>
  <c r="Q255" i="1"/>
  <c r="R255" i="1"/>
  <c r="S255" i="1"/>
  <c r="T255" i="1"/>
  <c r="V255" i="1"/>
  <c r="AC255" i="1"/>
  <c r="AE255" i="1"/>
  <c r="AD255" i="1" s="1"/>
  <c r="AF255" i="1"/>
  <c r="AG255" i="1"/>
  <c r="CU255" i="1" s="1"/>
  <c r="AH255" i="1"/>
  <c r="CV255" i="1" s="1"/>
  <c r="U255" i="1" s="1"/>
  <c r="AI255" i="1"/>
  <c r="AJ255" i="1"/>
  <c r="CX255" i="1" s="1"/>
  <c r="W255" i="1" s="1"/>
  <c r="CQ255" i="1"/>
  <c r="CR255" i="1"/>
  <c r="CW255" i="1"/>
  <c r="GL255" i="1"/>
  <c r="GO255" i="1"/>
  <c r="GP255" i="1"/>
  <c r="GV255" i="1"/>
  <c r="HC255" i="1"/>
  <c r="GX255" i="1" s="1"/>
  <c r="D256" i="1"/>
  <c r="Q256" i="1"/>
  <c r="R256" i="1"/>
  <c r="V256" i="1"/>
  <c r="AC256" i="1"/>
  <c r="AE256" i="1"/>
  <c r="AF256" i="1"/>
  <c r="AG256" i="1"/>
  <c r="CU256" i="1" s="1"/>
  <c r="T256" i="1" s="1"/>
  <c r="AH256" i="1"/>
  <c r="AI256" i="1"/>
  <c r="AJ256" i="1"/>
  <c r="CV256" i="1"/>
  <c r="U256" i="1" s="1"/>
  <c r="CW256" i="1"/>
  <c r="CX256" i="1"/>
  <c r="W256" i="1" s="1"/>
  <c r="GK256" i="1"/>
  <c r="GL256" i="1"/>
  <c r="GO256" i="1"/>
  <c r="GP256" i="1"/>
  <c r="GV256" i="1"/>
  <c r="HC256" i="1"/>
  <c r="GX256" i="1" s="1"/>
  <c r="D257" i="1"/>
  <c r="S257" i="1"/>
  <c r="CY257" i="1" s="1"/>
  <c r="T257" i="1"/>
  <c r="X257" i="1"/>
  <c r="AC257" i="1"/>
  <c r="AE257" i="1"/>
  <c r="AF257" i="1"/>
  <c r="AG257" i="1"/>
  <c r="CU257" i="1" s="1"/>
  <c r="AH257" i="1"/>
  <c r="AI257" i="1"/>
  <c r="AJ257" i="1"/>
  <c r="CT257" i="1"/>
  <c r="CV257" i="1"/>
  <c r="U257" i="1" s="1"/>
  <c r="CW257" i="1"/>
  <c r="V257" i="1" s="1"/>
  <c r="CX257" i="1"/>
  <c r="W257" i="1" s="1"/>
  <c r="CZ257" i="1"/>
  <c r="Y257" i="1" s="1"/>
  <c r="GL257" i="1"/>
  <c r="GO257" i="1"/>
  <c r="GP257" i="1"/>
  <c r="GV257" i="1"/>
  <c r="HC257" i="1" s="1"/>
  <c r="GX257" i="1" s="1"/>
  <c r="D258" i="1"/>
  <c r="Q258" i="1"/>
  <c r="S258" i="1"/>
  <c r="V258" i="1"/>
  <c r="W258" i="1"/>
  <c r="X258" i="1"/>
  <c r="Y258" i="1"/>
  <c r="AC258" i="1"/>
  <c r="P258" i="1" s="1"/>
  <c r="AE258" i="1"/>
  <c r="R258" i="1" s="1"/>
  <c r="GK258" i="1" s="1"/>
  <c r="AF258" i="1"/>
  <c r="AG258" i="1"/>
  <c r="AH258" i="1"/>
  <c r="AI258" i="1"/>
  <c r="CW258" i="1" s="1"/>
  <c r="AJ258" i="1"/>
  <c r="CX258" i="1" s="1"/>
  <c r="CP258" i="1"/>
  <c r="O258" i="1" s="1"/>
  <c r="GM258" i="1" s="1"/>
  <c r="GN258" i="1" s="1"/>
  <c r="CQ258" i="1"/>
  <c r="CR258" i="1"/>
  <c r="CS258" i="1"/>
  <c r="CT258" i="1"/>
  <c r="CU258" i="1"/>
  <c r="T258" i="1" s="1"/>
  <c r="CV258" i="1"/>
  <c r="U258" i="1" s="1"/>
  <c r="CY258" i="1"/>
  <c r="CZ258" i="1"/>
  <c r="GL258" i="1"/>
  <c r="GO258" i="1"/>
  <c r="FU282" i="1" s="1"/>
  <c r="GP258" i="1"/>
  <c r="FV282" i="1" s="1"/>
  <c r="GV258" i="1"/>
  <c r="HC258" i="1" s="1"/>
  <c r="GX258" i="1"/>
  <c r="D259" i="1"/>
  <c r="I259" i="1"/>
  <c r="K259" i="1"/>
  <c r="P259" i="1"/>
  <c r="S259" i="1"/>
  <c r="CZ259" i="1" s="1"/>
  <c r="T259" i="1"/>
  <c r="U259" i="1"/>
  <c r="Y259" i="1"/>
  <c r="AC259" i="1"/>
  <c r="AE259" i="1"/>
  <c r="R259" i="1" s="1"/>
  <c r="GK259" i="1" s="1"/>
  <c r="AF259" i="1"/>
  <c r="AG259" i="1"/>
  <c r="CU259" i="1" s="1"/>
  <c r="AH259" i="1"/>
  <c r="CV259" i="1" s="1"/>
  <c r="AI259" i="1"/>
  <c r="AJ259" i="1"/>
  <c r="CX259" i="1" s="1"/>
  <c r="W259" i="1" s="1"/>
  <c r="CQ259" i="1"/>
  <c r="CR259" i="1"/>
  <c r="CS259" i="1"/>
  <c r="CT259" i="1"/>
  <c r="CW259" i="1"/>
  <c r="V259" i="1" s="1"/>
  <c r="CY259" i="1"/>
  <c r="X259" i="1" s="1"/>
  <c r="GL259" i="1"/>
  <c r="GO259" i="1"/>
  <c r="GP259" i="1"/>
  <c r="GV259" i="1"/>
  <c r="HC259" i="1"/>
  <c r="GX259" i="1" s="1"/>
  <c r="D260" i="1"/>
  <c r="I260" i="1"/>
  <c r="K260" i="1"/>
  <c r="Q260" i="1"/>
  <c r="R260" i="1"/>
  <c r="AC260" i="1"/>
  <c r="AE260" i="1"/>
  <c r="AD260" i="1" s="1"/>
  <c r="AF260" i="1"/>
  <c r="AG260" i="1"/>
  <c r="CU260" i="1" s="1"/>
  <c r="T260" i="1" s="1"/>
  <c r="AH260" i="1"/>
  <c r="AI260" i="1"/>
  <c r="AJ260" i="1"/>
  <c r="CX260" i="1" s="1"/>
  <c r="W260" i="1" s="1"/>
  <c r="CR260" i="1"/>
  <c r="CS260" i="1"/>
  <c r="CV260" i="1"/>
  <c r="U260" i="1" s="1"/>
  <c r="CW260" i="1"/>
  <c r="V260" i="1" s="1"/>
  <c r="GK260" i="1"/>
  <c r="GL260" i="1"/>
  <c r="GO260" i="1"/>
  <c r="GP260" i="1"/>
  <c r="GV260" i="1"/>
  <c r="HC260" i="1"/>
  <c r="GX260" i="1" s="1"/>
  <c r="C261" i="1"/>
  <c r="D261" i="1"/>
  <c r="T261" i="1"/>
  <c r="W261" i="1"/>
  <c r="AC261" i="1"/>
  <c r="AE261" i="1"/>
  <c r="AF261" i="1"/>
  <c r="AG261" i="1"/>
  <c r="AH261" i="1"/>
  <c r="AI261" i="1"/>
  <c r="AJ261" i="1"/>
  <c r="CU261" i="1"/>
  <c r="CV261" i="1"/>
  <c r="U261" i="1" s="1"/>
  <c r="CW261" i="1"/>
  <c r="V261" i="1" s="1"/>
  <c r="CX261" i="1"/>
  <c r="GL261" i="1"/>
  <c r="GO261" i="1"/>
  <c r="GP261" i="1"/>
  <c r="GV261" i="1"/>
  <c r="HC261" i="1"/>
  <c r="GX261" i="1" s="1"/>
  <c r="C262" i="1"/>
  <c r="D262" i="1"/>
  <c r="Q262" i="1"/>
  <c r="R262" i="1"/>
  <c r="S262" i="1"/>
  <c r="U262" i="1"/>
  <c r="V262" i="1"/>
  <c r="W262" i="1"/>
  <c r="AB262" i="1"/>
  <c r="AC262" i="1"/>
  <c r="P262" i="1" s="1"/>
  <c r="AE262" i="1"/>
  <c r="AD262" i="1" s="1"/>
  <c r="AF262" i="1"/>
  <c r="AG262" i="1"/>
  <c r="CU262" i="1" s="1"/>
  <c r="T262" i="1" s="1"/>
  <c r="AH262" i="1"/>
  <c r="CV262" i="1" s="1"/>
  <c r="AI262" i="1"/>
  <c r="CW262" i="1" s="1"/>
  <c r="AJ262" i="1"/>
  <c r="CX262" i="1" s="1"/>
  <c r="CP262" i="1"/>
  <c r="O262" i="1" s="1"/>
  <c r="CQ262" i="1"/>
  <c r="CR262" i="1"/>
  <c r="CS262" i="1"/>
  <c r="CT262" i="1"/>
  <c r="GL262" i="1"/>
  <c r="GO262" i="1"/>
  <c r="GP262" i="1"/>
  <c r="GV262" i="1"/>
  <c r="HC262" i="1"/>
  <c r="GX262" i="1" s="1"/>
  <c r="I263" i="1"/>
  <c r="AC263" i="1"/>
  <c r="AE263" i="1"/>
  <c r="AF263" i="1"/>
  <c r="AG263" i="1"/>
  <c r="CU263" i="1" s="1"/>
  <c r="T263" i="1" s="1"/>
  <c r="AH263" i="1"/>
  <c r="AI263" i="1"/>
  <c r="AJ263" i="1"/>
  <c r="CX263" i="1" s="1"/>
  <c r="CV263" i="1"/>
  <c r="CW263" i="1"/>
  <c r="GL263" i="1"/>
  <c r="GO263" i="1"/>
  <c r="GP263" i="1"/>
  <c r="GV263" i="1"/>
  <c r="HC263" i="1"/>
  <c r="GX263" i="1" s="1"/>
  <c r="I264" i="1"/>
  <c r="S264" i="1" s="1"/>
  <c r="AC264" i="1"/>
  <c r="AE264" i="1"/>
  <c r="AD264" i="1" s="1"/>
  <c r="AF264" i="1"/>
  <c r="AG264" i="1"/>
  <c r="CU264" i="1" s="1"/>
  <c r="T264" i="1" s="1"/>
  <c r="AH264" i="1"/>
  <c r="AI264" i="1"/>
  <c r="CW264" i="1" s="1"/>
  <c r="AJ264" i="1"/>
  <c r="CT264" i="1"/>
  <c r="CV264" i="1"/>
  <c r="U264" i="1" s="1"/>
  <c r="CX264" i="1"/>
  <c r="W264" i="1" s="1"/>
  <c r="CY264" i="1"/>
  <c r="X264" i="1" s="1"/>
  <c r="CZ264" i="1"/>
  <c r="Y264" i="1" s="1"/>
  <c r="GL264" i="1"/>
  <c r="GO264" i="1"/>
  <c r="GP264" i="1"/>
  <c r="GV264" i="1"/>
  <c r="HC264" i="1" s="1"/>
  <c r="GX264" i="1" s="1"/>
  <c r="C265" i="1"/>
  <c r="D265" i="1"/>
  <c r="Q265" i="1"/>
  <c r="AC265" i="1"/>
  <c r="AE265" i="1"/>
  <c r="AF265" i="1"/>
  <c r="AG265" i="1"/>
  <c r="AH265" i="1"/>
  <c r="AI265" i="1"/>
  <c r="AJ265" i="1"/>
  <c r="CR265" i="1"/>
  <c r="CU265" i="1"/>
  <c r="T265" i="1" s="1"/>
  <c r="CV265" i="1"/>
  <c r="U265" i="1" s="1"/>
  <c r="CW265" i="1"/>
  <c r="V265" i="1" s="1"/>
  <c r="CX265" i="1"/>
  <c r="W265" i="1" s="1"/>
  <c r="GL265" i="1"/>
  <c r="GO265" i="1"/>
  <c r="GP265" i="1"/>
  <c r="GV265" i="1"/>
  <c r="HC265" i="1" s="1"/>
  <c r="GX265" i="1" s="1"/>
  <c r="C266" i="1"/>
  <c r="D266" i="1"/>
  <c r="Q266" i="1"/>
  <c r="S266" i="1"/>
  <c r="T266" i="1"/>
  <c r="AC266" i="1"/>
  <c r="AE266" i="1"/>
  <c r="R266" i="1" s="1"/>
  <c r="AF266" i="1"/>
  <c r="AG266" i="1"/>
  <c r="CU266" i="1" s="1"/>
  <c r="AH266" i="1"/>
  <c r="CV266" i="1" s="1"/>
  <c r="U266" i="1" s="1"/>
  <c r="AI266" i="1"/>
  <c r="CW266" i="1" s="1"/>
  <c r="V266" i="1" s="1"/>
  <c r="AJ266" i="1"/>
  <c r="CX266" i="1" s="1"/>
  <c r="W266" i="1" s="1"/>
  <c r="CR266" i="1"/>
  <c r="CS266" i="1"/>
  <c r="CT266" i="1"/>
  <c r="GK266" i="1"/>
  <c r="GL266" i="1"/>
  <c r="GO266" i="1"/>
  <c r="GP266" i="1"/>
  <c r="GV266" i="1"/>
  <c r="HC266" i="1" s="1"/>
  <c r="GX266" i="1" s="1"/>
  <c r="I267" i="1"/>
  <c r="P267" i="1"/>
  <c r="U267" i="1"/>
  <c r="W267" i="1"/>
  <c r="AC267" i="1"/>
  <c r="AE267" i="1"/>
  <c r="AD267" i="1" s="1"/>
  <c r="AF267" i="1"/>
  <c r="AG267" i="1"/>
  <c r="CU267" i="1" s="1"/>
  <c r="T267" i="1" s="1"/>
  <c r="AH267" i="1"/>
  <c r="CV267" i="1" s="1"/>
  <c r="AI267" i="1"/>
  <c r="AJ267" i="1"/>
  <c r="CQ267" i="1"/>
  <c r="CW267" i="1"/>
  <c r="V267" i="1" s="1"/>
  <c r="CX267" i="1"/>
  <c r="GL267" i="1"/>
  <c r="GO267" i="1"/>
  <c r="GP267" i="1"/>
  <c r="GV267" i="1"/>
  <c r="HC267" i="1"/>
  <c r="GX267" i="1" s="1"/>
  <c r="I268" i="1"/>
  <c r="P268" i="1"/>
  <c r="Q268" i="1"/>
  <c r="CP268" i="1" s="1"/>
  <c r="O268" i="1" s="1"/>
  <c r="GM268" i="1" s="1"/>
  <c r="GN268" i="1" s="1"/>
  <c r="R268" i="1"/>
  <c r="GK268" i="1" s="1"/>
  <c r="S268" i="1"/>
  <c r="CY268" i="1" s="1"/>
  <c r="X268" i="1" s="1"/>
  <c r="U268" i="1"/>
  <c r="AC268" i="1"/>
  <c r="CQ268" i="1" s="1"/>
  <c r="AD268" i="1"/>
  <c r="AB268" i="1" s="1"/>
  <c r="AE268" i="1"/>
  <c r="CR268" i="1" s="1"/>
  <c r="AF268" i="1"/>
  <c r="CT268" i="1" s="1"/>
  <c r="AG268" i="1"/>
  <c r="AH268" i="1"/>
  <c r="AI268" i="1"/>
  <c r="AJ268" i="1"/>
  <c r="CX268" i="1" s="1"/>
  <c r="W268" i="1" s="1"/>
  <c r="CS268" i="1"/>
  <c r="CU268" i="1"/>
  <c r="T268" i="1" s="1"/>
  <c r="CV268" i="1"/>
  <c r="CW268" i="1"/>
  <c r="V268" i="1" s="1"/>
  <c r="CZ268" i="1"/>
  <c r="Y268" i="1" s="1"/>
  <c r="GL268" i="1"/>
  <c r="GO268" i="1"/>
  <c r="GP268" i="1"/>
  <c r="GV268" i="1"/>
  <c r="HC268" i="1" s="1"/>
  <c r="GX268" i="1" s="1"/>
  <c r="C269" i="1"/>
  <c r="D269" i="1"/>
  <c r="P269" i="1"/>
  <c r="Q269" i="1"/>
  <c r="R269" i="1"/>
  <c r="GK269" i="1" s="1"/>
  <c r="AC269" i="1"/>
  <c r="AD269" i="1"/>
  <c r="AE269" i="1"/>
  <c r="CS269" i="1" s="1"/>
  <c r="AF269" i="1"/>
  <c r="AG269" i="1"/>
  <c r="CU269" i="1" s="1"/>
  <c r="T269" i="1" s="1"/>
  <c r="AH269" i="1"/>
  <c r="AI269" i="1"/>
  <c r="CW269" i="1" s="1"/>
  <c r="V269" i="1" s="1"/>
  <c r="AJ269" i="1"/>
  <c r="CX269" i="1" s="1"/>
  <c r="W269" i="1" s="1"/>
  <c r="CQ269" i="1"/>
  <c r="CR269" i="1"/>
  <c r="CV269" i="1"/>
  <c r="U269" i="1" s="1"/>
  <c r="GL269" i="1"/>
  <c r="GO269" i="1"/>
  <c r="GP269" i="1"/>
  <c r="GV269" i="1"/>
  <c r="HC269" i="1" s="1"/>
  <c r="GX269" i="1" s="1"/>
  <c r="C270" i="1"/>
  <c r="D270" i="1"/>
  <c r="P270" i="1"/>
  <c r="Q270" i="1"/>
  <c r="R270" i="1"/>
  <c r="S270" i="1"/>
  <c r="CY270" i="1" s="1"/>
  <c r="U270" i="1"/>
  <c r="V270" i="1"/>
  <c r="X270" i="1"/>
  <c r="AC270" i="1"/>
  <c r="AE270" i="1"/>
  <c r="AD270" i="1" s="1"/>
  <c r="AF270" i="1"/>
  <c r="AG270" i="1"/>
  <c r="CU270" i="1" s="1"/>
  <c r="T270" i="1" s="1"/>
  <c r="AH270" i="1"/>
  <c r="AI270" i="1"/>
  <c r="CW270" i="1" s="1"/>
  <c r="AJ270" i="1"/>
  <c r="CP270" i="1"/>
  <c r="O270" i="1" s="1"/>
  <c r="CQ270" i="1"/>
  <c r="CR270" i="1"/>
  <c r="CV270" i="1"/>
  <c r="CX270" i="1"/>
  <c r="W270" i="1" s="1"/>
  <c r="CZ270" i="1"/>
  <c r="Y270" i="1" s="1"/>
  <c r="GK270" i="1"/>
  <c r="GL270" i="1"/>
  <c r="GO270" i="1"/>
  <c r="GP270" i="1"/>
  <c r="GV270" i="1"/>
  <c r="HC270" i="1"/>
  <c r="GX270" i="1" s="1"/>
  <c r="I271" i="1"/>
  <c r="P271" i="1"/>
  <c r="S271" i="1"/>
  <c r="AC271" i="1"/>
  <c r="AE271" i="1"/>
  <c r="AF271" i="1"/>
  <c r="CT271" i="1" s="1"/>
  <c r="AG271" i="1"/>
  <c r="CU271" i="1" s="1"/>
  <c r="T271" i="1" s="1"/>
  <c r="AH271" i="1"/>
  <c r="CV271" i="1" s="1"/>
  <c r="U271" i="1" s="1"/>
  <c r="AI271" i="1"/>
  <c r="CW271" i="1" s="1"/>
  <c r="V271" i="1" s="1"/>
  <c r="AJ271" i="1"/>
  <c r="CX271" i="1" s="1"/>
  <c r="W271" i="1" s="1"/>
  <c r="CQ271" i="1"/>
  <c r="GL271" i="1"/>
  <c r="GO271" i="1"/>
  <c r="GP271" i="1"/>
  <c r="GV271" i="1"/>
  <c r="HC271" i="1" s="1"/>
  <c r="GX271" i="1" s="1"/>
  <c r="I272" i="1"/>
  <c r="P272" i="1"/>
  <c r="R272" i="1"/>
  <c r="GK272" i="1" s="1"/>
  <c r="S272" i="1"/>
  <c r="CY272" i="1" s="1"/>
  <c r="X272" i="1"/>
  <c r="AC272" i="1"/>
  <c r="AE272" i="1"/>
  <c r="AD272" i="1" s="1"/>
  <c r="AB272" i="1" s="1"/>
  <c r="AF272" i="1"/>
  <c r="CT272" i="1" s="1"/>
  <c r="AG272" i="1"/>
  <c r="AH272" i="1"/>
  <c r="CV272" i="1" s="1"/>
  <c r="U272" i="1" s="1"/>
  <c r="AI272" i="1"/>
  <c r="CW272" i="1" s="1"/>
  <c r="V272" i="1" s="1"/>
  <c r="AJ272" i="1"/>
  <c r="CQ272" i="1"/>
  <c r="CR272" i="1"/>
  <c r="CS272" i="1"/>
  <c r="CU272" i="1"/>
  <c r="T272" i="1" s="1"/>
  <c r="CX272" i="1"/>
  <c r="W272" i="1" s="1"/>
  <c r="CZ272" i="1"/>
  <c r="Y272" i="1" s="1"/>
  <c r="GL272" i="1"/>
  <c r="GO272" i="1"/>
  <c r="GP272" i="1"/>
  <c r="GV272" i="1"/>
  <c r="GX272" i="1"/>
  <c r="HC272" i="1"/>
  <c r="C273" i="1"/>
  <c r="D273" i="1"/>
  <c r="Q273" i="1"/>
  <c r="S273" i="1"/>
  <c r="CY273" i="1" s="1"/>
  <c r="X273" i="1" s="1"/>
  <c r="T273" i="1"/>
  <c r="W273" i="1"/>
  <c r="AC273" i="1"/>
  <c r="P273" i="1" s="1"/>
  <c r="AE273" i="1"/>
  <c r="AF273" i="1"/>
  <c r="CT273" i="1" s="1"/>
  <c r="AG273" i="1"/>
  <c r="CU273" i="1" s="1"/>
  <c r="AH273" i="1"/>
  <c r="AI273" i="1"/>
  <c r="CW273" i="1" s="1"/>
  <c r="V273" i="1" s="1"/>
  <c r="AJ273" i="1"/>
  <c r="CX273" i="1" s="1"/>
  <c r="CQ273" i="1"/>
  <c r="CS273" i="1"/>
  <c r="CV273" i="1"/>
  <c r="U273" i="1" s="1"/>
  <c r="CZ273" i="1"/>
  <c r="Y273" i="1" s="1"/>
  <c r="GL273" i="1"/>
  <c r="GO273" i="1"/>
  <c r="GP273" i="1"/>
  <c r="GV273" i="1"/>
  <c r="HC273" i="1"/>
  <c r="GX273" i="1" s="1"/>
  <c r="C274" i="1"/>
  <c r="D274" i="1"/>
  <c r="P274" i="1"/>
  <c r="Q274" i="1"/>
  <c r="R274" i="1"/>
  <c r="GK274" i="1" s="1"/>
  <c r="S274" i="1"/>
  <c r="W274" i="1"/>
  <c r="AC274" i="1"/>
  <c r="AE274" i="1"/>
  <c r="AD274" i="1" s="1"/>
  <c r="AB274" i="1" s="1"/>
  <c r="AF274" i="1"/>
  <c r="CT274" i="1" s="1"/>
  <c r="AG274" i="1"/>
  <c r="CU274" i="1" s="1"/>
  <c r="T274" i="1" s="1"/>
  <c r="AH274" i="1"/>
  <c r="CV274" i="1" s="1"/>
  <c r="U274" i="1" s="1"/>
  <c r="AI274" i="1"/>
  <c r="CW274" i="1" s="1"/>
  <c r="V274" i="1" s="1"/>
  <c r="AJ274" i="1"/>
  <c r="CQ274" i="1"/>
  <c r="CX274" i="1"/>
  <c r="GL274" i="1"/>
  <c r="GO274" i="1"/>
  <c r="GP274" i="1"/>
  <c r="GV274" i="1"/>
  <c r="GX274" i="1"/>
  <c r="HC274" i="1"/>
  <c r="I275" i="1"/>
  <c r="Q275" i="1" s="1"/>
  <c r="R275" i="1"/>
  <c r="S275" i="1"/>
  <c r="CZ275" i="1" s="1"/>
  <c r="U275" i="1"/>
  <c r="V275" i="1"/>
  <c r="Y275" i="1"/>
  <c r="AC275" i="1"/>
  <c r="AB275" i="1" s="1"/>
  <c r="AD275" i="1"/>
  <c r="AE275" i="1"/>
  <c r="AF275" i="1"/>
  <c r="AG275" i="1"/>
  <c r="AH275" i="1"/>
  <c r="CV275" i="1" s="1"/>
  <c r="AI275" i="1"/>
  <c r="AJ275" i="1"/>
  <c r="CX275" i="1" s="1"/>
  <c r="W275" i="1" s="1"/>
  <c r="CR275" i="1"/>
  <c r="CS275" i="1"/>
  <c r="CT275" i="1"/>
  <c r="CU275" i="1"/>
  <c r="T275" i="1" s="1"/>
  <c r="CW275" i="1"/>
  <c r="GK275" i="1"/>
  <c r="GL275" i="1"/>
  <c r="GO275" i="1"/>
  <c r="GP275" i="1"/>
  <c r="GV275" i="1"/>
  <c r="HC275" i="1"/>
  <c r="GX275" i="1" s="1"/>
  <c r="I276" i="1"/>
  <c r="W276" i="1" s="1"/>
  <c r="S276" i="1"/>
  <c r="CZ276" i="1" s="1"/>
  <c r="Y276" i="1" s="1"/>
  <c r="AC276" i="1"/>
  <c r="AE276" i="1"/>
  <c r="AF276" i="1"/>
  <c r="AG276" i="1"/>
  <c r="AH276" i="1"/>
  <c r="CV276" i="1" s="1"/>
  <c r="U276" i="1" s="1"/>
  <c r="AI276" i="1"/>
  <c r="CW276" i="1" s="1"/>
  <c r="V276" i="1" s="1"/>
  <c r="AJ276" i="1"/>
  <c r="CT276" i="1"/>
  <c r="CU276" i="1"/>
  <c r="CX276" i="1"/>
  <c r="CY276" i="1"/>
  <c r="X276" i="1" s="1"/>
  <c r="GL276" i="1"/>
  <c r="GO276" i="1"/>
  <c r="GP276" i="1"/>
  <c r="GV276" i="1"/>
  <c r="HC276" i="1" s="1"/>
  <c r="GX276" i="1" s="1"/>
  <c r="C277" i="1"/>
  <c r="D277" i="1"/>
  <c r="T277" i="1"/>
  <c r="V277" i="1"/>
  <c r="W277" i="1"/>
  <c r="AC277" i="1"/>
  <c r="P277" i="1" s="1"/>
  <c r="AE277" i="1"/>
  <c r="Q277" i="1" s="1"/>
  <c r="AF277" i="1"/>
  <c r="CT277" i="1" s="1"/>
  <c r="AG277" i="1"/>
  <c r="CU277" i="1" s="1"/>
  <c r="AH277" i="1"/>
  <c r="CV277" i="1" s="1"/>
  <c r="U277" i="1" s="1"/>
  <c r="AI277" i="1"/>
  <c r="CW277" i="1" s="1"/>
  <c r="AJ277" i="1"/>
  <c r="CX277" i="1" s="1"/>
  <c r="CQ277" i="1"/>
  <c r="CR277" i="1"/>
  <c r="CS277" i="1"/>
  <c r="GL277" i="1"/>
  <c r="GO277" i="1"/>
  <c r="GP277" i="1"/>
  <c r="GV277" i="1"/>
  <c r="GX277" i="1"/>
  <c r="HC277" i="1"/>
  <c r="C278" i="1"/>
  <c r="D278" i="1"/>
  <c r="P278" i="1"/>
  <c r="Q278" i="1"/>
  <c r="R278" i="1"/>
  <c r="GK278" i="1" s="1"/>
  <c r="S278" i="1"/>
  <c r="CZ278" i="1" s="1"/>
  <c r="Y278" i="1" s="1"/>
  <c r="U278" i="1"/>
  <c r="AC278" i="1"/>
  <c r="AE278" i="1"/>
  <c r="AF278" i="1"/>
  <c r="CT278" i="1" s="1"/>
  <c r="AG278" i="1"/>
  <c r="AH278" i="1"/>
  <c r="CV278" i="1" s="1"/>
  <c r="AI278" i="1"/>
  <c r="AJ278" i="1"/>
  <c r="CP278" i="1"/>
  <c r="O278" i="1" s="1"/>
  <c r="CQ278" i="1"/>
  <c r="CU278" i="1"/>
  <c r="T278" i="1" s="1"/>
  <c r="CW278" i="1"/>
  <c r="V278" i="1" s="1"/>
  <c r="CX278" i="1"/>
  <c r="W278" i="1" s="1"/>
  <c r="GL278" i="1"/>
  <c r="GO278" i="1"/>
  <c r="GP278" i="1"/>
  <c r="GV278" i="1"/>
  <c r="GX278" i="1"/>
  <c r="HC278" i="1"/>
  <c r="D279" i="1"/>
  <c r="P279" i="1"/>
  <c r="CP279" i="1" s="1"/>
  <c r="O279" i="1" s="1"/>
  <c r="GM279" i="1" s="1"/>
  <c r="GN279" i="1" s="1"/>
  <c r="R279" i="1"/>
  <c r="AB279" i="1"/>
  <c r="AC279" i="1"/>
  <c r="CQ279" i="1" s="1"/>
  <c r="AD279" i="1"/>
  <c r="AE279" i="1"/>
  <c r="Q279" i="1" s="1"/>
  <c r="AF279" i="1"/>
  <c r="S279" i="1" s="1"/>
  <c r="AG279" i="1"/>
  <c r="CU279" i="1" s="1"/>
  <c r="T279" i="1" s="1"/>
  <c r="AH279" i="1"/>
  <c r="CV279" i="1" s="1"/>
  <c r="U279" i="1" s="1"/>
  <c r="AI279" i="1"/>
  <c r="AJ279" i="1"/>
  <c r="CR279" i="1"/>
  <c r="CS279" i="1"/>
  <c r="CT279" i="1"/>
  <c r="CW279" i="1"/>
  <c r="V279" i="1" s="1"/>
  <c r="CX279" i="1"/>
  <c r="W279" i="1" s="1"/>
  <c r="CY279" i="1"/>
  <c r="X279" i="1" s="1"/>
  <c r="CZ279" i="1"/>
  <c r="Y279" i="1" s="1"/>
  <c r="GK279" i="1"/>
  <c r="GL279" i="1"/>
  <c r="GO279" i="1"/>
  <c r="GP279" i="1"/>
  <c r="GV279" i="1"/>
  <c r="HC279" i="1"/>
  <c r="GX279" i="1" s="1"/>
  <c r="D280" i="1"/>
  <c r="P280" i="1"/>
  <c r="Q280" i="1"/>
  <c r="R280" i="1"/>
  <c r="GK280" i="1" s="1"/>
  <c r="S280" i="1"/>
  <c r="AC280" i="1"/>
  <c r="AE280" i="1"/>
  <c r="AF280" i="1"/>
  <c r="CT280" i="1" s="1"/>
  <c r="AG280" i="1"/>
  <c r="CU280" i="1" s="1"/>
  <c r="T280" i="1" s="1"/>
  <c r="AH280" i="1"/>
  <c r="CV280" i="1" s="1"/>
  <c r="U280" i="1" s="1"/>
  <c r="AI280" i="1"/>
  <c r="CW280" i="1" s="1"/>
  <c r="V280" i="1" s="1"/>
  <c r="AJ280" i="1"/>
  <c r="CP280" i="1"/>
  <c r="O280" i="1" s="1"/>
  <c r="CR280" i="1"/>
  <c r="CX280" i="1"/>
  <c r="W280" i="1" s="1"/>
  <c r="GL280" i="1"/>
  <c r="GO280" i="1"/>
  <c r="GP280" i="1"/>
  <c r="GV280" i="1"/>
  <c r="HC280" i="1" s="1"/>
  <c r="GX280" i="1"/>
  <c r="B282" i="1"/>
  <c r="B253" i="1" s="1"/>
  <c r="C282" i="1"/>
  <c r="C253" i="1" s="1"/>
  <c r="D282" i="1"/>
  <c r="D253" i="1" s="1"/>
  <c r="F282" i="1"/>
  <c r="F253" i="1" s="1"/>
  <c r="G282" i="1"/>
  <c r="AP282" i="1"/>
  <c r="BB282" i="1"/>
  <c r="F295" i="1" s="1"/>
  <c r="BD282" i="1"/>
  <c r="BD253" i="1" s="1"/>
  <c r="BX282" i="1"/>
  <c r="BY282" i="1"/>
  <c r="CC282" i="1"/>
  <c r="CD282" i="1"/>
  <c r="CK282" i="1"/>
  <c r="CL282" i="1"/>
  <c r="BC282" i="1" s="1"/>
  <c r="F298" i="1" s="1"/>
  <c r="CM282" i="1"/>
  <c r="EG282" i="1"/>
  <c r="ET282" i="1"/>
  <c r="P295" i="1" s="1"/>
  <c r="EV282" i="1"/>
  <c r="FP282" i="1"/>
  <c r="FQ282" i="1"/>
  <c r="FR282" i="1"/>
  <c r="GC282" i="1"/>
  <c r="GD282" i="1"/>
  <c r="EU282" i="1" s="1"/>
  <c r="P298" i="1" s="1"/>
  <c r="GE282" i="1"/>
  <c r="P286" i="1"/>
  <c r="F307" i="1"/>
  <c r="D312" i="1"/>
  <c r="C314" i="1"/>
  <c r="E314" i="1"/>
  <c r="F314" i="1"/>
  <c r="Z314" i="1"/>
  <c r="AA314" i="1"/>
  <c r="AM314" i="1"/>
  <c r="AN314" i="1"/>
  <c r="AO314" i="1"/>
  <c r="BE314" i="1"/>
  <c r="BF314" i="1"/>
  <c r="BG314" i="1"/>
  <c r="BH314" i="1"/>
  <c r="BI314" i="1"/>
  <c r="BJ314" i="1"/>
  <c r="BK314" i="1"/>
  <c r="BL314" i="1"/>
  <c r="BM314" i="1"/>
  <c r="BN314" i="1"/>
  <c r="BO314" i="1"/>
  <c r="BP314" i="1"/>
  <c r="BQ314" i="1"/>
  <c r="BR314" i="1"/>
  <c r="BS314" i="1"/>
  <c r="BT314" i="1"/>
  <c r="BU314" i="1"/>
  <c r="BV314" i="1"/>
  <c r="BW314" i="1"/>
  <c r="BX314" i="1"/>
  <c r="BY314" i="1"/>
  <c r="CL314" i="1"/>
  <c r="CN314" i="1"/>
  <c r="CO314" i="1"/>
  <c r="CP314" i="1"/>
  <c r="CQ314" i="1"/>
  <c r="CR314" i="1"/>
  <c r="CS314" i="1"/>
  <c r="CT314" i="1"/>
  <c r="CU314" i="1"/>
  <c r="CV314" i="1"/>
  <c r="CW314" i="1"/>
  <c r="CX314" i="1"/>
  <c r="CY314" i="1"/>
  <c r="CZ314" i="1"/>
  <c r="DA314" i="1"/>
  <c r="DB314" i="1"/>
  <c r="DC314" i="1"/>
  <c r="DD314" i="1"/>
  <c r="DE314" i="1"/>
  <c r="DF314" i="1"/>
  <c r="DR314" i="1"/>
  <c r="DS314" i="1"/>
  <c r="EE314" i="1"/>
  <c r="EF314" i="1"/>
  <c r="ET314" i="1"/>
  <c r="EW314" i="1"/>
  <c r="EX314" i="1"/>
  <c r="EY314" i="1"/>
  <c r="EZ314" i="1"/>
  <c r="FA314" i="1"/>
  <c r="FB314" i="1"/>
  <c r="FC314" i="1"/>
  <c r="FD314" i="1"/>
  <c r="FE314" i="1"/>
  <c r="FF314" i="1"/>
  <c r="FG314" i="1"/>
  <c r="FH314" i="1"/>
  <c r="FI314" i="1"/>
  <c r="FJ314" i="1"/>
  <c r="FK314" i="1"/>
  <c r="FL314" i="1"/>
  <c r="FM314" i="1"/>
  <c r="FN314" i="1"/>
  <c r="FO314" i="1"/>
  <c r="FP314" i="1"/>
  <c r="GC314" i="1"/>
  <c r="GD314" i="1"/>
  <c r="GF314" i="1"/>
  <c r="GG314" i="1"/>
  <c r="GH314" i="1"/>
  <c r="GI314" i="1"/>
  <c r="GJ314" i="1"/>
  <c r="GK314" i="1"/>
  <c r="GL314" i="1"/>
  <c r="GM314" i="1"/>
  <c r="GN314" i="1"/>
  <c r="GO314" i="1"/>
  <c r="GP314" i="1"/>
  <c r="GQ314" i="1"/>
  <c r="GR314" i="1"/>
  <c r="GS314" i="1"/>
  <c r="GT314" i="1"/>
  <c r="GU314" i="1"/>
  <c r="GV314" i="1"/>
  <c r="GW314" i="1"/>
  <c r="GX314" i="1"/>
  <c r="C316" i="1"/>
  <c r="D316" i="1"/>
  <c r="I316" i="1"/>
  <c r="CX52" i="3" s="1"/>
  <c r="K316" i="1"/>
  <c r="AC316" i="1"/>
  <c r="AE316" i="1"/>
  <c r="R316" i="1" s="1"/>
  <c r="GK316" i="1" s="1"/>
  <c r="AF316" i="1"/>
  <c r="AG316" i="1"/>
  <c r="AH316" i="1"/>
  <c r="AI316" i="1"/>
  <c r="AJ316" i="1"/>
  <c r="CU316" i="1"/>
  <c r="T316" i="1" s="1"/>
  <c r="CV316" i="1"/>
  <c r="U316" i="1" s="1"/>
  <c r="CW316" i="1"/>
  <c r="V316" i="1" s="1"/>
  <c r="CX316" i="1"/>
  <c r="GL316" i="1"/>
  <c r="GO316" i="1"/>
  <c r="GP316" i="1"/>
  <c r="GV316" i="1"/>
  <c r="HC316" i="1"/>
  <c r="GX316" i="1" s="1"/>
  <c r="C317" i="1"/>
  <c r="D317" i="1"/>
  <c r="I317" i="1"/>
  <c r="K317" i="1"/>
  <c r="S317" i="1"/>
  <c r="CY317" i="1" s="1"/>
  <c r="U317" i="1"/>
  <c r="V317" i="1"/>
  <c r="X317" i="1"/>
  <c r="AC317" i="1"/>
  <c r="P317" i="1" s="1"/>
  <c r="AE317" i="1"/>
  <c r="AF317" i="1"/>
  <c r="CT317" i="1" s="1"/>
  <c r="AG317" i="1"/>
  <c r="CU317" i="1" s="1"/>
  <c r="T317" i="1" s="1"/>
  <c r="AH317" i="1"/>
  <c r="CV317" i="1" s="1"/>
  <c r="AI317" i="1"/>
  <c r="CW317" i="1" s="1"/>
  <c r="AJ317" i="1"/>
  <c r="CQ317" i="1"/>
  <c r="CR317" i="1"/>
  <c r="CX317" i="1"/>
  <c r="W317" i="1" s="1"/>
  <c r="CZ317" i="1"/>
  <c r="Y317" i="1" s="1"/>
  <c r="GL317" i="1"/>
  <c r="GO317" i="1"/>
  <c r="GP317" i="1"/>
  <c r="GV317" i="1"/>
  <c r="HC317" i="1" s="1"/>
  <c r="GX317" i="1" s="1"/>
  <c r="AC318" i="1"/>
  <c r="AD318" i="1"/>
  <c r="AE318" i="1"/>
  <c r="AF318" i="1"/>
  <c r="CT318" i="1" s="1"/>
  <c r="AG318" i="1"/>
  <c r="CU318" i="1" s="1"/>
  <c r="AH318" i="1"/>
  <c r="CV318" i="1" s="1"/>
  <c r="AI318" i="1"/>
  <c r="AJ318" i="1"/>
  <c r="CX318" i="1" s="1"/>
  <c r="CQ318" i="1"/>
  <c r="CR318" i="1"/>
  <c r="CS318" i="1"/>
  <c r="CW318" i="1"/>
  <c r="GL318" i="1"/>
  <c r="GO318" i="1"/>
  <c r="CC333" i="1" s="1"/>
  <c r="GP318" i="1"/>
  <c r="CD333" i="1" s="1"/>
  <c r="GV318" i="1"/>
  <c r="HC318" i="1" s="1"/>
  <c r="I319" i="1"/>
  <c r="Q319" i="1"/>
  <c r="AC319" i="1"/>
  <c r="AE319" i="1"/>
  <c r="AF319" i="1"/>
  <c r="CT319" i="1" s="1"/>
  <c r="AG319" i="1"/>
  <c r="CU319" i="1" s="1"/>
  <c r="AH319" i="1"/>
  <c r="CV319" i="1" s="1"/>
  <c r="AI319" i="1"/>
  <c r="AJ319" i="1"/>
  <c r="CX319" i="1" s="1"/>
  <c r="CQ319" i="1"/>
  <c r="CS319" i="1"/>
  <c r="CW319" i="1"/>
  <c r="V319" i="1" s="1"/>
  <c r="GL319" i="1"/>
  <c r="GO319" i="1"/>
  <c r="GP319" i="1"/>
  <c r="GV319" i="1"/>
  <c r="HC319" i="1"/>
  <c r="C320" i="1"/>
  <c r="D320" i="1"/>
  <c r="I320" i="1"/>
  <c r="K320" i="1"/>
  <c r="AC320" i="1"/>
  <c r="AE320" i="1"/>
  <c r="R320" i="1" s="1"/>
  <c r="GK320" i="1" s="1"/>
  <c r="AF320" i="1"/>
  <c r="AG320" i="1"/>
  <c r="CU320" i="1" s="1"/>
  <c r="AH320" i="1"/>
  <c r="AI320" i="1"/>
  <c r="CW320" i="1" s="1"/>
  <c r="V320" i="1" s="1"/>
  <c r="AJ320" i="1"/>
  <c r="CQ320" i="1"/>
  <c r="CV320" i="1"/>
  <c r="CX320" i="1"/>
  <c r="GL320" i="1"/>
  <c r="GO320" i="1"/>
  <c r="GP320" i="1"/>
  <c r="GV320" i="1"/>
  <c r="HC320" i="1"/>
  <c r="C321" i="1"/>
  <c r="D321" i="1"/>
  <c r="I321" i="1"/>
  <c r="K321" i="1"/>
  <c r="R321" i="1"/>
  <c r="GK321" i="1" s="1"/>
  <c r="U321" i="1"/>
  <c r="V321" i="1"/>
  <c r="W321" i="1"/>
  <c r="Y321" i="1"/>
  <c r="AC321" i="1"/>
  <c r="AD321" i="1"/>
  <c r="AE321" i="1"/>
  <c r="AF321" i="1"/>
  <c r="S321" i="1" s="1"/>
  <c r="CY321" i="1" s="1"/>
  <c r="X321" i="1" s="1"/>
  <c r="AG321" i="1"/>
  <c r="AH321" i="1"/>
  <c r="CV321" i="1" s="1"/>
  <c r="AI321" i="1"/>
  <c r="AJ321" i="1"/>
  <c r="CX321" i="1" s="1"/>
  <c r="CR321" i="1"/>
  <c r="CS321" i="1"/>
  <c r="CT321" i="1"/>
  <c r="CU321" i="1"/>
  <c r="CW321" i="1"/>
  <c r="CZ321" i="1"/>
  <c r="GL321" i="1"/>
  <c r="GO321" i="1"/>
  <c r="GP321" i="1"/>
  <c r="GV321" i="1"/>
  <c r="HC321" i="1"/>
  <c r="GX321" i="1" s="1"/>
  <c r="AC322" i="1"/>
  <c r="AE322" i="1"/>
  <c r="AF322" i="1"/>
  <c r="AG322" i="1"/>
  <c r="AH322" i="1"/>
  <c r="AI322" i="1"/>
  <c r="AJ322" i="1"/>
  <c r="CX322" i="1" s="1"/>
  <c r="CT322" i="1"/>
  <c r="CU322" i="1"/>
  <c r="CV322" i="1"/>
  <c r="CW322" i="1"/>
  <c r="GL322" i="1"/>
  <c r="GO322" i="1"/>
  <c r="GP322" i="1"/>
  <c r="GV322" i="1"/>
  <c r="HC322" i="1"/>
  <c r="AC323" i="1"/>
  <c r="AD323" i="1"/>
  <c r="AE323" i="1"/>
  <c r="CS323" i="1" s="1"/>
  <c r="AF323" i="1"/>
  <c r="AG323" i="1"/>
  <c r="AH323" i="1"/>
  <c r="AI323" i="1"/>
  <c r="CW323" i="1" s="1"/>
  <c r="AJ323" i="1"/>
  <c r="CR323" i="1"/>
  <c r="CT323" i="1"/>
  <c r="CU323" i="1"/>
  <c r="CV323" i="1"/>
  <c r="CX323" i="1"/>
  <c r="GL323" i="1"/>
  <c r="GO323" i="1"/>
  <c r="GP323" i="1"/>
  <c r="GV323" i="1"/>
  <c r="HC323" i="1" s="1"/>
  <c r="C324" i="1"/>
  <c r="D324" i="1"/>
  <c r="I324" i="1"/>
  <c r="I326" i="1" s="1"/>
  <c r="Q326" i="1" s="1"/>
  <c r="K324" i="1"/>
  <c r="P324" i="1"/>
  <c r="Q324" i="1"/>
  <c r="S324" i="1"/>
  <c r="CY324" i="1" s="1"/>
  <c r="X324" i="1" s="1"/>
  <c r="AC324" i="1"/>
  <c r="AE324" i="1"/>
  <c r="AF324" i="1"/>
  <c r="AG324" i="1"/>
  <c r="CU324" i="1" s="1"/>
  <c r="T324" i="1" s="1"/>
  <c r="AH324" i="1"/>
  <c r="CV324" i="1" s="1"/>
  <c r="U324" i="1" s="1"/>
  <c r="AI324" i="1"/>
  <c r="CW324" i="1" s="1"/>
  <c r="V324" i="1" s="1"/>
  <c r="AJ324" i="1"/>
  <c r="CX324" i="1" s="1"/>
  <c r="W324" i="1" s="1"/>
  <c r="CQ324" i="1"/>
  <c r="CT324" i="1"/>
  <c r="CZ324" i="1"/>
  <c r="Y324" i="1" s="1"/>
  <c r="GL324" i="1"/>
  <c r="GO324" i="1"/>
  <c r="GP324" i="1"/>
  <c r="GV324" i="1"/>
  <c r="HC324" i="1" s="1"/>
  <c r="GX324" i="1" s="1"/>
  <c r="C325" i="1"/>
  <c r="D325" i="1"/>
  <c r="I325" i="1"/>
  <c r="K325" i="1"/>
  <c r="P325" i="1"/>
  <c r="R325" i="1"/>
  <c r="GK325" i="1" s="1"/>
  <c r="S325" i="1"/>
  <c r="T325" i="1"/>
  <c r="W325" i="1"/>
  <c r="AC325" i="1"/>
  <c r="AE325" i="1"/>
  <c r="AF325" i="1"/>
  <c r="AG325" i="1"/>
  <c r="CU325" i="1" s="1"/>
  <c r="AH325" i="1"/>
  <c r="CV325" i="1" s="1"/>
  <c r="U325" i="1" s="1"/>
  <c r="AI325" i="1"/>
  <c r="CW325" i="1" s="1"/>
  <c r="V325" i="1" s="1"/>
  <c r="AJ325" i="1"/>
  <c r="CQ325" i="1"/>
  <c r="CT325" i="1"/>
  <c r="CX325" i="1"/>
  <c r="GL325" i="1"/>
  <c r="GO325" i="1"/>
  <c r="GP325" i="1"/>
  <c r="GV325" i="1"/>
  <c r="HC325" i="1" s="1"/>
  <c r="GX325" i="1"/>
  <c r="P326" i="1"/>
  <c r="R326" i="1"/>
  <c r="U326" i="1"/>
  <c r="AC326" i="1"/>
  <c r="AD326" i="1"/>
  <c r="AB326" i="1" s="1"/>
  <c r="AE326" i="1"/>
  <c r="AF326" i="1"/>
  <c r="AG326" i="1"/>
  <c r="CU326" i="1" s="1"/>
  <c r="T326" i="1" s="1"/>
  <c r="AH326" i="1"/>
  <c r="CV326" i="1" s="1"/>
  <c r="AI326" i="1"/>
  <c r="AJ326" i="1"/>
  <c r="CQ326" i="1"/>
  <c r="CR326" i="1"/>
  <c r="CS326" i="1"/>
  <c r="CW326" i="1"/>
  <c r="V326" i="1" s="1"/>
  <c r="CX326" i="1"/>
  <c r="W326" i="1" s="1"/>
  <c r="GK326" i="1"/>
  <c r="GL326" i="1"/>
  <c r="GO326" i="1"/>
  <c r="GP326" i="1"/>
  <c r="GV326" i="1"/>
  <c r="HC326" i="1"/>
  <c r="GX326" i="1" s="1"/>
  <c r="I327" i="1"/>
  <c r="P327" i="1"/>
  <c r="AC327" i="1"/>
  <c r="CQ327" i="1" s="1"/>
  <c r="AE327" i="1"/>
  <c r="AF327" i="1"/>
  <c r="AG327" i="1"/>
  <c r="CU327" i="1" s="1"/>
  <c r="T327" i="1" s="1"/>
  <c r="AH327" i="1"/>
  <c r="CV327" i="1" s="1"/>
  <c r="AI327" i="1"/>
  <c r="CW327" i="1" s="1"/>
  <c r="AJ327" i="1"/>
  <c r="CX327" i="1" s="1"/>
  <c r="W327" i="1" s="1"/>
  <c r="GL327" i="1"/>
  <c r="GO327" i="1"/>
  <c r="GP327" i="1"/>
  <c r="GV327" i="1"/>
  <c r="HC327" i="1" s="1"/>
  <c r="GX327" i="1" s="1"/>
  <c r="C328" i="1"/>
  <c r="D328" i="1"/>
  <c r="I328" i="1"/>
  <c r="I330" i="1" s="1"/>
  <c r="P330" i="1" s="1"/>
  <c r="K328" i="1"/>
  <c r="Q328" i="1"/>
  <c r="R328" i="1"/>
  <c r="GK328" i="1" s="1"/>
  <c r="S328" i="1"/>
  <c r="W328" i="1"/>
  <c r="AC328" i="1"/>
  <c r="AE328" i="1"/>
  <c r="AF328" i="1"/>
  <c r="AG328" i="1"/>
  <c r="CU328" i="1" s="1"/>
  <c r="T328" i="1" s="1"/>
  <c r="AH328" i="1"/>
  <c r="AI328" i="1"/>
  <c r="AJ328" i="1"/>
  <c r="CQ328" i="1"/>
  <c r="CS328" i="1"/>
  <c r="CT328" i="1"/>
  <c r="CV328" i="1"/>
  <c r="U328" i="1" s="1"/>
  <c r="CW328" i="1"/>
  <c r="V328" i="1" s="1"/>
  <c r="CX328" i="1"/>
  <c r="GL328" i="1"/>
  <c r="GO328" i="1"/>
  <c r="GP328" i="1"/>
  <c r="GV328" i="1"/>
  <c r="GX328" i="1"/>
  <c r="HC328" i="1"/>
  <c r="C329" i="1"/>
  <c r="D329" i="1"/>
  <c r="I329" i="1"/>
  <c r="K329" i="1"/>
  <c r="W329" i="1"/>
  <c r="AB329" i="1"/>
  <c r="AC329" i="1"/>
  <c r="AD329" i="1"/>
  <c r="AE329" i="1"/>
  <c r="AF329" i="1"/>
  <c r="CT329" i="1" s="1"/>
  <c r="AG329" i="1"/>
  <c r="AH329" i="1"/>
  <c r="AI329" i="1"/>
  <c r="CW329" i="1" s="1"/>
  <c r="AJ329" i="1"/>
  <c r="CX329" i="1" s="1"/>
  <c r="CQ329" i="1"/>
  <c r="CR329" i="1"/>
  <c r="CS329" i="1"/>
  <c r="CU329" i="1"/>
  <c r="CV329" i="1"/>
  <c r="GL329" i="1"/>
  <c r="GO329" i="1"/>
  <c r="GP329" i="1"/>
  <c r="GV329" i="1"/>
  <c r="HC329" i="1"/>
  <c r="GX329" i="1" s="1"/>
  <c r="Q330" i="1"/>
  <c r="CP330" i="1" s="1"/>
  <c r="O330" i="1" s="1"/>
  <c r="S330" i="1"/>
  <c r="CY330" i="1" s="1"/>
  <c r="X330" i="1" s="1"/>
  <c r="T330" i="1"/>
  <c r="AC330" i="1"/>
  <c r="AE330" i="1"/>
  <c r="AD330" i="1" s="1"/>
  <c r="AB330" i="1" s="1"/>
  <c r="AF330" i="1"/>
  <c r="CT330" i="1" s="1"/>
  <c r="AG330" i="1"/>
  <c r="AH330" i="1"/>
  <c r="CV330" i="1" s="1"/>
  <c r="U330" i="1" s="1"/>
  <c r="AI330" i="1"/>
  <c r="CW330" i="1" s="1"/>
  <c r="V330" i="1" s="1"/>
  <c r="AJ330" i="1"/>
  <c r="CX330" i="1" s="1"/>
  <c r="W330" i="1" s="1"/>
  <c r="CQ330" i="1"/>
  <c r="CR330" i="1"/>
  <c r="CS330" i="1"/>
  <c r="CU330" i="1"/>
  <c r="GL330" i="1"/>
  <c r="GO330" i="1"/>
  <c r="GP330" i="1"/>
  <c r="GV330" i="1"/>
  <c r="HC330" i="1" s="1"/>
  <c r="GX330" i="1" s="1"/>
  <c r="AC331" i="1"/>
  <c r="AE331" i="1"/>
  <c r="AF331" i="1"/>
  <c r="CT331" i="1" s="1"/>
  <c r="AG331" i="1"/>
  <c r="CU331" i="1" s="1"/>
  <c r="AH331" i="1"/>
  <c r="AI331" i="1"/>
  <c r="AJ331" i="1"/>
  <c r="CQ331" i="1"/>
  <c r="CR331" i="1"/>
  <c r="CS331" i="1"/>
  <c r="CV331" i="1"/>
  <c r="CW331" i="1"/>
  <c r="CX331" i="1"/>
  <c r="GL331" i="1"/>
  <c r="GO331" i="1"/>
  <c r="GP331" i="1"/>
  <c r="FV333" i="1" s="1"/>
  <c r="GV331" i="1"/>
  <c r="HC331" i="1" s="1"/>
  <c r="B333" i="1"/>
  <c r="B314" i="1" s="1"/>
  <c r="C333" i="1"/>
  <c r="D333" i="1"/>
  <c r="D314" i="1" s="1"/>
  <c r="F333" i="1"/>
  <c r="G333" i="1"/>
  <c r="G314" i="1" s="1"/>
  <c r="BC333" i="1"/>
  <c r="BX333" i="1"/>
  <c r="AO333" i="1" s="1"/>
  <c r="BY333" i="1"/>
  <c r="CK333" i="1"/>
  <c r="CL333" i="1"/>
  <c r="CM333" i="1"/>
  <c r="BD333" i="1" s="1"/>
  <c r="EU333" i="1"/>
  <c r="EU314" i="1" s="1"/>
  <c r="FP333" i="1"/>
  <c r="EG333" i="1" s="1"/>
  <c r="EG314" i="1" s="1"/>
  <c r="FQ333" i="1"/>
  <c r="EH333" i="1" s="1"/>
  <c r="EH314" i="1" s="1"/>
  <c r="GC333" i="1"/>
  <c r="ET333" i="1" s="1"/>
  <c r="GD333" i="1"/>
  <c r="GE333" i="1"/>
  <c r="EV333" i="1" s="1"/>
  <c r="EV314" i="1" s="1"/>
  <c r="F337" i="1"/>
  <c r="P337" i="1"/>
  <c r="P342" i="1"/>
  <c r="P346" i="1"/>
  <c r="P349" i="1"/>
  <c r="P358" i="1"/>
  <c r="D363" i="1"/>
  <c r="B365" i="1"/>
  <c r="E365" i="1"/>
  <c r="F365" i="1"/>
  <c r="G365" i="1"/>
  <c r="Z365" i="1"/>
  <c r="AA365" i="1"/>
  <c r="AM365" i="1"/>
  <c r="AN365" i="1"/>
  <c r="AO365" i="1"/>
  <c r="BB365" i="1"/>
  <c r="BC365" i="1"/>
  <c r="BE365" i="1"/>
  <c r="BF365" i="1"/>
  <c r="BG365" i="1"/>
  <c r="BH365" i="1"/>
  <c r="BI365" i="1"/>
  <c r="BJ365" i="1"/>
  <c r="BK365" i="1"/>
  <c r="BL365" i="1"/>
  <c r="BM365" i="1"/>
  <c r="BN365" i="1"/>
  <c r="BO365" i="1"/>
  <c r="BP365" i="1"/>
  <c r="BQ365" i="1"/>
  <c r="BR365" i="1"/>
  <c r="BS365" i="1"/>
  <c r="BT365" i="1"/>
  <c r="BU365" i="1"/>
  <c r="BV365" i="1"/>
  <c r="BW365" i="1"/>
  <c r="BY365" i="1"/>
  <c r="CN365" i="1"/>
  <c r="CO365" i="1"/>
  <c r="CP365" i="1"/>
  <c r="CQ365" i="1"/>
  <c r="CR365" i="1"/>
  <c r="CS365" i="1"/>
  <c r="CT365" i="1"/>
  <c r="CU365" i="1"/>
  <c r="CV365" i="1"/>
  <c r="CW365" i="1"/>
  <c r="CX365" i="1"/>
  <c r="CY365" i="1"/>
  <c r="CZ365" i="1"/>
  <c r="DA365" i="1"/>
  <c r="DB365" i="1"/>
  <c r="DC365" i="1"/>
  <c r="DD365" i="1"/>
  <c r="DE365" i="1"/>
  <c r="DF365" i="1"/>
  <c r="DR365" i="1"/>
  <c r="DS365" i="1"/>
  <c r="EE365" i="1"/>
  <c r="EF365" i="1"/>
  <c r="EW365" i="1"/>
  <c r="EX365" i="1"/>
  <c r="EY365" i="1"/>
  <c r="EZ365" i="1"/>
  <c r="FA365" i="1"/>
  <c r="FB365" i="1"/>
  <c r="FC365" i="1"/>
  <c r="FD365" i="1"/>
  <c r="FE365" i="1"/>
  <c r="FF365" i="1"/>
  <c r="FG365" i="1"/>
  <c r="FH365" i="1"/>
  <c r="FI365" i="1"/>
  <c r="FJ365" i="1"/>
  <c r="FK365" i="1"/>
  <c r="FL365" i="1"/>
  <c r="FM365" i="1"/>
  <c r="FN365" i="1"/>
  <c r="FO365" i="1"/>
  <c r="FP365" i="1"/>
  <c r="FQ365" i="1"/>
  <c r="FR365" i="1"/>
  <c r="GD365" i="1"/>
  <c r="GE365" i="1"/>
  <c r="GF365" i="1"/>
  <c r="GG365" i="1"/>
  <c r="GH365" i="1"/>
  <c r="GI365" i="1"/>
  <c r="GJ365" i="1"/>
  <c r="GK365" i="1"/>
  <c r="GL365" i="1"/>
  <c r="GM365" i="1"/>
  <c r="GN365" i="1"/>
  <c r="GO365" i="1"/>
  <c r="GP365" i="1"/>
  <c r="GQ365" i="1"/>
  <c r="GR365" i="1"/>
  <c r="GS365" i="1"/>
  <c r="GT365" i="1"/>
  <c r="GU365" i="1"/>
  <c r="GV365" i="1"/>
  <c r="GW365" i="1"/>
  <c r="GX365" i="1"/>
  <c r="D367" i="1"/>
  <c r="U367" i="1"/>
  <c r="AC367" i="1"/>
  <c r="AE367" i="1"/>
  <c r="AF367" i="1"/>
  <c r="AG367" i="1"/>
  <c r="AH367" i="1"/>
  <c r="AI367" i="1"/>
  <c r="AJ367" i="1"/>
  <c r="CU367" i="1"/>
  <c r="T367" i="1" s="1"/>
  <c r="CV367" i="1"/>
  <c r="CW367" i="1"/>
  <c r="V367" i="1" s="1"/>
  <c r="CX367" i="1"/>
  <c r="W367" i="1" s="1"/>
  <c r="GL367" i="1"/>
  <c r="GO367" i="1"/>
  <c r="GP367" i="1"/>
  <c r="GV367" i="1"/>
  <c r="HC367" i="1" s="1"/>
  <c r="GX367" i="1"/>
  <c r="D368" i="1"/>
  <c r="Q368" i="1"/>
  <c r="S368" i="1"/>
  <c r="AC368" i="1"/>
  <c r="P368" i="1" s="1"/>
  <c r="AD368" i="1"/>
  <c r="AB368" i="1" s="1"/>
  <c r="AE368" i="1"/>
  <c r="R368" i="1" s="1"/>
  <c r="AF368" i="1"/>
  <c r="AG368" i="1"/>
  <c r="CU368" i="1" s="1"/>
  <c r="T368" i="1" s="1"/>
  <c r="AH368" i="1"/>
  <c r="CV368" i="1" s="1"/>
  <c r="U368" i="1" s="1"/>
  <c r="AI368" i="1"/>
  <c r="CW368" i="1" s="1"/>
  <c r="V368" i="1" s="1"/>
  <c r="AJ368" i="1"/>
  <c r="CR368" i="1"/>
  <c r="CS368" i="1"/>
  <c r="CT368" i="1"/>
  <c r="CX368" i="1"/>
  <c r="W368" i="1" s="1"/>
  <c r="CY368" i="1"/>
  <c r="X368" i="1" s="1"/>
  <c r="CZ368" i="1"/>
  <c r="Y368" i="1" s="1"/>
  <c r="GK368" i="1"/>
  <c r="GL368" i="1"/>
  <c r="FR394" i="1" s="1"/>
  <c r="GO368" i="1"/>
  <c r="GP368" i="1"/>
  <c r="GV368" i="1"/>
  <c r="HC368" i="1" s="1"/>
  <c r="GX368" i="1" s="1"/>
  <c r="D369" i="1"/>
  <c r="P369" i="1"/>
  <c r="Q369" i="1"/>
  <c r="R369" i="1"/>
  <c r="GK369" i="1" s="1"/>
  <c r="S369" i="1"/>
  <c r="T369" i="1"/>
  <c r="U369" i="1"/>
  <c r="AC369" i="1"/>
  <c r="AD369" i="1"/>
  <c r="AE369" i="1"/>
  <c r="CR369" i="1" s="1"/>
  <c r="AF369" i="1"/>
  <c r="CT369" i="1" s="1"/>
  <c r="AG369" i="1"/>
  <c r="CU369" i="1" s="1"/>
  <c r="AH369" i="1"/>
  <c r="AI369" i="1"/>
  <c r="CW369" i="1" s="1"/>
  <c r="V369" i="1" s="1"/>
  <c r="AJ369" i="1"/>
  <c r="CX369" i="1" s="1"/>
  <c r="W369" i="1" s="1"/>
  <c r="CQ369" i="1"/>
  <c r="CS369" i="1"/>
  <c r="CV369" i="1"/>
  <c r="GL369" i="1"/>
  <c r="BZ394" i="1" s="1"/>
  <c r="GO369" i="1"/>
  <c r="GP369" i="1"/>
  <c r="GV369" i="1"/>
  <c r="HC369" i="1" s="1"/>
  <c r="GX369" i="1" s="1"/>
  <c r="D370" i="1"/>
  <c r="P370" i="1"/>
  <c r="V370" i="1"/>
  <c r="AC370" i="1"/>
  <c r="CQ370" i="1" s="1"/>
  <c r="AE370" i="1"/>
  <c r="AF370" i="1"/>
  <c r="AG370" i="1"/>
  <c r="CU370" i="1" s="1"/>
  <c r="T370" i="1" s="1"/>
  <c r="AH370" i="1"/>
  <c r="AI370" i="1"/>
  <c r="AJ370" i="1"/>
  <c r="CV370" i="1"/>
  <c r="U370" i="1" s="1"/>
  <c r="CW370" i="1"/>
  <c r="CX370" i="1"/>
  <c r="W370" i="1" s="1"/>
  <c r="GL370" i="1"/>
  <c r="GO370" i="1"/>
  <c r="GP370" i="1"/>
  <c r="GV370" i="1"/>
  <c r="HC370" i="1"/>
  <c r="GX370" i="1" s="1"/>
  <c r="D371" i="1"/>
  <c r="P371" i="1"/>
  <c r="Q371" i="1"/>
  <c r="R371" i="1"/>
  <c r="S371" i="1"/>
  <c r="U371" i="1"/>
  <c r="AC371" i="1"/>
  <c r="AD371" i="1"/>
  <c r="AE371" i="1"/>
  <c r="CS371" i="1" s="1"/>
  <c r="AF371" i="1"/>
  <c r="CT371" i="1" s="1"/>
  <c r="AG371" i="1"/>
  <c r="AH371" i="1"/>
  <c r="CV371" i="1" s="1"/>
  <c r="AI371" i="1"/>
  <c r="CW371" i="1" s="1"/>
  <c r="V371" i="1" s="1"/>
  <c r="AJ371" i="1"/>
  <c r="CQ371" i="1"/>
  <c r="CR371" i="1"/>
  <c r="CU371" i="1"/>
  <c r="T371" i="1" s="1"/>
  <c r="CX371" i="1"/>
  <c r="W371" i="1" s="1"/>
  <c r="GK371" i="1"/>
  <c r="GL371" i="1"/>
  <c r="GO371" i="1"/>
  <c r="GP371" i="1"/>
  <c r="GV371" i="1"/>
  <c r="HC371" i="1"/>
  <c r="GX371" i="1" s="1"/>
  <c r="D372" i="1"/>
  <c r="W372" i="1"/>
  <c r="AC372" i="1"/>
  <c r="AE372" i="1"/>
  <c r="AF372" i="1"/>
  <c r="S372" i="1" s="1"/>
  <c r="AG372" i="1"/>
  <c r="AH372" i="1"/>
  <c r="AI372" i="1"/>
  <c r="AJ372" i="1"/>
  <c r="CU372" i="1"/>
  <c r="T372" i="1" s="1"/>
  <c r="CV372" i="1"/>
  <c r="U372" i="1" s="1"/>
  <c r="CW372" i="1"/>
  <c r="V372" i="1" s="1"/>
  <c r="CX372" i="1"/>
  <c r="GL372" i="1"/>
  <c r="GO372" i="1"/>
  <c r="GP372" i="1"/>
  <c r="GV372" i="1"/>
  <c r="HC372" i="1" s="1"/>
  <c r="GX372" i="1" s="1"/>
  <c r="D373" i="1"/>
  <c r="I373" i="1"/>
  <c r="K373" i="1"/>
  <c r="P373" i="1"/>
  <c r="Q373" i="1"/>
  <c r="R373" i="1"/>
  <c r="GK373" i="1" s="1"/>
  <c r="W373" i="1"/>
  <c r="AC373" i="1"/>
  <c r="AD373" i="1"/>
  <c r="AB373" i="1" s="1"/>
  <c r="AE373" i="1"/>
  <c r="CS373" i="1" s="1"/>
  <c r="AF373" i="1"/>
  <c r="CT373" i="1" s="1"/>
  <c r="AG373" i="1"/>
  <c r="AH373" i="1"/>
  <c r="AI373" i="1"/>
  <c r="AJ373" i="1"/>
  <c r="CX373" i="1" s="1"/>
  <c r="CQ373" i="1"/>
  <c r="CR373" i="1"/>
  <c r="CU373" i="1"/>
  <c r="T373" i="1" s="1"/>
  <c r="CV373" i="1"/>
  <c r="U373" i="1" s="1"/>
  <c r="CW373" i="1"/>
  <c r="V373" i="1" s="1"/>
  <c r="GL373" i="1"/>
  <c r="GO373" i="1"/>
  <c r="GP373" i="1"/>
  <c r="GV373" i="1"/>
  <c r="HC373" i="1"/>
  <c r="GX373" i="1" s="1"/>
  <c r="D374" i="1"/>
  <c r="I374" i="1"/>
  <c r="K374" i="1"/>
  <c r="P374" i="1"/>
  <c r="Q374" i="1"/>
  <c r="R374" i="1"/>
  <c r="GK374" i="1" s="1"/>
  <c r="AC374" i="1"/>
  <c r="AD374" i="1"/>
  <c r="AE374" i="1"/>
  <c r="CS374" i="1" s="1"/>
  <c r="AF374" i="1"/>
  <c r="AG374" i="1"/>
  <c r="CU374" i="1" s="1"/>
  <c r="T374" i="1" s="1"/>
  <c r="AH374" i="1"/>
  <c r="AI374" i="1"/>
  <c r="AJ374" i="1"/>
  <c r="CQ374" i="1"/>
  <c r="CR374" i="1"/>
  <c r="CV374" i="1"/>
  <c r="CW374" i="1"/>
  <c r="V374" i="1" s="1"/>
  <c r="CX374" i="1"/>
  <c r="W374" i="1" s="1"/>
  <c r="GL374" i="1"/>
  <c r="GO374" i="1"/>
  <c r="GP374" i="1"/>
  <c r="GV374" i="1"/>
  <c r="HC374" i="1"/>
  <c r="GX374" i="1" s="1"/>
  <c r="C375" i="1"/>
  <c r="D375" i="1"/>
  <c r="Q375" i="1"/>
  <c r="R375" i="1"/>
  <c r="T375" i="1"/>
  <c r="AC375" i="1"/>
  <c r="AD375" i="1"/>
  <c r="AE375" i="1"/>
  <c r="CS375" i="1" s="1"/>
  <c r="AF375" i="1"/>
  <c r="AG375" i="1"/>
  <c r="CU375" i="1" s="1"/>
  <c r="AH375" i="1"/>
  <c r="CV375" i="1" s="1"/>
  <c r="U375" i="1" s="1"/>
  <c r="AI375" i="1"/>
  <c r="CW375" i="1" s="1"/>
  <c r="V375" i="1" s="1"/>
  <c r="AJ375" i="1"/>
  <c r="CX375" i="1" s="1"/>
  <c r="W375" i="1" s="1"/>
  <c r="CR375" i="1"/>
  <c r="GK375" i="1"/>
  <c r="GL375" i="1"/>
  <c r="GO375" i="1"/>
  <c r="GP375" i="1"/>
  <c r="GV375" i="1"/>
  <c r="HC375" i="1" s="1"/>
  <c r="GX375" i="1" s="1"/>
  <c r="C376" i="1"/>
  <c r="D376" i="1"/>
  <c r="Q376" i="1"/>
  <c r="R376" i="1"/>
  <c r="GK376" i="1" s="1"/>
  <c r="S376" i="1"/>
  <c r="CY376" i="1" s="1"/>
  <c r="X376" i="1"/>
  <c r="AC376" i="1"/>
  <c r="AD376" i="1"/>
  <c r="AE376" i="1"/>
  <c r="CR376" i="1" s="1"/>
  <c r="AF376" i="1"/>
  <c r="CT376" i="1" s="1"/>
  <c r="AG376" i="1"/>
  <c r="AH376" i="1"/>
  <c r="AI376" i="1"/>
  <c r="AJ376" i="1"/>
  <c r="CS376" i="1"/>
  <c r="CU376" i="1"/>
  <c r="T376" i="1" s="1"/>
  <c r="CV376" i="1"/>
  <c r="U376" i="1" s="1"/>
  <c r="CW376" i="1"/>
  <c r="V376" i="1" s="1"/>
  <c r="CX376" i="1"/>
  <c r="W376" i="1" s="1"/>
  <c r="CZ376" i="1"/>
  <c r="Y376" i="1" s="1"/>
  <c r="GL376" i="1"/>
  <c r="GO376" i="1"/>
  <c r="GP376" i="1"/>
  <c r="GV376" i="1"/>
  <c r="HC376" i="1"/>
  <c r="GX376" i="1" s="1"/>
  <c r="I377" i="1"/>
  <c r="P377" i="1"/>
  <c r="AC377" i="1"/>
  <c r="AE377" i="1"/>
  <c r="AF377" i="1"/>
  <c r="AG377" i="1"/>
  <c r="CU377" i="1" s="1"/>
  <c r="AH377" i="1"/>
  <c r="CV377" i="1" s="1"/>
  <c r="AI377" i="1"/>
  <c r="CW377" i="1" s="1"/>
  <c r="AJ377" i="1"/>
  <c r="CQ377" i="1"/>
  <c r="CX377" i="1"/>
  <c r="W377" i="1" s="1"/>
  <c r="GL377" i="1"/>
  <c r="GO377" i="1"/>
  <c r="GP377" i="1"/>
  <c r="GV377" i="1"/>
  <c r="HC377" i="1" s="1"/>
  <c r="I378" i="1"/>
  <c r="W378" i="1" s="1"/>
  <c r="P378" i="1"/>
  <c r="Q378" i="1"/>
  <c r="U378" i="1"/>
  <c r="AC378" i="1"/>
  <c r="AE378" i="1"/>
  <c r="AF378" i="1"/>
  <c r="AG378" i="1"/>
  <c r="AH378" i="1"/>
  <c r="AI378" i="1"/>
  <c r="AJ378" i="1"/>
  <c r="CQ378" i="1"/>
  <c r="CR378" i="1"/>
  <c r="CS378" i="1"/>
  <c r="CT378" i="1"/>
  <c r="CU378" i="1"/>
  <c r="CV378" i="1"/>
  <c r="CW378" i="1"/>
  <c r="CX378" i="1"/>
  <c r="GL378" i="1"/>
  <c r="GO378" i="1"/>
  <c r="FU394" i="1" s="1"/>
  <c r="GP378" i="1"/>
  <c r="GV378" i="1"/>
  <c r="HC378" i="1"/>
  <c r="GX378" i="1" s="1"/>
  <c r="C379" i="1"/>
  <c r="D379" i="1"/>
  <c r="Q379" i="1"/>
  <c r="R379" i="1"/>
  <c r="GK379" i="1" s="1"/>
  <c r="U379" i="1"/>
  <c r="W379" i="1"/>
  <c r="X379" i="1"/>
  <c r="AB379" i="1"/>
  <c r="AC379" i="1"/>
  <c r="P379" i="1" s="1"/>
  <c r="AE379" i="1"/>
  <c r="AD379" i="1" s="1"/>
  <c r="AF379" i="1"/>
  <c r="S379" i="1" s="1"/>
  <c r="CY379" i="1" s="1"/>
  <c r="AG379" i="1"/>
  <c r="CU379" i="1" s="1"/>
  <c r="T379" i="1" s="1"/>
  <c r="AH379" i="1"/>
  <c r="CV379" i="1" s="1"/>
  <c r="AI379" i="1"/>
  <c r="AJ379" i="1"/>
  <c r="CX379" i="1" s="1"/>
  <c r="CP379" i="1"/>
  <c r="O379" i="1" s="1"/>
  <c r="CQ379" i="1"/>
  <c r="CR379" i="1"/>
  <c r="CS379" i="1"/>
  <c r="CT379" i="1"/>
  <c r="CW379" i="1"/>
  <c r="V379" i="1" s="1"/>
  <c r="CZ379" i="1"/>
  <c r="Y379" i="1" s="1"/>
  <c r="GL379" i="1"/>
  <c r="GO379" i="1"/>
  <c r="GP379" i="1"/>
  <c r="GV379" i="1"/>
  <c r="HC379" i="1"/>
  <c r="GX379" i="1" s="1"/>
  <c r="C380" i="1"/>
  <c r="D380" i="1"/>
  <c r="R380" i="1"/>
  <c r="GK380" i="1" s="1"/>
  <c r="AC380" i="1"/>
  <c r="AE380" i="1"/>
  <c r="AD380" i="1" s="1"/>
  <c r="AF380" i="1"/>
  <c r="CT380" i="1" s="1"/>
  <c r="AG380" i="1"/>
  <c r="AH380" i="1"/>
  <c r="CV380" i="1" s="1"/>
  <c r="U380" i="1" s="1"/>
  <c r="AI380" i="1"/>
  <c r="CW380" i="1" s="1"/>
  <c r="V380" i="1" s="1"/>
  <c r="AJ380" i="1"/>
  <c r="CR380" i="1"/>
  <c r="CS380" i="1"/>
  <c r="CU380" i="1"/>
  <c r="T380" i="1" s="1"/>
  <c r="CX380" i="1"/>
  <c r="W380" i="1" s="1"/>
  <c r="GL380" i="1"/>
  <c r="GO380" i="1"/>
  <c r="GP380" i="1"/>
  <c r="GV380" i="1"/>
  <c r="HC380" i="1" s="1"/>
  <c r="GX380" i="1" s="1"/>
  <c r="I381" i="1"/>
  <c r="Q381" i="1" s="1"/>
  <c r="P381" i="1"/>
  <c r="R381" i="1"/>
  <c r="GK381" i="1" s="1"/>
  <c r="S381" i="1"/>
  <c r="T381" i="1"/>
  <c r="V381" i="1"/>
  <c r="W381" i="1"/>
  <c r="AB381" i="1"/>
  <c r="AC381" i="1"/>
  <c r="AD381" i="1"/>
  <c r="AE381" i="1"/>
  <c r="AF381" i="1"/>
  <c r="CT381" i="1" s="1"/>
  <c r="AG381" i="1"/>
  <c r="CU381" i="1" s="1"/>
  <c r="AH381" i="1"/>
  <c r="CV381" i="1" s="1"/>
  <c r="U381" i="1" s="1"/>
  <c r="AI381" i="1"/>
  <c r="AJ381" i="1"/>
  <c r="CX381" i="1" s="1"/>
  <c r="CP381" i="1"/>
  <c r="O381" i="1" s="1"/>
  <c r="CQ381" i="1"/>
  <c r="CR381" i="1"/>
  <c r="CS381" i="1"/>
  <c r="CW381" i="1"/>
  <c r="GL381" i="1"/>
  <c r="GO381" i="1"/>
  <c r="GP381" i="1"/>
  <c r="GV381" i="1"/>
  <c r="HC381" i="1"/>
  <c r="GX381" i="1" s="1"/>
  <c r="I382" i="1"/>
  <c r="U382" i="1"/>
  <c r="V382" i="1"/>
  <c r="AC382" i="1"/>
  <c r="AE382" i="1"/>
  <c r="R382" i="1" s="1"/>
  <c r="AF382" i="1"/>
  <c r="S382" i="1" s="1"/>
  <c r="AG382" i="1"/>
  <c r="AH382" i="1"/>
  <c r="CV382" i="1" s="1"/>
  <c r="AI382" i="1"/>
  <c r="CW382" i="1" s="1"/>
  <c r="AJ382" i="1"/>
  <c r="CR382" i="1"/>
  <c r="CS382" i="1"/>
  <c r="CT382" i="1"/>
  <c r="CU382" i="1"/>
  <c r="T382" i="1" s="1"/>
  <c r="CX382" i="1"/>
  <c r="W382" i="1" s="1"/>
  <c r="GK382" i="1"/>
  <c r="GL382" i="1"/>
  <c r="GO382" i="1"/>
  <c r="GP382" i="1"/>
  <c r="GV382" i="1"/>
  <c r="HC382" i="1"/>
  <c r="GX382" i="1" s="1"/>
  <c r="C383" i="1"/>
  <c r="D383" i="1"/>
  <c r="P383" i="1"/>
  <c r="CP383" i="1" s="1"/>
  <c r="O383" i="1" s="1"/>
  <c r="S383" i="1"/>
  <c r="T383" i="1"/>
  <c r="AC383" i="1"/>
  <c r="AE383" i="1"/>
  <c r="Q383" i="1" s="1"/>
  <c r="AF383" i="1"/>
  <c r="AG383" i="1"/>
  <c r="CU383" i="1" s="1"/>
  <c r="AH383" i="1"/>
  <c r="CV383" i="1" s="1"/>
  <c r="U383" i="1" s="1"/>
  <c r="AI383" i="1"/>
  <c r="CW383" i="1" s="1"/>
  <c r="V383" i="1" s="1"/>
  <c r="AJ383" i="1"/>
  <c r="CX383" i="1" s="1"/>
  <c r="W383" i="1" s="1"/>
  <c r="CQ383" i="1"/>
  <c r="CR383" i="1"/>
  <c r="CS383" i="1"/>
  <c r="CT383" i="1"/>
  <c r="GL383" i="1"/>
  <c r="GO383" i="1"/>
  <c r="GP383" i="1"/>
  <c r="CD394" i="1" s="1"/>
  <c r="GV383" i="1"/>
  <c r="HC383" i="1" s="1"/>
  <c r="GX383" i="1" s="1"/>
  <c r="C384" i="1"/>
  <c r="D384" i="1"/>
  <c r="R384" i="1"/>
  <c r="S384" i="1"/>
  <c r="CZ384" i="1" s="1"/>
  <c r="Y384" i="1" s="1"/>
  <c r="V384" i="1"/>
  <c r="W384" i="1"/>
  <c r="AC384" i="1"/>
  <c r="AE384" i="1"/>
  <c r="CS384" i="1" s="1"/>
  <c r="AF384" i="1"/>
  <c r="AG384" i="1"/>
  <c r="AH384" i="1"/>
  <c r="AI384" i="1"/>
  <c r="CW384" i="1" s="1"/>
  <c r="AJ384" i="1"/>
  <c r="CX384" i="1" s="1"/>
  <c r="CR384" i="1"/>
  <c r="CT384" i="1"/>
  <c r="CU384" i="1"/>
  <c r="T384" i="1" s="1"/>
  <c r="CV384" i="1"/>
  <c r="U384" i="1" s="1"/>
  <c r="CY384" i="1"/>
  <c r="X384" i="1" s="1"/>
  <c r="GK384" i="1"/>
  <c r="GL384" i="1"/>
  <c r="GO384" i="1"/>
  <c r="GP384" i="1"/>
  <c r="GV384" i="1"/>
  <c r="GX384" i="1"/>
  <c r="HC384" i="1"/>
  <c r="I385" i="1"/>
  <c r="P385" i="1"/>
  <c r="R385" i="1"/>
  <c r="T385" i="1"/>
  <c r="AC385" i="1"/>
  <c r="AE385" i="1"/>
  <c r="AD385" i="1" s="1"/>
  <c r="AF385" i="1"/>
  <c r="AG385" i="1"/>
  <c r="AH385" i="1"/>
  <c r="CV385" i="1" s="1"/>
  <c r="U385" i="1" s="1"/>
  <c r="AI385" i="1"/>
  <c r="CW385" i="1" s="1"/>
  <c r="V385" i="1" s="1"/>
  <c r="AJ385" i="1"/>
  <c r="CX385" i="1" s="1"/>
  <c r="W385" i="1" s="1"/>
  <c r="CQ385" i="1"/>
  <c r="CR385" i="1"/>
  <c r="CS385" i="1"/>
  <c r="CU385" i="1"/>
  <c r="GK385" i="1"/>
  <c r="GL385" i="1"/>
  <c r="GO385" i="1"/>
  <c r="GP385" i="1"/>
  <c r="GV385" i="1"/>
  <c r="HC385" i="1" s="1"/>
  <c r="GX385" i="1" s="1"/>
  <c r="I386" i="1"/>
  <c r="R386" i="1"/>
  <c r="GK386" i="1" s="1"/>
  <c r="U386" i="1"/>
  <c r="V386" i="1"/>
  <c r="AC386" i="1"/>
  <c r="AE386" i="1"/>
  <c r="CS386" i="1" s="1"/>
  <c r="AF386" i="1"/>
  <c r="S386" i="1" s="1"/>
  <c r="AG386" i="1"/>
  <c r="AH386" i="1"/>
  <c r="AI386" i="1"/>
  <c r="CW386" i="1" s="1"/>
  <c r="AJ386" i="1"/>
  <c r="CR386" i="1"/>
  <c r="CT386" i="1"/>
  <c r="CU386" i="1"/>
  <c r="T386" i="1" s="1"/>
  <c r="CV386" i="1"/>
  <c r="CX386" i="1"/>
  <c r="W386" i="1" s="1"/>
  <c r="GL386" i="1"/>
  <c r="GO386" i="1"/>
  <c r="GP386" i="1"/>
  <c r="GV386" i="1"/>
  <c r="HC386" i="1" s="1"/>
  <c r="GX386" i="1"/>
  <c r="C387" i="1"/>
  <c r="D387" i="1"/>
  <c r="Q387" i="1"/>
  <c r="R387" i="1"/>
  <c r="S387" i="1"/>
  <c r="CY387" i="1" s="1"/>
  <c r="U387" i="1"/>
  <c r="W387" i="1"/>
  <c r="X387" i="1"/>
  <c r="Y387" i="1"/>
  <c r="AC387" i="1"/>
  <c r="AE387" i="1"/>
  <c r="AF387" i="1"/>
  <c r="CT387" i="1" s="1"/>
  <c r="AG387" i="1"/>
  <c r="CU387" i="1" s="1"/>
  <c r="T387" i="1" s="1"/>
  <c r="AH387" i="1"/>
  <c r="AI387" i="1"/>
  <c r="AJ387" i="1"/>
  <c r="CX387" i="1" s="1"/>
  <c r="CQ387" i="1"/>
  <c r="CV387" i="1"/>
  <c r="CW387" i="1"/>
  <c r="V387" i="1" s="1"/>
  <c r="CZ387" i="1"/>
  <c r="GK387" i="1"/>
  <c r="GL387" i="1"/>
  <c r="GO387" i="1"/>
  <c r="GP387" i="1"/>
  <c r="GV387" i="1"/>
  <c r="HC387" i="1" s="1"/>
  <c r="GX387" i="1" s="1"/>
  <c r="C388" i="1"/>
  <c r="D388" i="1"/>
  <c r="P388" i="1"/>
  <c r="Q388" i="1"/>
  <c r="R388" i="1"/>
  <c r="GK388" i="1" s="1"/>
  <c r="S388" i="1"/>
  <c r="AC388" i="1"/>
  <c r="AD388" i="1"/>
  <c r="AE388" i="1"/>
  <c r="CS388" i="1" s="1"/>
  <c r="AF388" i="1"/>
  <c r="AG388" i="1"/>
  <c r="CU388" i="1" s="1"/>
  <c r="T388" i="1" s="1"/>
  <c r="AH388" i="1"/>
  <c r="CV388" i="1" s="1"/>
  <c r="U388" i="1" s="1"/>
  <c r="AI388" i="1"/>
  <c r="CW388" i="1" s="1"/>
  <c r="V388" i="1" s="1"/>
  <c r="AJ388" i="1"/>
  <c r="CX388" i="1" s="1"/>
  <c r="W388" i="1" s="1"/>
  <c r="CP388" i="1"/>
  <c r="O388" i="1" s="1"/>
  <c r="CR388" i="1"/>
  <c r="CT388" i="1"/>
  <c r="GL388" i="1"/>
  <c r="GO388" i="1"/>
  <c r="GP388" i="1"/>
  <c r="GV388" i="1"/>
  <c r="HC388" i="1" s="1"/>
  <c r="GX388" i="1" s="1"/>
  <c r="I389" i="1"/>
  <c r="R389" i="1" s="1"/>
  <c r="GK389" i="1" s="1"/>
  <c r="P389" i="1"/>
  <c r="Q389" i="1"/>
  <c r="AC389" i="1"/>
  <c r="AB389" i="1" s="1"/>
  <c r="AD389" i="1"/>
  <c r="AE389" i="1"/>
  <c r="CS389" i="1" s="1"/>
  <c r="AF389" i="1"/>
  <c r="AG389" i="1"/>
  <c r="AH389" i="1"/>
  <c r="CV389" i="1" s="1"/>
  <c r="AI389" i="1"/>
  <c r="AJ389" i="1"/>
  <c r="CQ389" i="1"/>
  <c r="CR389" i="1"/>
  <c r="CU389" i="1"/>
  <c r="T389" i="1" s="1"/>
  <c r="CW389" i="1"/>
  <c r="V389" i="1" s="1"/>
  <c r="CX389" i="1"/>
  <c r="W389" i="1" s="1"/>
  <c r="GL389" i="1"/>
  <c r="GO389" i="1"/>
  <c r="GP389" i="1"/>
  <c r="GV389" i="1"/>
  <c r="HC389" i="1"/>
  <c r="I390" i="1"/>
  <c r="Q390" i="1"/>
  <c r="S390" i="1"/>
  <c r="T390" i="1"/>
  <c r="AC390" i="1"/>
  <c r="AE390" i="1"/>
  <c r="AF390" i="1"/>
  <c r="CT390" i="1" s="1"/>
  <c r="AG390" i="1"/>
  <c r="CU390" i="1" s="1"/>
  <c r="AH390" i="1"/>
  <c r="CV390" i="1" s="1"/>
  <c r="U390" i="1" s="1"/>
  <c r="AI390" i="1"/>
  <c r="CW390" i="1" s="1"/>
  <c r="V390" i="1" s="1"/>
  <c r="AJ390" i="1"/>
  <c r="CX390" i="1" s="1"/>
  <c r="W390" i="1" s="1"/>
  <c r="CQ390" i="1"/>
  <c r="CR390" i="1"/>
  <c r="GL390" i="1"/>
  <c r="GO390" i="1"/>
  <c r="GP390" i="1"/>
  <c r="GV390" i="1"/>
  <c r="HC390" i="1"/>
  <c r="GX390" i="1" s="1"/>
  <c r="D391" i="1"/>
  <c r="P391" i="1"/>
  <c r="Q391" i="1"/>
  <c r="R391" i="1"/>
  <c r="AC391" i="1"/>
  <c r="AE391" i="1"/>
  <c r="AD391" i="1" s="1"/>
  <c r="AF391" i="1"/>
  <c r="AG391" i="1"/>
  <c r="CU391" i="1" s="1"/>
  <c r="T391" i="1" s="1"/>
  <c r="AH391" i="1"/>
  <c r="CV391" i="1" s="1"/>
  <c r="U391" i="1" s="1"/>
  <c r="AI391" i="1"/>
  <c r="AJ391" i="1"/>
  <c r="CX391" i="1" s="1"/>
  <c r="W391" i="1" s="1"/>
  <c r="CR391" i="1"/>
  <c r="CS391" i="1"/>
  <c r="CW391" i="1"/>
  <c r="V391" i="1" s="1"/>
  <c r="GK391" i="1"/>
  <c r="GL391" i="1"/>
  <c r="GO391" i="1"/>
  <c r="GP391" i="1"/>
  <c r="GV391" i="1"/>
  <c r="HC391" i="1"/>
  <c r="GX391" i="1" s="1"/>
  <c r="D392" i="1"/>
  <c r="P392" i="1"/>
  <c r="CP392" i="1" s="1"/>
  <c r="O392" i="1" s="1"/>
  <c r="Q392" i="1"/>
  <c r="S392" i="1"/>
  <c r="U392" i="1"/>
  <c r="V392" i="1"/>
  <c r="W392" i="1"/>
  <c r="AC392" i="1"/>
  <c r="AD392" i="1"/>
  <c r="AE392" i="1"/>
  <c r="AF392" i="1"/>
  <c r="AG392" i="1"/>
  <c r="CU392" i="1" s="1"/>
  <c r="T392" i="1" s="1"/>
  <c r="AH392" i="1"/>
  <c r="CV392" i="1" s="1"/>
  <c r="AI392" i="1"/>
  <c r="CW392" i="1" s="1"/>
  <c r="AJ392" i="1"/>
  <c r="CX392" i="1" s="1"/>
  <c r="CQ392" i="1"/>
  <c r="CS392" i="1"/>
  <c r="CT392" i="1"/>
  <c r="GL392" i="1"/>
  <c r="GO392" i="1"/>
  <c r="GP392" i="1"/>
  <c r="GV392" i="1"/>
  <c r="HC392" i="1" s="1"/>
  <c r="GX392" i="1"/>
  <c r="B394" i="1"/>
  <c r="C394" i="1"/>
  <c r="C365" i="1" s="1"/>
  <c r="D394" i="1"/>
  <c r="D365" i="1" s="1"/>
  <c r="F394" i="1"/>
  <c r="G394" i="1"/>
  <c r="AO394" i="1"/>
  <c r="AP394" i="1"/>
  <c r="AP365" i="1" s="1"/>
  <c r="BC394" i="1"/>
  <c r="F410" i="1" s="1"/>
  <c r="BD394" i="1"/>
  <c r="F419" i="1" s="1"/>
  <c r="BX394" i="1"/>
  <c r="BX365" i="1" s="1"/>
  <c r="BY394" i="1"/>
  <c r="CK394" i="1"/>
  <c r="BB394" i="1" s="1"/>
  <c r="F407" i="1" s="1"/>
  <c r="CL394" i="1"/>
  <c r="CL365" i="1" s="1"/>
  <c r="CM394" i="1"/>
  <c r="CM365" i="1" s="1"/>
  <c r="EG394" i="1"/>
  <c r="ET394" i="1"/>
  <c r="P407" i="1" s="1"/>
  <c r="EV394" i="1"/>
  <c r="P419" i="1" s="1"/>
  <c r="FP394" i="1"/>
  <c r="FQ394" i="1"/>
  <c r="EH394" i="1" s="1"/>
  <c r="GC394" i="1"/>
  <c r="GC365" i="1" s="1"/>
  <c r="GD394" i="1"/>
  <c r="EU394" i="1" s="1"/>
  <c r="EU365" i="1" s="1"/>
  <c r="GE394" i="1"/>
  <c r="F398" i="1"/>
  <c r="F403" i="1"/>
  <c r="P410" i="1"/>
  <c r="B424" i="1"/>
  <c r="C424" i="1"/>
  <c r="C180" i="1" s="1"/>
  <c r="D424" i="1"/>
  <c r="D180" i="1" s="1"/>
  <c r="F424" i="1"/>
  <c r="F180" i="1" s="1"/>
  <c r="G424" i="1"/>
  <c r="G180" i="1" s="1"/>
  <c r="B454" i="1"/>
  <c r="B22" i="1" s="1"/>
  <c r="C454" i="1"/>
  <c r="C22" i="1" s="1"/>
  <c r="D454" i="1"/>
  <c r="D22" i="1" s="1"/>
  <c r="F454" i="1"/>
  <c r="F22" i="1" s="1"/>
  <c r="G454" i="1"/>
  <c r="G22" i="1" s="1"/>
  <c r="B484" i="1"/>
  <c r="B18" i="1" s="1"/>
  <c r="C484" i="1"/>
  <c r="C18" i="1" s="1"/>
  <c r="D484" i="1"/>
  <c r="D18" i="1" s="1"/>
  <c r="F484" i="1"/>
  <c r="F18" i="1" s="1"/>
  <c r="G484" i="1"/>
  <c r="G18" i="1" s="1"/>
  <c r="F12" i="6"/>
  <c r="G12" i="6"/>
  <c r="K250" i="7" l="1"/>
  <c r="I262" i="7"/>
  <c r="I299" i="7"/>
  <c r="I323" i="7"/>
  <c r="O326" i="7" s="1"/>
  <c r="J178" i="7"/>
  <c r="K323" i="7"/>
  <c r="X239" i="7"/>
  <c r="K261" i="7"/>
  <c r="P265" i="7" s="1"/>
  <c r="K322" i="7"/>
  <c r="J326" i="7" s="1"/>
  <c r="K249" i="7"/>
  <c r="O154" i="7"/>
  <c r="I273" i="7"/>
  <c r="O275" i="7" s="1"/>
  <c r="I357" i="7"/>
  <c r="I376" i="7"/>
  <c r="K248" i="7"/>
  <c r="J252" i="7" s="1"/>
  <c r="K286" i="7"/>
  <c r="I297" i="7"/>
  <c r="K376" i="7"/>
  <c r="J378" i="7" s="1"/>
  <c r="I365" i="7"/>
  <c r="K263" i="7"/>
  <c r="I356" i="7"/>
  <c r="H359" i="7" s="1"/>
  <c r="K273" i="7"/>
  <c r="J275" i="7" s="1"/>
  <c r="I285" i="7"/>
  <c r="I346" i="7"/>
  <c r="X350" i="7" s="1"/>
  <c r="Y154" i="7"/>
  <c r="K285" i="7"/>
  <c r="I347" i="7"/>
  <c r="P47" i="7"/>
  <c r="J101" i="7"/>
  <c r="O101" i="7"/>
  <c r="P138" i="7"/>
  <c r="H190" i="7"/>
  <c r="O239" i="7"/>
  <c r="P252" i="7"/>
  <c r="I284" i="7"/>
  <c r="O288" i="7" s="1"/>
  <c r="Y90" i="7"/>
  <c r="H150" i="7"/>
  <c r="X73" i="7"/>
  <c r="W83" i="7"/>
  <c r="J126" i="7"/>
  <c r="I261" i="7"/>
  <c r="I310" i="7"/>
  <c r="K356" i="7"/>
  <c r="P359" i="7" s="1"/>
  <c r="I375" i="7"/>
  <c r="X378" i="7" s="1"/>
  <c r="P378" i="7"/>
  <c r="J47" i="7"/>
  <c r="Y150" i="7"/>
  <c r="I298" i="7"/>
  <c r="P313" i="7"/>
  <c r="O90" i="7"/>
  <c r="P154" i="7"/>
  <c r="X221" i="7"/>
  <c r="I272" i="7"/>
  <c r="H138" i="7"/>
  <c r="Y166" i="7"/>
  <c r="K297" i="7"/>
  <c r="J301" i="7" s="1"/>
  <c r="P90" i="7"/>
  <c r="H178" i="7"/>
  <c r="I322" i="7"/>
  <c r="K272" i="7"/>
  <c r="O58" i="7"/>
  <c r="H126" i="7"/>
  <c r="Y138" i="7"/>
  <c r="H166" i="7"/>
  <c r="H202" i="7"/>
  <c r="P202" i="7"/>
  <c r="H252" i="7"/>
  <c r="K346" i="7"/>
  <c r="J350" i="7" s="1"/>
  <c r="K357" i="7"/>
  <c r="J73" i="7"/>
  <c r="O126" i="7"/>
  <c r="I309" i="7"/>
  <c r="O313" i="7" s="1"/>
  <c r="X58" i="7"/>
  <c r="K298" i="7"/>
  <c r="P101" i="7"/>
  <c r="P288" i="7"/>
  <c r="I366" i="7"/>
  <c r="O368" i="7" s="1"/>
  <c r="J123" i="7"/>
  <c r="P123" i="7"/>
  <c r="J166" i="7"/>
  <c r="O265" i="7"/>
  <c r="I20" i="7"/>
  <c r="P66" i="7"/>
  <c r="P178" i="7"/>
  <c r="J239" i="7"/>
  <c r="J58" i="7"/>
  <c r="O112" i="7"/>
  <c r="Y178" i="7"/>
  <c r="X265" i="7"/>
  <c r="J313" i="7"/>
  <c r="X36" i="7"/>
  <c r="O36" i="7"/>
  <c r="W32" i="7"/>
  <c r="H36" i="7"/>
  <c r="J36" i="7"/>
  <c r="X47" i="7"/>
  <c r="P58" i="7"/>
  <c r="J138" i="7"/>
  <c r="P166" i="7"/>
  <c r="O190" i="7"/>
  <c r="P232" i="7"/>
  <c r="P368" i="7"/>
  <c r="J150" i="7"/>
  <c r="I17" i="7"/>
  <c r="P150" i="7"/>
  <c r="P190" i="7"/>
  <c r="J190" i="7"/>
  <c r="I18" i="7"/>
  <c r="P112" i="7"/>
  <c r="J221" i="7"/>
  <c r="X313" i="7"/>
  <c r="Y112" i="7"/>
  <c r="O202" i="7"/>
  <c r="Y101" i="7"/>
  <c r="Y123" i="7"/>
  <c r="Y190" i="7"/>
  <c r="P221" i="7"/>
  <c r="O252" i="7"/>
  <c r="W269" i="7"/>
  <c r="W317" i="7"/>
  <c r="W372" i="7"/>
  <c r="P73" i="7"/>
  <c r="W243" i="7"/>
  <c r="P36" i="7"/>
  <c r="J66" i="7"/>
  <c r="H73" i="7"/>
  <c r="J90" i="7"/>
  <c r="J112" i="7"/>
  <c r="Y202" i="7"/>
  <c r="H221" i="7"/>
  <c r="X252" i="7"/>
  <c r="W279" i="7"/>
  <c r="W305" i="7"/>
  <c r="X326" i="7"/>
  <c r="H232" i="7"/>
  <c r="O138" i="7"/>
  <c r="O166" i="7"/>
  <c r="O232" i="7"/>
  <c r="W40" i="7"/>
  <c r="O47" i="7"/>
  <c r="W62" i="7"/>
  <c r="H123" i="7"/>
  <c r="X232" i="7"/>
  <c r="W94" i="7"/>
  <c r="O123" i="7"/>
  <c r="W342" i="7"/>
  <c r="W354" i="7"/>
  <c r="H58" i="7"/>
  <c r="O73" i="7"/>
  <c r="W214" i="7"/>
  <c r="O221" i="7"/>
  <c r="H47" i="7"/>
  <c r="O150" i="7"/>
  <c r="J202" i="7"/>
  <c r="H101" i="7"/>
  <c r="O178" i="7"/>
  <c r="J288" i="7"/>
  <c r="W51" i="7"/>
  <c r="H66" i="7"/>
  <c r="H90" i="7"/>
  <c r="H112" i="7"/>
  <c r="J265" i="7"/>
  <c r="H350" i="7"/>
  <c r="J368" i="7"/>
  <c r="O66" i="7"/>
  <c r="J232" i="7"/>
  <c r="H265" i="7"/>
  <c r="H313" i="7"/>
  <c r="W363" i="7"/>
  <c r="H368" i="7"/>
  <c r="W256" i="7"/>
  <c r="T318" i="1"/>
  <c r="GB394" i="1"/>
  <c r="EI394" i="1"/>
  <c r="FY394" i="1"/>
  <c r="GA394" i="1"/>
  <c r="AJ394" i="1"/>
  <c r="CY390" i="1"/>
  <c r="X390" i="1" s="1"/>
  <c r="CZ390" i="1"/>
  <c r="Y390" i="1" s="1"/>
  <c r="EL394" i="1"/>
  <c r="FU365" i="1"/>
  <c r="CT375" i="1"/>
  <c r="S375" i="1"/>
  <c r="CD314" i="1"/>
  <c r="AU333" i="1"/>
  <c r="CY118" i="1"/>
  <c r="X118" i="1" s="1"/>
  <c r="CZ118" i="1"/>
  <c r="Y118" i="1" s="1"/>
  <c r="CJ394" i="1"/>
  <c r="DG52" i="3"/>
  <c r="DH52" i="3"/>
  <c r="DI52" i="3"/>
  <c r="DF52" i="3"/>
  <c r="DJ52" i="3" s="1"/>
  <c r="GA282" i="1"/>
  <c r="FQ253" i="1"/>
  <c r="EH282" i="1"/>
  <c r="Q186" i="1"/>
  <c r="K190" i="1"/>
  <c r="S186" i="1"/>
  <c r="V186" i="1"/>
  <c r="I190" i="1"/>
  <c r="GX186" i="1"/>
  <c r="EM333" i="1"/>
  <c r="FV314" i="1"/>
  <c r="GM392" i="1"/>
  <c r="GN392" i="1" s="1"/>
  <c r="CC314" i="1"/>
  <c r="AT333" i="1"/>
  <c r="CR377" i="1"/>
  <c r="CS377" i="1"/>
  <c r="Q377" i="1"/>
  <c r="R377" i="1"/>
  <c r="GK377" i="1" s="1"/>
  <c r="AD377" i="1"/>
  <c r="AB377" i="1" s="1"/>
  <c r="DZ394" i="1"/>
  <c r="T186" i="1"/>
  <c r="Q132" i="1"/>
  <c r="R132" i="1"/>
  <c r="GK132" i="1" s="1"/>
  <c r="CR132" i="1"/>
  <c r="CS132" i="1"/>
  <c r="AD132" i="1"/>
  <c r="AQ394" i="1"/>
  <c r="CG394" i="1"/>
  <c r="BZ365" i="1"/>
  <c r="GX322" i="1"/>
  <c r="CY274" i="1"/>
  <c r="X274" i="1" s="1"/>
  <c r="CZ274" i="1"/>
  <c r="Y274" i="1" s="1"/>
  <c r="CJ282" i="1"/>
  <c r="AG394" i="1"/>
  <c r="FU221" i="1"/>
  <c r="CY388" i="1"/>
  <c r="X388" i="1" s="1"/>
  <c r="GM388" i="1" s="1"/>
  <c r="GN388" i="1" s="1"/>
  <c r="CZ388" i="1"/>
  <c r="Y388" i="1" s="1"/>
  <c r="EB394" i="1"/>
  <c r="R322" i="1"/>
  <c r="GK322" i="1" s="1"/>
  <c r="CR322" i="1"/>
  <c r="CS322" i="1"/>
  <c r="AD322" i="1"/>
  <c r="CP274" i="1"/>
  <c r="O274" i="1" s="1"/>
  <c r="CZ255" i="1"/>
  <c r="Y255" i="1" s="1"/>
  <c r="CY255" i="1"/>
  <c r="X255" i="1" s="1"/>
  <c r="CP255" i="1"/>
  <c r="O255" i="1" s="1"/>
  <c r="EH365" i="1"/>
  <c r="P403" i="1"/>
  <c r="S316" i="1"/>
  <c r="CT316" i="1"/>
  <c r="CT260" i="1"/>
  <c r="S260" i="1"/>
  <c r="FV253" i="1"/>
  <c r="EM282" i="1"/>
  <c r="AB143" i="1"/>
  <c r="CQ143" i="1"/>
  <c r="P143" i="1"/>
  <c r="CP143" i="1" s="1"/>
  <c r="O143" i="1" s="1"/>
  <c r="AU394" i="1"/>
  <c r="CD365" i="1"/>
  <c r="CD253" i="1"/>
  <c r="AU282" i="1"/>
  <c r="FU253" i="1"/>
  <c r="EL282" i="1"/>
  <c r="P256" i="1"/>
  <c r="CQ256" i="1"/>
  <c r="FQ184" i="1"/>
  <c r="GA221" i="1"/>
  <c r="EH221" i="1"/>
  <c r="CP207" i="1"/>
  <c r="O207" i="1" s="1"/>
  <c r="CY102" i="1"/>
  <c r="X102" i="1" s="1"/>
  <c r="CZ102" i="1"/>
  <c r="Y102" i="1" s="1"/>
  <c r="CZ372" i="1"/>
  <c r="Y372" i="1" s="1"/>
  <c r="CY372" i="1"/>
  <c r="X372" i="1" s="1"/>
  <c r="F358" i="1"/>
  <c r="BD314" i="1"/>
  <c r="CC253" i="1"/>
  <c r="AT282" i="1"/>
  <c r="S261" i="1"/>
  <c r="CT261" i="1"/>
  <c r="GK255" i="1"/>
  <c r="CP187" i="1"/>
  <c r="O187" i="1" s="1"/>
  <c r="S385" i="1"/>
  <c r="CT385" i="1"/>
  <c r="CQ376" i="1"/>
  <c r="AB376" i="1"/>
  <c r="P376" i="1"/>
  <c r="CP376" i="1" s="1"/>
  <c r="O376" i="1" s="1"/>
  <c r="GM376" i="1" s="1"/>
  <c r="GN376" i="1" s="1"/>
  <c r="R372" i="1"/>
  <c r="GK372" i="1" s="1"/>
  <c r="Q372" i="1"/>
  <c r="CS327" i="1"/>
  <c r="CR327" i="1"/>
  <c r="S319" i="1"/>
  <c r="W319" i="1"/>
  <c r="P218" i="1"/>
  <c r="CQ218" i="1"/>
  <c r="CS263" i="1"/>
  <c r="CR263" i="1"/>
  <c r="AD263" i="1"/>
  <c r="AB263" i="1" s="1"/>
  <c r="AB218" i="1"/>
  <c r="CR213" i="1"/>
  <c r="CS213" i="1"/>
  <c r="R213" i="1"/>
  <c r="GK213" i="1" s="1"/>
  <c r="Q213" i="1"/>
  <c r="AD213" i="1"/>
  <c r="W206" i="1"/>
  <c r="CT201" i="1"/>
  <c r="S201" i="1"/>
  <c r="W186" i="1"/>
  <c r="AB391" i="1"/>
  <c r="CQ391" i="1"/>
  <c r="CY381" i="1"/>
  <c r="X381" i="1" s="1"/>
  <c r="CZ381" i="1"/>
  <c r="Y381" i="1" s="1"/>
  <c r="V377" i="1"/>
  <c r="AI394" i="1" s="1"/>
  <c r="CR372" i="1"/>
  <c r="CP369" i="1"/>
  <c r="O369" i="1" s="1"/>
  <c r="R324" i="1"/>
  <c r="GK324" i="1" s="1"/>
  <c r="AD324" i="1"/>
  <c r="AB324" i="1" s="1"/>
  <c r="CR324" i="1"/>
  <c r="CS324" i="1"/>
  <c r="CM314" i="1"/>
  <c r="GM270" i="1"/>
  <c r="GN270" i="1" s="1"/>
  <c r="U263" i="1"/>
  <c r="AH282" i="1" s="1"/>
  <c r="AB215" i="1"/>
  <c r="CT210" i="1"/>
  <c r="CX30" i="3"/>
  <c r="I203" i="1"/>
  <c r="Q201" i="1"/>
  <c r="R201" i="1"/>
  <c r="GK201" i="1" s="1"/>
  <c r="P201" i="1"/>
  <c r="AB193" i="1"/>
  <c r="P193" i="1"/>
  <c r="CS192" i="1"/>
  <c r="CR192" i="1"/>
  <c r="AD192" i="1"/>
  <c r="Q192" i="1"/>
  <c r="S191" i="1"/>
  <c r="CT191" i="1"/>
  <c r="CR114" i="1"/>
  <c r="Q114" i="1"/>
  <c r="R114" i="1"/>
  <c r="GK114" i="1" s="1"/>
  <c r="CS114" i="1"/>
  <c r="S50" i="1"/>
  <c r="CT50" i="1"/>
  <c r="DH44" i="3"/>
  <c r="DF44" i="3"/>
  <c r="DJ44" i="3" s="1"/>
  <c r="DI44" i="3"/>
  <c r="DG44" i="3"/>
  <c r="GM379" i="1"/>
  <c r="GN379" i="1" s="1"/>
  <c r="CQ264" i="1"/>
  <c r="AB264" i="1"/>
  <c r="P264" i="1"/>
  <c r="CP264" i="1" s="1"/>
  <c r="O264" i="1" s="1"/>
  <c r="GM264" i="1" s="1"/>
  <c r="GN264" i="1" s="1"/>
  <c r="AB192" i="1"/>
  <c r="P192" i="1"/>
  <c r="CP192" i="1" s="1"/>
  <c r="O192" i="1" s="1"/>
  <c r="CQ192" i="1"/>
  <c r="R191" i="1"/>
  <c r="GK191" i="1" s="1"/>
  <c r="CR191" i="1"/>
  <c r="CS191" i="1"/>
  <c r="AD191" i="1"/>
  <c r="AB191" i="1" s="1"/>
  <c r="CY145" i="1"/>
  <c r="X145" i="1" s="1"/>
  <c r="GM145" i="1" s="1"/>
  <c r="GO145" i="1" s="1"/>
  <c r="CZ145" i="1"/>
  <c r="Y145" i="1" s="1"/>
  <c r="GM123" i="1"/>
  <c r="GO123" i="1" s="1"/>
  <c r="S121" i="1"/>
  <c r="CT121" i="1"/>
  <c r="AB114" i="1"/>
  <c r="AB99" i="1"/>
  <c r="CQ99" i="1"/>
  <c r="P99" i="1"/>
  <c r="CT93" i="1"/>
  <c r="S93" i="1"/>
  <c r="CR50" i="1"/>
  <c r="CS50" i="1"/>
  <c r="AD50" i="1"/>
  <c r="AB50" i="1" s="1"/>
  <c r="Q50" i="1"/>
  <c r="R50" i="1"/>
  <c r="GK50" i="1" s="1"/>
  <c r="EG59" i="1"/>
  <c r="FP26" i="1"/>
  <c r="FY59" i="1"/>
  <c r="CP55" i="1"/>
  <c r="O55" i="1" s="1"/>
  <c r="CZ383" i="1"/>
  <c r="Y383" i="1" s="1"/>
  <c r="CY383" i="1"/>
  <c r="X383" i="1" s="1"/>
  <c r="CT327" i="1"/>
  <c r="S327" i="1"/>
  <c r="CX57" i="3"/>
  <c r="I322" i="1"/>
  <c r="P322" i="1" s="1"/>
  <c r="U320" i="1"/>
  <c r="R257" i="1"/>
  <c r="GK257" i="1" s="1"/>
  <c r="AD257" i="1"/>
  <c r="AB257" i="1" s="1"/>
  <c r="CR257" i="1"/>
  <c r="Q257" i="1"/>
  <c r="CS257" i="1"/>
  <c r="P202" i="1"/>
  <c r="CQ202" i="1"/>
  <c r="W190" i="1"/>
  <c r="S370" i="1"/>
  <c r="DX394" i="1" s="1"/>
  <c r="CT370" i="1"/>
  <c r="BD365" i="1"/>
  <c r="T322" i="1"/>
  <c r="GX320" i="1"/>
  <c r="U318" i="1"/>
  <c r="AD316" i="1"/>
  <c r="EV253" i="1"/>
  <c r="P307" i="1"/>
  <c r="AP253" i="1"/>
  <c r="F291" i="1"/>
  <c r="CR271" i="1"/>
  <c r="AD271" i="1"/>
  <c r="AB271" i="1" s="1"/>
  <c r="CS271" i="1"/>
  <c r="CT263" i="1"/>
  <c r="S263" i="1"/>
  <c r="R261" i="1"/>
  <c r="GK261" i="1" s="1"/>
  <c r="CR261" i="1"/>
  <c r="CS261" i="1"/>
  <c r="AD261" i="1"/>
  <c r="Q261" i="1"/>
  <c r="CQ257" i="1"/>
  <c r="P257" i="1"/>
  <c r="CP257" i="1" s="1"/>
  <c r="O257" i="1" s="1"/>
  <c r="EU184" i="1"/>
  <c r="EU424" i="1"/>
  <c r="S213" i="1"/>
  <c r="CP213" i="1" s="1"/>
  <c r="O213" i="1" s="1"/>
  <c r="CT213" i="1"/>
  <c r="P209" i="1"/>
  <c r="CP209" i="1" s="1"/>
  <c r="O209" i="1" s="1"/>
  <c r="GM209" i="1" s="1"/>
  <c r="GN209" i="1" s="1"/>
  <c r="AB209" i="1"/>
  <c r="CQ209" i="1"/>
  <c r="Q206" i="1"/>
  <c r="U206" i="1"/>
  <c r="AB202" i="1"/>
  <c r="FV221" i="1"/>
  <c r="Q146" i="1"/>
  <c r="U146" i="1"/>
  <c r="V146" i="1"/>
  <c r="W146" i="1"/>
  <c r="R146" i="1"/>
  <c r="GK146" i="1" s="1"/>
  <c r="S146" i="1"/>
  <c r="CP134" i="1"/>
  <c r="O134" i="1" s="1"/>
  <c r="CQ132" i="1"/>
  <c r="P132" i="1"/>
  <c r="CQ106" i="1"/>
  <c r="P106" i="1"/>
  <c r="CP106" i="1" s="1"/>
  <c r="O106" i="1" s="1"/>
  <c r="DF1" i="3"/>
  <c r="DH1" i="3"/>
  <c r="DI1" i="3"/>
  <c r="DJ1" i="3" s="1"/>
  <c r="DG1" i="3"/>
  <c r="CP389" i="1"/>
  <c r="O389" i="1" s="1"/>
  <c r="AB386" i="1"/>
  <c r="P386" i="1"/>
  <c r="CP386" i="1" s="1"/>
  <c r="O386" i="1" s="1"/>
  <c r="GM386" i="1" s="1"/>
  <c r="GN386" i="1" s="1"/>
  <c r="AD372" i="1"/>
  <c r="CR370" i="1"/>
  <c r="CS370" i="1"/>
  <c r="Q370" i="1"/>
  <c r="R370" i="1"/>
  <c r="BB333" i="1"/>
  <c r="CK314" i="1"/>
  <c r="AD327" i="1"/>
  <c r="AB327" i="1" s="1"/>
  <c r="CT326" i="1"/>
  <c r="S326" i="1"/>
  <c r="AB322" i="1"/>
  <c r="T320" i="1"/>
  <c r="AG333" i="1" s="1"/>
  <c r="P316" i="1"/>
  <c r="CQ316" i="1"/>
  <c r="P261" i="1"/>
  <c r="AB261" i="1"/>
  <c r="CQ261" i="1"/>
  <c r="EB282" i="1"/>
  <c r="AJ282" i="1"/>
  <c r="ET424" i="1"/>
  <c r="P234" i="1"/>
  <c r="GX190" i="1"/>
  <c r="U190" i="1"/>
  <c r="AB132" i="1"/>
  <c r="AB385" i="1"/>
  <c r="CQ380" i="1"/>
  <c r="AB380" i="1"/>
  <c r="CT374" i="1"/>
  <c r="S374" i="1"/>
  <c r="CQ372" i="1"/>
  <c r="P372" i="1"/>
  <c r="AD370" i="1"/>
  <c r="AB370" i="1" s="1"/>
  <c r="CT320" i="1"/>
  <c r="S320" i="1"/>
  <c r="AB316" i="1"/>
  <c r="CZ271" i="1"/>
  <c r="Y271" i="1" s="1"/>
  <c r="CY271" i="1"/>
  <c r="X271" i="1" s="1"/>
  <c r="S269" i="1"/>
  <c r="CT269" i="1"/>
  <c r="S211" i="1"/>
  <c r="CT211" i="1"/>
  <c r="CY210" i="1"/>
  <c r="X210" i="1" s="1"/>
  <c r="AB208" i="1"/>
  <c r="P208" i="1"/>
  <c r="CQ208" i="1"/>
  <c r="CY135" i="1"/>
  <c r="X135" i="1" s="1"/>
  <c r="CZ135" i="1"/>
  <c r="Y135" i="1" s="1"/>
  <c r="CP135" i="1"/>
  <c r="O135" i="1" s="1"/>
  <c r="CQ384" i="1"/>
  <c r="P384" i="1"/>
  <c r="CP384" i="1" s="1"/>
  <c r="O384" i="1" s="1"/>
  <c r="GM384" i="1" s="1"/>
  <c r="GN384" i="1" s="1"/>
  <c r="S380" i="1"/>
  <c r="CP377" i="1"/>
  <c r="O377" i="1" s="1"/>
  <c r="AB372" i="1"/>
  <c r="CY369" i="1"/>
  <c r="X369" i="1" s="1"/>
  <c r="CZ369" i="1"/>
  <c r="Y369" i="1" s="1"/>
  <c r="CS367" i="1"/>
  <c r="AD367" i="1"/>
  <c r="AB367" i="1" s="1"/>
  <c r="Q367" i="1"/>
  <c r="GX331" i="1"/>
  <c r="P329" i="1"/>
  <c r="Q329" i="1"/>
  <c r="I331" i="1"/>
  <c r="R329" i="1"/>
  <c r="GK329" i="1" s="1"/>
  <c r="CX62" i="3"/>
  <c r="V329" i="1"/>
  <c r="R327" i="1"/>
  <c r="GK327" i="1" s="1"/>
  <c r="CR320" i="1"/>
  <c r="CS320" i="1"/>
  <c r="CP273" i="1"/>
  <c r="O273" i="1" s="1"/>
  <c r="R271" i="1"/>
  <c r="GK271" i="1" s="1"/>
  <c r="R263" i="1"/>
  <c r="GK263" i="1" s="1"/>
  <c r="CZ262" i="1"/>
  <c r="Y262" i="1" s="1"/>
  <c r="CY262" i="1"/>
  <c r="X262" i="1" s="1"/>
  <c r="GM262" i="1" s="1"/>
  <c r="GN262" i="1" s="1"/>
  <c r="DZ282" i="1"/>
  <c r="BX184" i="1"/>
  <c r="AO221" i="1"/>
  <c r="CR211" i="1"/>
  <c r="AD211" i="1"/>
  <c r="CS211" i="1"/>
  <c r="GX206" i="1"/>
  <c r="Q202" i="1"/>
  <c r="R202" i="1"/>
  <c r="GK202" i="1" s="1"/>
  <c r="W202" i="1"/>
  <c r="GM119" i="1"/>
  <c r="GO119" i="1" s="1"/>
  <c r="Q41" i="1"/>
  <c r="P41" i="1"/>
  <c r="CP41" i="1" s="1"/>
  <c r="O41" i="1" s="1"/>
  <c r="GX41" i="1"/>
  <c r="FV26" i="1"/>
  <c r="EM59" i="1"/>
  <c r="P398" i="1"/>
  <c r="EG365" i="1"/>
  <c r="CT391" i="1"/>
  <c r="S391" i="1"/>
  <c r="CP391" i="1" s="1"/>
  <c r="O391" i="1" s="1"/>
  <c r="CP378" i="1"/>
  <c r="O378" i="1" s="1"/>
  <c r="CT372" i="1"/>
  <c r="CZ371" i="1"/>
  <c r="Y371" i="1" s="1"/>
  <c r="CY371" i="1"/>
  <c r="X371" i="1" s="1"/>
  <c r="P367" i="1"/>
  <c r="CY328" i="1"/>
  <c r="X328" i="1" s="1"/>
  <c r="CZ328" i="1"/>
  <c r="Y328" i="1" s="1"/>
  <c r="Q327" i="1"/>
  <c r="CP327" i="1" s="1"/>
  <c r="O327" i="1" s="1"/>
  <c r="CQ322" i="1"/>
  <c r="AD320" i="1"/>
  <c r="AB320" i="1" s="1"/>
  <c r="U319" i="1"/>
  <c r="CS316" i="1"/>
  <c r="R276" i="1"/>
  <c r="CR276" i="1"/>
  <c r="CS276" i="1"/>
  <c r="AD276" i="1"/>
  <c r="AB276" i="1" s="1"/>
  <c r="Q271" i="1"/>
  <c r="CP271" i="1" s="1"/>
  <c r="O271" i="1" s="1"/>
  <c r="CT267" i="1"/>
  <c r="S267" i="1"/>
  <c r="CQ265" i="1"/>
  <c r="AB265" i="1"/>
  <c r="Q263" i="1"/>
  <c r="GK262" i="1"/>
  <c r="BD221" i="1"/>
  <c r="S215" i="1"/>
  <c r="CT215" i="1"/>
  <c r="AB210" i="1"/>
  <c r="P210" i="1"/>
  <c r="CQ210" i="1"/>
  <c r="CY139" i="1"/>
  <c r="X139" i="1" s="1"/>
  <c r="CZ139" i="1"/>
  <c r="Y139" i="1" s="1"/>
  <c r="W41" i="1"/>
  <c r="AP424" i="1"/>
  <c r="U389" i="1"/>
  <c r="CQ386" i="1"/>
  <c r="P380" i="1"/>
  <c r="AB374" i="1"/>
  <c r="CS372" i="1"/>
  <c r="T319" i="1"/>
  <c r="BZ333" i="1"/>
  <c r="FR333" i="1"/>
  <c r="CS317" i="1"/>
  <c r="AD317" i="1"/>
  <c r="AB317" i="1" s="1"/>
  <c r="Q317" i="1"/>
  <c r="R317" i="1"/>
  <c r="CR316" i="1"/>
  <c r="CU49" i="3"/>
  <c r="CV49" i="3"/>
  <c r="CW50" i="3"/>
  <c r="CX50" i="3"/>
  <c r="CX49" i="3"/>
  <c r="Q316" i="1"/>
  <c r="W316" i="1"/>
  <c r="I318" i="1"/>
  <c r="GX318" i="1" s="1"/>
  <c r="CQ275" i="1"/>
  <c r="P275" i="1"/>
  <c r="CP275" i="1" s="1"/>
  <c r="O275" i="1" s="1"/>
  <c r="GM275" i="1" s="1"/>
  <c r="GN275" i="1" s="1"/>
  <c r="CR267" i="1"/>
  <c r="Q267" i="1"/>
  <c r="R267" i="1"/>
  <c r="GK267" i="1" s="1"/>
  <c r="CS267" i="1"/>
  <c r="R264" i="1"/>
  <c r="GK264" i="1" s="1"/>
  <c r="CR264" i="1"/>
  <c r="CS264" i="1"/>
  <c r="Q264" i="1"/>
  <c r="DV282" i="1" s="1"/>
  <c r="V263" i="1"/>
  <c r="AI282" i="1" s="1"/>
  <c r="GB282" i="1"/>
  <c r="CT255" i="1"/>
  <c r="AB255" i="1"/>
  <c r="BB184" i="1"/>
  <c r="F234" i="1"/>
  <c r="CY216" i="1"/>
  <c r="X216" i="1" s="1"/>
  <c r="CZ216" i="1"/>
  <c r="Y216" i="1" s="1"/>
  <c r="AB204" i="1"/>
  <c r="P204" i="1"/>
  <c r="CP204" i="1" s="1"/>
  <c r="O204" i="1" s="1"/>
  <c r="S199" i="1"/>
  <c r="T199" i="1"/>
  <c r="CT192" i="1"/>
  <c r="S192" i="1"/>
  <c r="AP91" i="1"/>
  <c r="F157" i="1"/>
  <c r="CP139" i="1"/>
  <c r="O139" i="1" s="1"/>
  <c r="GM139" i="1" s="1"/>
  <c r="GO139" i="1" s="1"/>
  <c r="CX4" i="3"/>
  <c r="CX5" i="3"/>
  <c r="CX6" i="3"/>
  <c r="CW5" i="3"/>
  <c r="Q122" i="1"/>
  <c r="S122" i="1"/>
  <c r="CU4" i="3"/>
  <c r="FV148" i="1"/>
  <c r="CT114" i="1"/>
  <c r="S114" i="1"/>
  <c r="GB59" i="1"/>
  <c r="DG28" i="3"/>
  <c r="DF28" i="3"/>
  <c r="DJ28" i="3" s="1"/>
  <c r="DH28" i="3"/>
  <c r="DI28" i="3"/>
  <c r="CY392" i="1"/>
  <c r="X392" i="1" s="1"/>
  <c r="CZ392" i="1"/>
  <c r="Y392" i="1" s="1"/>
  <c r="CT389" i="1"/>
  <c r="S389" i="1"/>
  <c r="CY382" i="1"/>
  <c r="X382" i="1" s="1"/>
  <c r="CZ382" i="1"/>
  <c r="Y382" i="1" s="1"/>
  <c r="GX377" i="1"/>
  <c r="U377" i="1"/>
  <c r="CP371" i="1"/>
  <c r="O371" i="1" s="1"/>
  <c r="CP368" i="1"/>
  <c r="O368" i="1" s="1"/>
  <c r="AD331" i="1"/>
  <c r="AB331" i="1" s="1"/>
  <c r="W320" i="1"/>
  <c r="Q320" i="1"/>
  <c r="AD319" i="1"/>
  <c r="AB319" i="1" s="1"/>
  <c r="R319" i="1"/>
  <c r="GK319" i="1" s="1"/>
  <c r="CR319" i="1"/>
  <c r="CY280" i="1"/>
  <c r="X280" i="1" s="1"/>
  <c r="GM280" i="1" s="1"/>
  <c r="GN280" i="1" s="1"/>
  <c r="CZ280" i="1"/>
  <c r="Y280" i="1" s="1"/>
  <c r="S277" i="1"/>
  <c r="AB267" i="1"/>
  <c r="AD387" i="1"/>
  <c r="CS387" i="1"/>
  <c r="CR387" i="1"/>
  <c r="T377" i="1"/>
  <c r="CR367" i="1"/>
  <c r="EV365" i="1"/>
  <c r="BC314" i="1"/>
  <c r="F349" i="1"/>
  <c r="CZ330" i="1"/>
  <c r="Y330" i="1" s="1"/>
  <c r="GM330" i="1" s="1"/>
  <c r="GN330" i="1" s="1"/>
  <c r="U329" i="1"/>
  <c r="V327" i="1"/>
  <c r="CZ325" i="1"/>
  <c r="Y325" i="1" s="1"/>
  <c r="CY325" i="1"/>
  <c r="X325" i="1" s="1"/>
  <c r="FU333" i="1"/>
  <c r="P320" i="1"/>
  <c r="CP320" i="1" s="1"/>
  <c r="O320" i="1" s="1"/>
  <c r="Q276" i="1"/>
  <c r="CY266" i="1"/>
  <c r="X266" i="1" s="1"/>
  <c r="CZ266" i="1"/>
  <c r="Y266" i="1" s="1"/>
  <c r="W263" i="1"/>
  <c r="S256" i="1"/>
  <c r="CT256" i="1"/>
  <c r="S207" i="1"/>
  <c r="CT207" i="1"/>
  <c r="W199" i="1"/>
  <c r="S188" i="1"/>
  <c r="CT188" i="1"/>
  <c r="ET184" i="1"/>
  <c r="FY148" i="1"/>
  <c r="EG148" i="1"/>
  <c r="FP91" i="1"/>
  <c r="P146" i="1"/>
  <c r="CQ146" i="1"/>
  <c r="S143" i="1"/>
  <c r="CT143" i="1"/>
  <c r="S140" i="1"/>
  <c r="CT140" i="1"/>
  <c r="AB140" i="1"/>
  <c r="R121" i="1"/>
  <c r="GK121" i="1" s="1"/>
  <c r="CR121" i="1"/>
  <c r="AD121" i="1"/>
  <c r="AB121" i="1" s="1"/>
  <c r="CS121" i="1"/>
  <c r="AI148" i="1"/>
  <c r="BZ148" i="1"/>
  <c r="P57" i="1"/>
  <c r="S57" i="1"/>
  <c r="GX57" i="1"/>
  <c r="Q57" i="1"/>
  <c r="R42" i="1"/>
  <c r="GK42" i="1" s="1"/>
  <c r="CR42" i="1"/>
  <c r="CS42" i="1"/>
  <c r="AD42" i="1"/>
  <c r="AB42" i="1" s="1"/>
  <c r="EG424" i="1"/>
  <c r="CI394" i="1"/>
  <c r="AB387" i="1"/>
  <c r="CQ382" i="1"/>
  <c r="P382" i="1"/>
  <c r="CT377" i="1"/>
  <c r="S377" i="1"/>
  <c r="FV394" i="1"/>
  <c r="CQ367" i="1"/>
  <c r="R367" i="1"/>
  <c r="ET365" i="1"/>
  <c r="T329" i="1"/>
  <c r="U327" i="1"/>
  <c r="EI282" i="1"/>
  <c r="FY282" i="1"/>
  <c r="FR253" i="1"/>
  <c r="CY278" i="1"/>
  <c r="X278" i="1" s="1"/>
  <c r="GM278" i="1" s="1"/>
  <c r="GN278" i="1" s="1"/>
  <c r="CP269" i="1"/>
  <c r="O269" i="1" s="1"/>
  <c r="P265" i="1"/>
  <c r="CP265" i="1" s="1"/>
  <c r="O265" i="1" s="1"/>
  <c r="AG282" i="1"/>
  <c r="P237" i="1"/>
  <c r="CQ204" i="1"/>
  <c r="V199" i="1"/>
  <c r="W194" i="1"/>
  <c r="S194" i="1"/>
  <c r="Q191" i="1"/>
  <c r="CT189" i="1"/>
  <c r="S189" i="1"/>
  <c r="CP189" i="1" s="1"/>
  <c r="O189" i="1" s="1"/>
  <c r="P173" i="1"/>
  <c r="EV91" i="1"/>
  <c r="T146" i="1"/>
  <c r="AB146" i="1"/>
  <c r="P131" i="1"/>
  <c r="CP131" i="1" s="1"/>
  <c r="O131" i="1" s="1"/>
  <c r="AB131" i="1"/>
  <c r="CQ131" i="1"/>
  <c r="GK95" i="1"/>
  <c r="DH61" i="3"/>
  <c r="DF61" i="3"/>
  <c r="DJ61" i="3" s="1"/>
  <c r="DG61" i="3"/>
  <c r="DI61" i="3"/>
  <c r="R125" i="1"/>
  <c r="GK125" i="1" s="1"/>
  <c r="CR125" i="1"/>
  <c r="CS125" i="1"/>
  <c r="CZ106" i="1"/>
  <c r="Y106" i="1" s="1"/>
  <c r="CY106" i="1"/>
  <c r="X106" i="1" s="1"/>
  <c r="CT97" i="1"/>
  <c r="S97" i="1"/>
  <c r="CY94" i="1"/>
  <c r="X94" i="1" s="1"/>
  <c r="CZ94" i="1"/>
  <c r="Y94" i="1" s="1"/>
  <c r="CP94" i="1"/>
  <c r="O94" i="1" s="1"/>
  <c r="Q56" i="1"/>
  <c r="R56" i="1"/>
  <c r="GK56" i="1" s="1"/>
  <c r="P56" i="1"/>
  <c r="CP56" i="1" s="1"/>
  <c r="O56" i="1" s="1"/>
  <c r="AB323" i="1"/>
  <c r="I323" i="1"/>
  <c r="P323" i="1" s="1"/>
  <c r="Q321" i="1"/>
  <c r="BY253" i="1"/>
  <c r="T276" i="1"/>
  <c r="DY282" i="1" s="1"/>
  <c r="P260" i="1"/>
  <c r="CP260" i="1" s="1"/>
  <c r="O260" i="1" s="1"/>
  <c r="CQ260" i="1"/>
  <c r="BC221" i="1"/>
  <c r="CL184" i="1"/>
  <c r="Q218" i="1"/>
  <c r="S218" i="1"/>
  <c r="R218" i="1"/>
  <c r="GK218" i="1" s="1"/>
  <c r="W218" i="1"/>
  <c r="Q211" i="1"/>
  <c r="CP211" i="1" s="1"/>
  <c r="O211" i="1" s="1"/>
  <c r="R196" i="1"/>
  <c r="GK196" i="1" s="1"/>
  <c r="Q196" i="1"/>
  <c r="GX194" i="1"/>
  <c r="AB188" i="1"/>
  <c r="P188" i="1"/>
  <c r="CP188" i="1" s="1"/>
  <c r="O188" i="1" s="1"/>
  <c r="CC221" i="1"/>
  <c r="CY138" i="1"/>
  <c r="X138" i="1" s="1"/>
  <c r="CZ138" i="1"/>
  <c r="Y138" i="1" s="1"/>
  <c r="CU19" i="3"/>
  <c r="CX20" i="3"/>
  <c r="CV19" i="3"/>
  <c r="Q127" i="1"/>
  <c r="AD125" i="1"/>
  <c r="AB125" i="1" s="1"/>
  <c r="CS124" i="1"/>
  <c r="R124" i="1"/>
  <c r="GK124" i="1" s="1"/>
  <c r="CR124" i="1"/>
  <c r="U122" i="1"/>
  <c r="CQ116" i="1"/>
  <c r="P116" i="1"/>
  <c r="CP116" i="1" s="1"/>
  <c r="O116" i="1" s="1"/>
  <c r="S109" i="1"/>
  <c r="CT109" i="1"/>
  <c r="CP101" i="1"/>
  <c r="O101" i="1" s="1"/>
  <c r="Q96" i="1"/>
  <c r="S96" i="1"/>
  <c r="W96" i="1"/>
  <c r="EB148" i="1" s="1"/>
  <c r="GX96" i="1"/>
  <c r="GX389" i="1"/>
  <c r="S378" i="1"/>
  <c r="Q325" i="1"/>
  <c r="CP325" i="1" s="1"/>
  <c r="O325" i="1" s="1"/>
  <c r="GM325" i="1" s="1"/>
  <c r="GN325" i="1" s="1"/>
  <c r="GX319" i="1"/>
  <c r="FQ314" i="1"/>
  <c r="CG282" i="1"/>
  <c r="BX253" i="1"/>
  <c r="AO282" i="1"/>
  <c r="CS280" i="1"/>
  <c r="AD280" i="1"/>
  <c r="AB280" i="1" s="1"/>
  <c r="P276" i="1"/>
  <c r="CQ263" i="1"/>
  <c r="P263" i="1"/>
  <c r="AB260" i="1"/>
  <c r="BZ282" i="1"/>
  <c r="AB213" i="1"/>
  <c r="CQ213" i="1"/>
  <c r="CY204" i="1"/>
  <c r="X204" i="1" s="1"/>
  <c r="CZ204" i="1"/>
  <c r="Y204" i="1" s="1"/>
  <c r="U202" i="1"/>
  <c r="AD196" i="1"/>
  <c r="CP191" i="1"/>
  <c r="O191" i="1" s="1"/>
  <c r="BZ221" i="1"/>
  <c r="CG221" i="1" s="1"/>
  <c r="GD91" i="1"/>
  <c r="EU148" i="1"/>
  <c r="CY136" i="1"/>
  <c r="X136" i="1" s="1"/>
  <c r="CZ136" i="1"/>
  <c r="Y136" i="1" s="1"/>
  <c r="T127" i="1"/>
  <c r="AD124" i="1"/>
  <c r="AB124" i="1" s="1"/>
  <c r="GX122" i="1"/>
  <c r="DF3" i="3"/>
  <c r="DJ3" i="3" s="1"/>
  <c r="DG3" i="3"/>
  <c r="DH3" i="3"/>
  <c r="DI3" i="3"/>
  <c r="AB116" i="1"/>
  <c r="R109" i="1"/>
  <c r="GK109" i="1" s="1"/>
  <c r="CR109" i="1"/>
  <c r="CS109" i="1"/>
  <c r="CZ108" i="1"/>
  <c r="Y108" i="1" s="1"/>
  <c r="CY108" i="1"/>
  <c r="X108" i="1" s="1"/>
  <c r="S98" i="1"/>
  <c r="CT98" i="1"/>
  <c r="DH12" i="3"/>
  <c r="DI12" i="3"/>
  <c r="DF12" i="3"/>
  <c r="DJ12" i="3" s="1"/>
  <c r="DG12" i="3"/>
  <c r="CC394" i="1"/>
  <c r="AB371" i="1"/>
  <c r="EA282" i="1"/>
  <c r="GX218" i="1"/>
  <c r="S212" i="1"/>
  <c r="CT212" i="1"/>
  <c r="GX211" i="1"/>
  <c r="T206" i="1"/>
  <c r="P206" i="1"/>
  <c r="CQ205" i="1"/>
  <c r="P205" i="1"/>
  <c r="CP205" i="1" s="1"/>
  <c r="O205" i="1" s="1"/>
  <c r="GX199" i="1"/>
  <c r="R199" i="1"/>
  <c r="GK199" i="1" s="1"/>
  <c r="CR199" i="1"/>
  <c r="CS199" i="1"/>
  <c r="AB198" i="1"/>
  <c r="CQ196" i="1"/>
  <c r="P196" i="1"/>
  <c r="CP196" i="1" s="1"/>
  <c r="O196" i="1" s="1"/>
  <c r="FR221" i="1"/>
  <c r="CZ142" i="1"/>
  <c r="Y142" i="1" s="1"/>
  <c r="CY142" i="1"/>
  <c r="X142" i="1" s="1"/>
  <c r="P141" i="1"/>
  <c r="CP141" i="1" s="1"/>
  <c r="O141" i="1" s="1"/>
  <c r="GM141" i="1" s="1"/>
  <c r="GO141" i="1" s="1"/>
  <c r="AB141" i="1"/>
  <c r="CZ126" i="1"/>
  <c r="Y126" i="1" s="1"/>
  <c r="CY126" i="1"/>
  <c r="X126" i="1" s="1"/>
  <c r="CQ124" i="1"/>
  <c r="P124" i="1"/>
  <c r="AB109" i="1"/>
  <c r="GM107" i="1"/>
  <c r="GO107" i="1" s="1"/>
  <c r="DY59" i="1"/>
  <c r="BZ59" i="1"/>
  <c r="P225" i="1"/>
  <c r="EG184" i="1"/>
  <c r="CQ323" i="1"/>
  <c r="CS274" i="1"/>
  <c r="CP267" i="1"/>
  <c r="O267" i="1" s="1"/>
  <c r="S265" i="1"/>
  <c r="CT265" i="1"/>
  <c r="V218" i="1"/>
  <c r="AD212" i="1"/>
  <c r="AB212" i="1" s="1"/>
  <c r="R212" i="1"/>
  <c r="GK212" i="1" s="1"/>
  <c r="U211" i="1"/>
  <c r="AB206" i="1"/>
  <c r="S202" i="1"/>
  <c r="AD199" i="1"/>
  <c r="AB196" i="1"/>
  <c r="U186" i="1"/>
  <c r="P130" i="1"/>
  <c r="CP130" i="1" s="1"/>
  <c r="O130" i="1" s="1"/>
  <c r="CQ130" i="1"/>
  <c r="AB130" i="1"/>
  <c r="W127" i="1"/>
  <c r="CT120" i="1"/>
  <c r="S120" i="1"/>
  <c r="CT113" i="1"/>
  <c r="S113" i="1"/>
  <c r="V378" i="1"/>
  <c r="EA394" i="1" s="1"/>
  <c r="R378" i="1"/>
  <c r="GK378" i="1" s="1"/>
  <c r="AB369" i="1"/>
  <c r="CR325" i="1"/>
  <c r="CS325" i="1"/>
  <c r="AD325" i="1"/>
  <c r="AB325" i="1" s="1"/>
  <c r="CQ280" i="1"/>
  <c r="AB392" i="1"/>
  <c r="P390" i="1"/>
  <c r="CP390" i="1" s="1"/>
  <c r="O390" i="1" s="1"/>
  <c r="AB390" i="1"/>
  <c r="AD378" i="1"/>
  <c r="AB378" i="1" s="1"/>
  <c r="CK365" i="1"/>
  <c r="CI333" i="1"/>
  <c r="AP333" i="1"/>
  <c r="T331" i="1"/>
  <c r="AD328" i="1"/>
  <c r="AB328" i="1" s="1"/>
  <c r="CR328" i="1"/>
  <c r="T321" i="1"/>
  <c r="CQ321" i="1"/>
  <c r="P321" i="1"/>
  <c r="AB318" i="1"/>
  <c r="CZ386" i="1"/>
  <c r="Y386" i="1" s="1"/>
  <c r="CY386" i="1"/>
  <c r="X386" i="1" s="1"/>
  <c r="T378" i="1"/>
  <c r="DY394" i="1" s="1"/>
  <c r="S367" i="1"/>
  <c r="CT367" i="1"/>
  <c r="P328" i="1"/>
  <c r="CP328" i="1" s="1"/>
  <c r="O328" i="1" s="1"/>
  <c r="GM328" i="1" s="1"/>
  <c r="GN328" i="1" s="1"/>
  <c r="AB321" i="1"/>
  <c r="GE314" i="1"/>
  <c r="CR278" i="1"/>
  <c r="CS278" i="1"/>
  <c r="AD278" i="1"/>
  <c r="AB278" i="1" s="1"/>
  <c r="CQ276" i="1"/>
  <c r="CY275" i="1"/>
  <c r="X275" i="1" s="1"/>
  <c r="CR274" i="1"/>
  <c r="CT270" i="1"/>
  <c r="AB270" i="1"/>
  <c r="R265" i="1"/>
  <c r="GK265" i="1" s="1"/>
  <c r="CS265" i="1"/>
  <c r="AD265" i="1"/>
  <c r="P212" i="1"/>
  <c r="CQ212" i="1"/>
  <c r="CZ208" i="1"/>
  <c r="Y208" i="1" s="1"/>
  <c r="CY208" i="1"/>
  <c r="X208" i="1" s="1"/>
  <c r="AB200" i="1"/>
  <c r="CS196" i="1"/>
  <c r="R193" i="1"/>
  <c r="GK193" i="1" s="1"/>
  <c r="CS193" i="1"/>
  <c r="V190" i="1"/>
  <c r="CQ190" i="1"/>
  <c r="P190" i="1"/>
  <c r="AB190" i="1"/>
  <c r="CQ188" i="1"/>
  <c r="AD131" i="1"/>
  <c r="R131" i="1"/>
  <c r="GK131" i="1" s="1"/>
  <c r="CS131" i="1"/>
  <c r="V127" i="1"/>
  <c r="AD120" i="1"/>
  <c r="AB120" i="1" s="1"/>
  <c r="CR120" i="1"/>
  <c r="CS120" i="1"/>
  <c r="Q120" i="1"/>
  <c r="R120" i="1"/>
  <c r="GK120" i="1" s="1"/>
  <c r="CZ119" i="1"/>
  <c r="Y119" i="1" s="1"/>
  <c r="CY119" i="1"/>
  <c r="X119" i="1" s="1"/>
  <c r="CP40" i="1"/>
  <c r="O40" i="1" s="1"/>
  <c r="CT34" i="1"/>
  <c r="S34" i="1"/>
  <c r="CY28" i="1"/>
  <c r="X28" i="1" s="1"/>
  <c r="CZ28" i="1"/>
  <c r="Y28" i="1" s="1"/>
  <c r="CU10" i="3"/>
  <c r="CV10" i="3"/>
  <c r="Q124" i="1"/>
  <c r="CX11" i="3"/>
  <c r="CS122" i="1"/>
  <c r="CR122" i="1"/>
  <c r="CP112" i="1"/>
  <c r="O112" i="1" s="1"/>
  <c r="CQ103" i="1"/>
  <c r="P103" i="1"/>
  <c r="CP93" i="1"/>
  <c r="O93" i="1" s="1"/>
  <c r="CR57" i="1"/>
  <c r="CS57" i="1"/>
  <c r="AD57" i="1"/>
  <c r="AB57" i="1" s="1"/>
  <c r="DG69" i="3"/>
  <c r="DH69" i="3"/>
  <c r="DF69" i="3"/>
  <c r="DJ69" i="3" s="1"/>
  <c r="DI69" i="3"/>
  <c r="R392" i="1"/>
  <c r="GK392" i="1" s="1"/>
  <c r="CR392" i="1"/>
  <c r="AD390" i="1"/>
  <c r="R390" i="1"/>
  <c r="GK390" i="1" s="1"/>
  <c r="P387" i="1"/>
  <c r="CP387" i="1" s="1"/>
  <c r="O387" i="1" s="1"/>
  <c r="GM387" i="1" s="1"/>
  <c r="GN387" i="1" s="1"/>
  <c r="Q386" i="1"/>
  <c r="Q385" i="1"/>
  <c r="CP385" i="1" s="1"/>
  <c r="O385" i="1" s="1"/>
  <c r="Q384" i="1"/>
  <c r="Q382" i="1"/>
  <c r="Q380" i="1"/>
  <c r="AB375" i="1"/>
  <c r="P375" i="1"/>
  <c r="CP375" i="1" s="1"/>
  <c r="O375" i="1" s="1"/>
  <c r="U374" i="1"/>
  <c r="S373" i="1"/>
  <c r="R330" i="1"/>
  <c r="GK330" i="1" s="1"/>
  <c r="S329" i="1"/>
  <c r="CP324" i="1"/>
  <c r="O324" i="1" s="1"/>
  <c r="GM324" i="1" s="1"/>
  <c r="GN324" i="1" s="1"/>
  <c r="Q272" i="1"/>
  <c r="CP272" i="1" s="1"/>
  <c r="O272" i="1" s="1"/>
  <c r="GM272" i="1" s="1"/>
  <c r="GN272" i="1" s="1"/>
  <c r="S217" i="1"/>
  <c r="I219" i="1"/>
  <c r="P215" i="1"/>
  <c r="CP215" i="1" s="1"/>
  <c r="O215" i="1" s="1"/>
  <c r="CS207" i="1"/>
  <c r="AD207" i="1"/>
  <c r="CR207" i="1"/>
  <c r="W201" i="1"/>
  <c r="CQ199" i="1"/>
  <c r="P199" i="1"/>
  <c r="CP199" i="1" s="1"/>
  <c r="O199" i="1" s="1"/>
  <c r="AB199" i="1"/>
  <c r="GX193" i="1"/>
  <c r="V193" i="1"/>
  <c r="ET91" i="1"/>
  <c r="P161" i="1"/>
  <c r="BC148" i="1"/>
  <c r="CP138" i="1"/>
  <c r="O138" i="1" s="1"/>
  <c r="GM138" i="1" s="1"/>
  <c r="GO138" i="1" s="1"/>
  <c r="CS127" i="1"/>
  <c r="R127" i="1"/>
  <c r="GK127" i="1" s="1"/>
  <c r="CR127" i="1"/>
  <c r="AD122" i="1"/>
  <c r="S101" i="1"/>
  <c r="CT101" i="1"/>
  <c r="U96" i="1"/>
  <c r="W56" i="1"/>
  <c r="T219" i="1"/>
  <c r="CP214" i="1"/>
  <c r="O214" i="1" s="1"/>
  <c r="GM214" i="1" s="1"/>
  <c r="GN214" i="1" s="1"/>
  <c r="W211" i="1"/>
  <c r="AD203" i="1"/>
  <c r="AB203" i="1" s="1"/>
  <c r="R203" i="1"/>
  <c r="GK203" i="1" s="1"/>
  <c r="S193" i="1"/>
  <c r="I195" i="1"/>
  <c r="W195" i="1" s="1"/>
  <c r="Q193" i="1"/>
  <c r="CY187" i="1"/>
  <c r="X187" i="1" s="1"/>
  <c r="CZ187" i="1"/>
  <c r="Y187" i="1" s="1"/>
  <c r="R186" i="1"/>
  <c r="CS186" i="1"/>
  <c r="BB91" i="1"/>
  <c r="F161" i="1"/>
  <c r="CT134" i="1"/>
  <c r="S134" i="1"/>
  <c r="CQ122" i="1"/>
  <c r="P122" i="1"/>
  <c r="AB122" i="1"/>
  <c r="P113" i="1"/>
  <c r="CP113" i="1" s="1"/>
  <c r="O113" i="1" s="1"/>
  <c r="R113" i="1"/>
  <c r="GK113" i="1" s="1"/>
  <c r="CD148" i="1"/>
  <c r="CR101" i="1"/>
  <c r="R101" i="1"/>
  <c r="GK101" i="1" s="1"/>
  <c r="CS101" i="1"/>
  <c r="AD101" i="1"/>
  <c r="AB101" i="1" s="1"/>
  <c r="Q101" i="1"/>
  <c r="CJ148" i="1"/>
  <c r="V56" i="1"/>
  <c r="P53" i="1"/>
  <c r="CP53" i="1" s="1"/>
  <c r="O53" i="1" s="1"/>
  <c r="CQ53" i="1"/>
  <c r="P319" i="1"/>
  <c r="R217" i="1"/>
  <c r="GK217" i="1" s="1"/>
  <c r="AD217" i="1"/>
  <c r="AB217" i="1" s="1"/>
  <c r="AB216" i="1"/>
  <c r="P216" i="1"/>
  <c r="DF35" i="3"/>
  <c r="DJ35" i="3" s="1"/>
  <c r="DG35" i="3"/>
  <c r="DH35" i="3"/>
  <c r="DI35" i="3"/>
  <c r="V211" i="1"/>
  <c r="AB211" i="1"/>
  <c r="Q210" i="1"/>
  <c r="U210" i="1"/>
  <c r="P203" i="1"/>
  <c r="AD186" i="1"/>
  <c r="AB186" i="1" s="1"/>
  <c r="GX146" i="1"/>
  <c r="AB142" i="1"/>
  <c r="P142" i="1"/>
  <c r="CP142" i="1" s="1"/>
  <c r="O142" i="1" s="1"/>
  <c r="GM142" i="1" s="1"/>
  <c r="GO142" i="1" s="1"/>
  <c r="CQ142" i="1"/>
  <c r="CS134" i="1"/>
  <c r="CR134" i="1"/>
  <c r="Q134" i="1"/>
  <c r="R134" i="1"/>
  <c r="GK134" i="1" s="1"/>
  <c r="GX124" i="1"/>
  <c r="V122" i="1"/>
  <c r="EA148" i="1" s="1"/>
  <c r="CS106" i="1"/>
  <c r="CR106" i="1"/>
  <c r="R106" i="1"/>
  <c r="GK106" i="1" s="1"/>
  <c r="V57" i="1"/>
  <c r="R57" i="1"/>
  <c r="GK57" i="1" s="1"/>
  <c r="DG33" i="3"/>
  <c r="DF33" i="3"/>
  <c r="DJ33" i="3" s="1"/>
  <c r="DH33" i="3"/>
  <c r="DI33" i="3"/>
  <c r="AB388" i="1"/>
  <c r="CQ388" i="1"/>
  <c r="R383" i="1"/>
  <c r="GK383" i="1" s="1"/>
  <c r="GM383" i="1" s="1"/>
  <c r="GN383" i="1" s="1"/>
  <c r="AD383" i="1"/>
  <c r="AB383" i="1" s="1"/>
  <c r="AD277" i="1"/>
  <c r="AB277" i="1" s="1"/>
  <c r="R277" i="1"/>
  <c r="GK277" i="1" s="1"/>
  <c r="AD273" i="1"/>
  <c r="AB273" i="1" s="1"/>
  <c r="R273" i="1"/>
  <c r="GK273" i="1" s="1"/>
  <c r="CR273" i="1"/>
  <c r="AB269" i="1"/>
  <c r="CS390" i="1"/>
  <c r="AD386" i="1"/>
  <c r="AD384" i="1"/>
  <c r="AB384" i="1" s="1"/>
  <c r="AD382" i="1"/>
  <c r="AB382" i="1" s="1"/>
  <c r="CQ375" i="1"/>
  <c r="CQ368" i="1"/>
  <c r="S322" i="1"/>
  <c r="CS270" i="1"/>
  <c r="P266" i="1"/>
  <c r="CP266" i="1" s="1"/>
  <c r="O266" i="1" s="1"/>
  <c r="CQ266" i="1"/>
  <c r="AD259" i="1"/>
  <c r="AB259" i="1" s="1"/>
  <c r="Q259" i="1"/>
  <c r="CP259" i="1" s="1"/>
  <c r="O259" i="1" s="1"/>
  <c r="GM259" i="1" s="1"/>
  <c r="GN259" i="1" s="1"/>
  <c r="AD258" i="1"/>
  <c r="AB258" i="1" s="1"/>
  <c r="AD219" i="1"/>
  <c r="AB219" i="1" s="1"/>
  <c r="CR219" i="1"/>
  <c r="CZ209" i="1"/>
  <c r="Y209" i="1" s="1"/>
  <c r="CY209" i="1"/>
  <c r="X209" i="1" s="1"/>
  <c r="AD198" i="1"/>
  <c r="CZ196" i="1"/>
  <c r="Y196" i="1" s="1"/>
  <c r="P198" i="1"/>
  <c r="S198" i="1"/>
  <c r="P186" i="1"/>
  <c r="CQ186" i="1"/>
  <c r="CT144" i="1"/>
  <c r="AB144" i="1"/>
  <c r="AD134" i="1"/>
  <c r="S131" i="1"/>
  <c r="CT131" i="1"/>
  <c r="R122" i="1"/>
  <c r="GK122" i="1" s="1"/>
  <c r="CX2" i="3"/>
  <c r="Q121" i="1"/>
  <c r="AD106" i="1"/>
  <c r="AB106" i="1" s="1"/>
  <c r="CZ95" i="1"/>
  <c r="Y95" i="1" s="1"/>
  <c r="CY95" i="1"/>
  <c r="X95" i="1" s="1"/>
  <c r="GM95" i="1" s="1"/>
  <c r="GO95" i="1" s="1"/>
  <c r="FR148" i="1"/>
  <c r="U57" i="1"/>
  <c r="T56" i="1"/>
  <c r="AG59" i="1" s="1"/>
  <c r="T33" i="1"/>
  <c r="DF41" i="3"/>
  <c r="DJ41" i="3" s="1"/>
  <c r="DG41" i="3"/>
  <c r="DI41" i="3"/>
  <c r="DH41" i="3"/>
  <c r="CX38" i="3"/>
  <c r="DF36" i="3"/>
  <c r="DJ36" i="3" s="1"/>
  <c r="DH36" i="3"/>
  <c r="DI36" i="3"/>
  <c r="DG36" i="3"/>
  <c r="W214" i="1"/>
  <c r="CX34" i="3"/>
  <c r="Q209" i="1"/>
  <c r="V208" i="1"/>
  <c r="Q208" i="1"/>
  <c r="AB201" i="1"/>
  <c r="CQ201" i="1"/>
  <c r="CX29" i="3"/>
  <c r="Q200" i="1"/>
  <c r="S200" i="1"/>
  <c r="P194" i="1"/>
  <c r="AB189" i="1"/>
  <c r="AB187" i="1"/>
  <c r="CP136" i="1"/>
  <c r="O136" i="1" s="1"/>
  <c r="AB127" i="1"/>
  <c r="P127" i="1"/>
  <c r="CQ127" i="1"/>
  <c r="CU13" i="3"/>
  <c r="Q125" i="1"/>
  <c r="CP125" i="1" s="1"/>
  <c r="O125" i="1" s="1"/>
  <c r="S125" i="1"/>
  <c r="V125" i="1"/>
  <c r="W125" i="1"/>
  <c r="GX125" i="1"/>
  <c r="T122" i="1"/>
  <c r="CQ121" i="1"/>
  <c r="P120" i="1"/>
  <c r="CP120" i="1" s="1"/>
  <c r="O120" i="1" s="1"/>
  <c r="CQ120" i="1"/>
  <c r="W113" i="1"/>
  <c r="V103" i="1"/>
  <c r="CY100" i="1"/>
  <c r="X100" i="1" s="1"/>
  <c r="CZ100" i="1"/>
  <c r="Y100" i="1" s="1"/>
  <c r="P98" i="1"/>
  <c r="CQ98" i="1"/>
  <c r="W57" i="1"/>
  <c r="GX56" i="1"/>
  <c r="R43" i="1"/>
  <c r="GK43" i="1" s="1"/>
  <c r="CS43" i="1"/>
  <c r="P42" i="1"/>
  <c r="CQ42" i="1"/>
  <c r="CX60" i="3"/>
  <c r="EI26" i="1"/>
  <c r="P69" i="1"/>
  <c r="BX26" i="1"/>
  <c r="CG59" i="1"/>
  <c r="AO59" i="1"/>
  <c r="CZ36" i="1"/>
  <c r="Y36" i="1" s="1"/>
  <c r="CY36" i="1"/>
  <c r="X36" i="1" s="1"/>
  <c r="DH32" i="3"/>
  <c r="DF32" i="3"/>
  <c r="DJ32" i="3" s="1"/>
  <c r="DG32" i="3"/>
  <c r="DI32" i="3"/>
  <c r="CY205" i="1"/>
  <c r="X205" i="1" s="1"/>
  <c r="CZ205" i="1"/>
  <c r="Y205" i="1" s="1"/>
  <c r="CQ129" i="1"/>
  <c r="P129" i="1"/>
  <c r="CP129" i="1" s="1"/>
  <c r="O129" i="1" s="1"/>
  <c r="GM129" i="1" s="1"/>
  <c r="GO129" i="1" s="1"/>
  <c r="U127" i="1"/>
  <c r="U121" i="1"/>
  <c r="AH148" i="1" s="1"/>
  <c r="S117" i="1"/>
  <c r="CT117" i="1"/>
  <c r="GM111" i="1"/>
  <c r="GO111" i="1" s="1"/>
  <c r="T103" i="1"/>
  <c r="EH26" i="1"/>
  <c r="P68" i="1"/>
  <c r="F84" i="1"/>
  <c r="CS51" i="1"/>
  <c r="Q51" i="1"/>
  <c r="CP51" i="1" s="1"/>
  <c r="O51" i="1" s="1"/>
  <c r="AD51" i="1"/>
  <c r="AB51" i="1" s="1"/>
  <c r="R51" i="1"/>
  <c r="GK51" i="1" s="1"/>
  <c r="BD26" i="1"/>
  <c r="CX53" i="3"/>
  <c r="CU53" i="3"/>
  <c r="CX54" i="3"/>
  <c r="CV53" i="3"/>
  <c r="CW55" i="3"/>
  <c r="V264" i="1"/>
  <c r="AD256" i="1"/>
  <c r="AB256" i="1" s="1"/>
  <c r="CR256" i="1"/>
  <c r="CS256" i="1"/>
  <c r="CS255" i="1"/>
  <c r="EV221" i="1"/>
  <c r="T217" i="1"/>
  <c r="CS216" i="1"/>
  <c r="CR216" i="1"/>
  <c r="Q216" i="1"/>
  <c r="DF37" i="3"/>
  <c r="DJ37" i="3" s="1"/>
  <c r="DG37" i="3"/>
  <c r="DI37" i="3"/>
  <c r="DH37" i="3"/>
  <c r="R215" i="1"/>
  <c r="GK215" i="1" s="1"/>
  <c r="CS208" i="1"/>
  <c r="R205" i="1"/>
  <c r="GK205" i="1" s="1"/>
  <c r="AD205" i="1"/>
  <c r="AB205" i="1" s="1"/>
  <c r="CR204" i="1"/>
  <c r="CS204" i="1"/>
  <c r="S203" i="1"/>
  <c r="T202" i="1"/>
  <c r="CS200" i="1"/>
  <c r="CZ197" i="1"/>
  <c r="Y197" i="1" s="1"/>
  <c r="GM197" i="1" s="1"/>
  <c r="GN197" i="1" s="1"/>
  <c r="CQ194" i="1"/>
  <c r="CS188" i="1"/>
  <c r="CQ187" i="1"/>
  <c r="CD221" i="1"/>
  <c r="FQ91" i="1"/>
  <c r="EH148" i="1"/>
  <c r="GA148" i="1"/>
  <c r="CQ137" i="1"/>
  <c r="CY130" i="1"/>
  <c r="X130" i="1" s="1"/>
  <c r="CZ130" i="1"/>
  <c r="Y130" i="1" s="1"/>
  <c r="AB129" i="1"/>
  <c r="AB126" i="1"/>
  <c r="P126" i="1"/>
  <c r="CQ126" i="1"/>
  <c r="AB123" i="1"/>
  <c r="T121" i="1"/>
  <c r="P121" i="1"/>
  <c r="CP121" i="1" s="1"/>
  <c r="O121" i="1" s="1"/>
  <c r="AD117" i="1"/>
  <c r="AB117" i="1" s="1"/>
  <c r="Q117" i="1"/>
  <c r="CP117" i="1" s="1"/>
  <c r="O117" i="1" s="1"/>
  <c r="R117" i="1"/>
  <c r="GK117" i="1" s="1"/>
  <c r="CR117" i="1"/>
  <c r="CS117" i="1"/>
  <c r="T113" i="1"/>
  <c r="S112" i="1"/>
  <c r="CT112" i="1"/>
  <c r="AB112" i="1"/>
  <c r="S103" i="1"/>
  <c r="CT103" i="1"/>
  <c r="S47" i="1"/>
  <c r="GM30" i="1"/>
  <c r="GN30" i="1" s="1"/>
  <c r="CC59" i="1"/>
  <c r="CS28" i="1"/>
  <c r="CR28" i="1"/>
  <c r="AD28" i="1"/>
  <c r="R28" i="1"/>
  <c r="Q28" i="1"/>
  <c r="R103" i="1"/>
  <c r="GK103" i="1" s="1"/>
  <c r="CR103" i="1"/>
  <c r="CS103" i="1"/>
  <c r="AD103" i="1"/>
  <c r="AB103" i="1" s="1"/>
  <c r="Q99" i="1"/>
  <c r="AD148" i="1" s="1"/>
  <c r="S99" i="1"/>
  <c r="CR97" i="1"/>
  <c r="AD97" i="1"/>
  <c r="AB97" i="1" s="1"/>
  <c r="V96" i="1"/>
  <c r="FR26" i="1"/>
  <c r="GA59" i="1"/>
  <c r="U56" i="1"/>
  <c r="CD59" i="1"/>
  <c r="CY104" i="1"/>
  <c r="X104" i="1" s="1"/>
  <c r="CZ104" i="1"/>
  <c r="Y104" i="1" s="1"/>
  <c r="R102" i="1"/>
  <c r="GK102" i="1" s="1"/>
  <c r="CR102" i="1"/>
  <c r="CS102" i="1"/>
  <c r="AB100" i="1"/>
  <c r="CQ100" i="1"/>
  <c r="P100" i="1"/>
  <c r="CP100" i="1" s="1"/>
  <c r="O100" i="1" s="1"/>
  <c r="GM44" i="1"/>
  <c r="GN44" i="1" s="1"/>
  <c r="CR41" i="1"/>
  <c r="R41" i="1"/>
  <c r="GK41" i="1" s="1"/>
  <c r="CS41" i="1"/>
  <c r="CQ39" i="1"/>
  <c r="AB39" i="1"/>
  <c r="CT33" i="1"/>
  <c r="S33" i="1"/>
  <c r="CR145" i="1"/>
  <c r="CS145" i="1"/>
  <c r="CR135" i="1"/>
  <c r="AD135" i="1"/>
  <c r="AB135" i="1" s="1"/>
  <c r="R107" i="1"/>
  <c r="GK107" i="1" s="1"/>
  <c r="CR107" i="1"/>
  <c r="CS107" i="1"/>
  <c r="AD102" i="1"/>
  <c r="AB102" i="1" s="1"/>
  <c r="U100" i="1"/>
  <c r="R97" i="1"/>
  <c r="GK97" i="1" s="1"/>
  <c r="R96" i="1"/>
  <c r="CR96" i="1"/>
  <c r="CS96" i="1"/>
  <c r="GE26" i="1"/>
  <c r="EV59" i="1"/>
  <c r="CP50" i="1"/>
  <c r="O50" i="1" s="1"/>
  <c r="Q48" i="1"/>
  <c r="R48" i="1"/>
  <c r="GK48" i="1" s="1"/>
  <c r="U48" i="1"/>
  <c r="AH59" i="1" s="1"/>
  <c r="GX48" i="1"/>
  <c r="W48" i="1"/>
  <c r="AJ59" i="1" s="1"/>
  <c r="AD41" i="1"/>
  <c r="AB41" i="1" s="1"/>
  <c r="S32" i="1"/>
  <c r="Q32" i="1"/>
  <c r="GX32" i="1"/>
  <c r="P32" i="1"/>
  <c r="DF17" i="3"/>
  <c r="DH17" i="3"/>
  <c r="DI17" i="3"/>
  <c r="CX14" i="3"/>
  <c r="CS201" i="1"/>
  <c r="CR201" i="1"/>
  <c r="T195" i="1"/>
  <c r="CS187" i="1"/>
  <c r="CR187" i="1"/>
  <c r="AD145" i="1"/>
  <c r="AB145" i="1" s="1"/>
  <c r="S133" i="1"/>
  <c r="CT133" i="1"/>
  <c r="Q130" i="1"/>
  <c r="R130" i="1"/>
  <c r="GK130" i="1" s="1"/>
  <c r="CR126" i="1"/>
  <c r="CS126" i="1"/>
  <c r="Q126" i="1"/>
  <c r="R126" i="1"/>
  <c r="GK126" i="1" s="1"/>
  <c r="S124" i="1"/>
  <c r="CR111" i="1"/>
  <c r="AD111" i="1"/>
  <c r="AB111" i="1" s="1"/>
  <c r="AD107" i="1"/>
  <c r="AB107" i="1" s="1"/>
  <c r="AD96" i="1"/>
  <c r="AB96" i="1" s="1"/>
  <c r="DH68" i="3"/>
  <c r="DF68" i="3"/>
  <c r="DJ68" i="3" s="1"/>
  <c r="DG68" i="3"/>
  <c r="DI68" i="3"/>
  <c r="DF64" i="3"/>
  <c r="DJ64" i="3" s="1"/>
  <c r="DH64" i="3"/>
  <c r="DI64" i="3"/>
  <c r="DG64" i="3"/>
  <c r="CX58" i="3"/>
  <c r="DF25" i="3"/>
  <c r="DJ25" i="3" s="1"/>
  <c r="DI25" i="3"/>
  <c r="DG25" i="3"/>
  <c r="DH25" i="3"/>
  <c r="R99" i="1"/>
  <c r="GK99" i="1" s="1"/>
  <c r="CS99" i="1"/>
  <c r="Q97" i="1"/>
  <c r="CP97" i="1" s="1"/>
  <c r="O97" i="1" s="1"/>
  <c r="P48" i="1"/>
  <c r="CP48" i="1" s="1"/>
  <c r="O48" i="1" s="1"/>
  <c r="AD47" i="1"/>
  <c r="AB47" i="1" s="1"/>
  <c r="CR47" i="1"/>
  <c r="AB33" i="1"/>
  <c r="GM29" i="1"/>
  <c r="CY29" i="1"/>
  <c r="X29" i="1" s="1"/>
  <c r="CZ29" i="1"/>
  <c r="Y29" i="1" s="1"/>
  <c r="DG7" i="3"/>
  <c r="DF7" i="3"/>
  <c r="DI7" i="3"/>
  <c r="DJ7" i="3" s="1"/>
  <c r="DH7" i="3"/>
  <c r="R110" i="1"/>
  <c r="GK110" i="1" s="1"/>
  <c r="GM110" i="1" s="1"/>
  <c r="GO110" i="1" s="1"/>
  <c r="AD110" i="1"/>
  <c r="AB110" i="1" s="1"/>
  <c r="CR104" i="1"/>
  <c r="AD104" i="1"/>
  <c r="AB104" i="1" s="1"/>
  <c r="CS104" i="1"/>
  <c r="CP102" i="1"/>
  <c r="O102" i="1" s="1"/>
  <c r="W97" i="1"/>
  <c r="AB56" i="1"/>
  <c r="CQ55" i="1"/>
  <c r="AB55" i="1"/>
  <c r="CQ48" i="1"/>
  <c r="R47" i="1"/>
  <c r="GK47" i="1" s="1"/>
  <c r="CS38" i="1"/>
  <c r="R38" i="1"/>
  <c r="GK38" i="1" s="1"/>
  <c r="CR38" i="1"/>
  <c r="S37" i="1"/>
  <c r="CT37" i="1"/>
  <c r="V32" i="1"/>
  <c r="DI42" i="3"/>
  <c r="DG42" i="3"/>
  <c r="DH42" i="3"/>
  <c r="S206" i="1"/>
  <c r="DI31" i="3"/>
  <c r="DF31" i="3"/>
  <c r="DJ31" i="3" s="1"/>
  <c r="AB134" i="1"/>
  <c r="CR119" i="1"/>
  <c r="CS119" i="1"/>
  <c r="CZ116" i="1"/>
  <c r="Y116" i="1" s="1"/>
  <c r="AB115" i="1"/>
  <c r="CS113" i="1"/>
  <c r="AD113" i="1"/>
  <c r="AB113" i="1" s="1"/>
  <c r="AB94" i="1"/>
  <c r="AD266" i="1"/>
  <c r="AB266" i="1" s="1"/>
  <c r="AB207" i="1"/>
  <c r="AD138" i="1"/>
  <c r="AB138" i="1" s="1"/>
  <c r="AD136" i="1"/>
  <c r="AB136" i="1" s="1"/>
  <c r="AB133" i="1"/>
  <c r="CZ129" i="1"/>
  <c r="Y129" i="1" s="1"/>
  <c r="R128" i="1"/>
  <c r="GK128" i="1" s="1"/>
  <c r="GM128" i="1" s="1"/>
  <c r="GO128" i="1" s="1"/>
  <c r="CS128" i="1"/>
  <c r="W121" i="1"/>
  <c r="AD119" i="1"/>
  <c r="AB119" i="1" s="1"/>
  <c r="CR108" i="1"/>
  <c r="AD108" i="1"/>
  <c r="AB108" i="1" s="1"/>
  <c r="CS108" i="1"/>
  <c r="P104" i="1"/>
  <c r="CP104" i="1" s="1"/>
  <c r="O104" i="1" s="1"/>
  <c r="CQ104" i="1"/>
  <c r="CS100" i="1"/>
  <c r="R100" i="1"/>
  <c r="GK100" i="1" s="1"/>
  <c r="CR99" i="1"/>
  <c r="CR95" i="1"/>
  <c r="CS95" i="1"/>
  <c r="S56" i="1"/>
  <c r="S51" i="1"/>
  <c r="Q47" i="1"/>
  <c r="T41" i="1"/>
  <c r="CT40" i="1"/>
  <c r="S40" i="1"/>
  <c r="AD38" i="1"/>
  <c r="CR129" i="1"/>
  <c r="CS129" i="1"/>
  <c r="S127" i="1"/>
  <c r="P108" i="1"/>
  <c r="CP108" i="1" s="1"/>
  <c r="O108" i="1" s="1"/>
  <c r="GM108" i="1" s="1"/>
  <c r="GO108" i="1" s="1"/>
  <c r="CQ108" i="1"/>
  <c r="Q106" i="1"/>
  <c r="P54" i="1"/>
  <c r="CQ54" i="1"/>
  <c r="CZ46" i="1"/>
  <c r="Y46" i="1" s="1"/>
  <c r="CY46" i="1"/>
  <c r="X46" i="1" s="1"/>
  <c r="S41" i="1"/>
  <c r="CT41" i="1"/>
  <c r="DG45" i="3"/>
  <c r="DI45" i="3"/>
  <c r="DH45" i="3"/>
  <c r="DF40" i="3"/>
  <c r="DJ40" i="3" s="1"/>
  <c r="DG40" i="3"/>
  <c r="DI40" i="3"/>
  <c r="DH40" i="3"/>
  <c r="S52" i="1"/>
  <c r="CT52" i="1"/>
  <c r="CY43" i="1"/>
  <c r="X43" i="1" s="1"/>
  <c r="CZ43" i="1"/>
  <c r="Y43" i="1" s="1"/>
  <c r="CX18" i="3"/>
  <c r="CW8" i="3"/>
  <c r="CX8" i="3"/>
  <c r="AB118" i="1"/>
  <c r="P118" i="1"/>
  <c r="CP118" i="1" s="1"/>
  <c r="O118" i="1" s="1"/>
  <c r="GX94" i="1"/>
  <c r="AD93" i="1"/>
  <c r="AB93" i="1" s="1"/>
  <c r="EU59" i="1"/>
  <c r="AP59" i="1"/>
  <c r="T57" i="1"/>
  <c r="S55" i="1"/>
  <c r="CT55" i="1"/>
  <c r="AD52" i="1"/>
  <c r="AB52" i="1" s="1"/>
  <c r="CR52" i="1"/>
  <c r="CS52" i="1"/>
  <c r="Q52" i="1"/>
  <c r="AD35" i="1"/>
  <c r="AB35" i="1" s="1"/>
  <c r="R35" i="1"/>
  <c r="GK35" i="1" s="1"/>
  <c r="CX21" i="3"/>
  <c r="CU22" i="3"/>
  <c r="CW23" i="3"/>
  <c r="CX23" i="3"/>
  <c r="CX22" i="3"/>
  <c r="P115" i="1"/>
  <c r="CP115" i="1" s="1"/>
  <c r="O115" i="1" s="1"/>
  <c r="GM115" i="1" s="1"/>
  <c r="GO115" i="1" s="1"/>
  <c r="CQ115" i="1"/>
  <c r="P52" i="1"/>
  <c r="CQ52" i="1"/>
  <c r="S48" i="1"/>
  <c r="U41" i="1"/>
  <c r="FU59" i="1"/>
  <c r="DF70" i="3"/>
  <c r="DJ70" i="3" s="1"/>
  <c r="DI70" i="3"/>
  <c r="DH70" i="3"/>
  <c r="CX16" i="3"/>
  <c r="CR98" i="1"/>
  <c r="AD98" i="1"/>
  <c r="AB98" i="1" s="1"/>
  <c r="BC26" i="1"/>
  <c r="F75" i="1"/>
  <c r="P49" i="1"/>
  <c r="CP49" i="1" s="1"/>
  <c r="O49" i="1" s="1"/>
  <c r="GM49" i="1" s="1"/>
  <c r="GN49" i="1" s="1"/>
  <c r="AB49" i="1"/>
  <c r="V48" i="1"/>
  <c r="Q43" i="1"/>
  <c r="CP43" i="1" s="1"/>
  <c r="O43" i="1" s="1"/>
  <c r="Q39" i="1"/>
  <c r="CP39" i="1" s="1"/>
  <c r="O39" i="1" s="1"/>
  <c r="R39" i="1"/>
  <c r="GK39" i="1" s="1"/>
  <c r="CR39" i="1"/>
  <c r="W33" i="1"/>
  <c r="AB32" i="1"/>
  <c r="CQ32" i="1"/>
  <c r="CP28" i="1"/>
  <c r="O28" i="1" s="1"/>
  <c r="DF63" i="3"/>
  <c r="DJ63" i="3" s="1"/>
  <c r="DG63" i="3"/>
  <c r="DH63" i="3"/>
  <c r="CX56" i="3"/>
  <c r="CX9" i="3"/>
  <c r="R53" i="1"/>
  <c r="GK53" i="1" s="1"/>
  <c r="CR53" i="1"/>
  <c r="AD53" i="1"/>
  <c r="AB53" i="1" s="1"/>
  <c r="Q42" i="1"/>
  <c r="S42" i="1"/>
  <c r="W32" i="1"/>
  <c r="CL26" i="1"/>
  <c r="DF39" i="3"/>
  <c r="DJ39" i="3" s="1"/>
  <c r="DG39" i="3"/>
  <c r="DI39" i="3"/>
  <c r="P47" i="1"/>
  <c r="CQ47" i="1"/>
  <c r="CP46" i="1"/>
  <c r="O46" i="1" s="1"/>
  <c r="GM46" i="1" s="1"/>
  <c r="GN46" i="1" s="1"/>
  <c r="V41" i="1"/>
  <c r="W35" i="1"/>
  <c r="EB59" i="1" s="1"/>
  <c r="U33" i="1"/>
  <c r="CX55" i="3"/>
  <c r="CX26" i="3"/>
  <c r="AB38" i="1"/>
  <c r="CQ38" i="1"/>
  <c r="P38" i="1"/>
  <c r="CP38" i="1" s="1"/>
  <c r="O38" i="1" s="1"/>
  <c r="Q37" i="1"/>
  <c r="R37" i="1"/>
  <c r="GK37" i="1" s="1"/>
  <c r="Q35" i="1"/>
  <c r="S35" i="1"/>
  <c r="CX51" i="3"/>
  <c r="CW51" i="3"/>
  <c r="DF46" i="3"/>
  <c r="DJ46" i="3" s="1"/>
  <c r="DH46" i="3"/>
  <c r="DI46" i="3"/>
  <c r="CX27" i="3"/>
  <c r="CX19" i="3"/>
  <c r="CV7" i="3"/>
  <c r="Q54" i="1"/>
  <c r="AD34" i="1"/>
  <c r="AB34" i="1" s="1"/>
  <c r="CS34" i="1"/>
  <c r="CX48" i="3"/>
  <c r="CV48" i="3"/>
  <c r="CV13" i="3"/>
  <c r="CX13" i="3"/>
  <c r="CX10" i="3"/>
  <c r="AD54" i="1"/>
  <c r="AB54" i="1" s="1"/>
  <c r="AB46" i="1"/>
  <c r="P34" i="1"/>
  <c r="CP34" i="1" s="1"/>
  <c r="O34" i="1" s="1"/>
  <c r="GX33" i="1"/>
  <c r="DI43" i="3"/>
  <c r="DG43" i="3"/>
  <c r="CS54" i="1"/>
  <c r="AB45" i="1"/>
  <c r="CZ38" i="1"/>
  <c r="Y38" i="1" s="1"/>
  <c r="CS36" i="1"/>
  <c r="CR36" i="1"/>
  <c r="AD36" i="1"/>
  <c r="Q36" i="1"/>
  <c r="CP36" i="1" s="1"/>
  <c r="O36" i="1" s="1"/>
  <c r="U35" i="1"/>
  <c r="CZ30" i="1"/>
  <c r="Y30" i="1" s="1"/>
  <c r="K33" i="1"/>
  <c r="I33" i="1"/>
  <c r="V33" i="1" s="1"/>
  <c r="EA59" i="1" s="1"/>
  <c r="DI67" i="3"/>
  <c r="DH67" i="3"/>
  <c r="CS49" i="1"/>
  <c r="CY39" i="1"/>
  <c r="X39" i="1" s="1"/>
  <c r="AB36" i="1"/>
  <c r="CZ31" i="1"/>
  <c r="Y31" i="1" s="1"/>
  <c r="AD29" i="1"/>
  <c r="AB29" i="1" s="1"/>
  <c r="AB28" i="1"/>
  <c r="CX59" i="3"/>
  <c r="CX24" i="3"/>
  <c r="CX15" i="3"/>
  <c r="Q40" i="1"/>
  <c r="R32" i="1"/>
  <c r="GK32" i="1" s="1"/>
  <c r="CP31" i="1"/>
  <c r="O31" i="1" s="1"/>
  <c r="CV22" i="3"/>
  <c r="CW14" i="3"/>
  <c r="CS32" i="1"/>
  <c r="CW11" i="3"/>
  <c r="CV4" i="3"/>
  <c r="CW54" i="3"/>
  <c r="CW20" i="3"/>
  <c r="CW2" i="3"/>
  <c r="J359" i="7" l="1"/>
  <c r="H378" i="7"/>
  <c r="X275" i="7"/>
  <c r="I15" i="7" s="1"/>
  <c r="I14" i="7" s="1"/>
  <c r="H288" i="7"/>
  <c r="X288" i="7"/>
  <c r="O359" i="7"/>
  <c r="O378" i="7"/>
  <c r="O350" i="7"/>
  <c r="H381" i="7" s="1"/>
  <c r="P326" i="7"/>
  <c r="X359" i="7"/>
  <c r="I16" i="7"/>
  <c r="P275" i="7"/>
  <c r="J329" i="7" s="1"/>
  <c r="H326" i="7"/>
  <c r="X301" i="7"/>
  <c r="H275" i="7"/>
  <c r="P350" i="7"/>
  <c r="J381" i="7" s="1"/>
  <c r="H205" i="7"/>
  <c r="P301" i="7"/>
  <c r="J205" i="7"/>
  <c r="X368" i="7"/>
  <c r="H301" i="7"/>
  <c r="O301" i="7"/>
  <c r="H391" i="7" s="1"/>
  <c r="J391" i="7"/>
  <c r="J76" i="7"/>
  <c r="H76" i="7"/>
  <c r="I19" i="7"/>
  <c r="EA26" i="1"/>
  <c r="DN59" i="1"/>
  <c r="AH253" i="1"/>
  <c r="U282" i="1"/>
  <c r="AD91" i="1"/>
  <c r="Q148" i="1"/>
  <c r="EA91" i="1"/>
  <c r="DN148" i="1"/>
  <c r="EB26" i="1"/>
  <c r="DO59" i="1"/>
  <c r="AJ26" i="1"/>
  <c r="W59" i="1"/>
  <c r="T333" i="1"/>
  <c r="AG314" i="1"/>
  <c r="CY32" i="1"/>
  <c r="X32" i="1" s="1"/>
  <c r="AK59" i="1" s="1"/>
  <c r="CZ32" i="1"/>
  <c r="Y32" i="1" s="1"/>
  <c r="AF59" i="1"/>
  <c r="CY33" i="1"/>
  <c r="X33" i="1" s="1"/>
  <c r="EC59" i="1" s="1"/>
  <c r="CZ33" i="1"/>
  <c r="Y33" i="1" s="1"/>
  <c r="DX59" i="1"/>
  <c r="CZ99" i="1"/>
  <c r="Y99" i="1" s="1"/>
  <c r="CY99" i="1"/>
  <c r="X99" i="1" s="1"/>
  <c r="GA91" i="1"/>
  <c r="ER148" i="1"/>
  <c r="CZ117" i="1"/>
  <c r="Y117" i="1" s="1"/>
  <c r="CY117" i="1"/>
  <c r="X117" i="1" s="1"/>
  <c r="GM117" i="1" s="1"/>
  <c r="GO117" i="1" s="1"/>
  <c r="AX221" i="1"/>
  <c r="CG184" i="1"/>
  <c r="EG180" i="1"/>
  <c r="P428" i="1"/>
  <c r="DY333" i="1"/>
  <c r="CY47" i="1"/>
  <c r="X47" i="1" s="1"/>
  <c r="CZ47" i="1"/>
  <c r="Y47" i="1" s="1"/>
  <c r="AH91" i="1"/>
  <c r="U148" i="1"/>
  <c r="CZ200" i="1"/>
  <c r="Y200" i="1" s="1"/>
  <c r="CY200" i="1"/>
  <c r="X200" i="1" s="1"/>
  <c r="CP186" i="1"/>
  <c r="O186" i="1" s="1"/>
  <c r="AC221" i="1"/>
  <c r="DO148" i="1"/>
  <c r="EB91" i="1"/>
  <c r="FY91" i="1"/>
  <c r="EP148" i="1"/>
  <c r="GM31" i="1"/>
  <c r="GN31" i="1" s="1"/>
  <c r="DH48" i="3"/>
  <c r="DG48" i="3"/>
  <c r="DI48" i="3"/>
  <c r="DJ48" i="3" s="1"/>
  <c r="DF48" i="3"/>
  <c r="CZ35" i="1"/>
  <c r="Y35" i="1" s="1"/>
  <c r="CY35" i="1"/>
  <c r="X35" i="1" s="1"/>
  <c r="DY221" i="1"/>
  <c r="GM121" i="1"/>
  <c r="GO121" i="1" s="1"/>
  <c r="CP98" i="1"/>
  <c r="O98" i="1" s="1"/>
  <c r="DU148" i="1"/>
  <c r="GM215" i="1"/>
  <c r="GN215" i="1" s="1"/>
  <c r="CY263" i="1"/>
  <c r="X263" i="1" s="1"/>
  <c r="CZ263" i="1"/>
  <c r="Y263" i="1" s="1"/>
  <c r="AE282" i="1"/>
  <c r="EL365" i="1"/>
  <c r="P412" i="1"/>
  <c r="P219" i="1"/>
  <c r="Q219" i="1"/>
  <c r="R219" i="1"/>
  <c r="GK219" i="1" s="1"/>
  <c r="S219" i="1"/>
  <c r="GX219" i="1"/>
  <c r="U219" i="1"/>
  <c r="DN394" i="1"/>
  <c r="EA365" i="1"/>
  <c r="CP380" i="1"/>
  <c r="O380" i="1" s="1"/>
  <c r="BD184" i="1"/>
  <c r="F246" i="1"/>
  <c r="BD424" i="1"/>
  <c r="AG221" i="1"/>
  <c r="CY103" i="1"/>
  <c r="X103" i="1" s="1"/>
  <c r="CZ103" i="1"/>
  <c r="Y103" i="1" s="1"/>
  <c r="GM101" i="1"/>
  <c r="GN101" i="1" s="1"/>
  <c r="W219" i="1"/>
  <c r="CP322" i="1"/>
  <c r="O322" i="1" s="1"/>
  <c r="CY261" i="1"/>
  <c r="X261" i="1" s="1"/>
  <c r="AK282" i="1" s="1"/>
  <c r="CZ261" i="1"/>
  <c r="Y261" i="1" s="1"/>
  <c r="AF282" i="1"/>
  <c r="ER221" i="1"/>
  <c r="GA184" i="1"/>
  <c r="CY127" i="1"/>
  <c r="X127" i="1" s="1"/>
  <c r="CZ127" i="1"/>
  <c r="Y127" i="1" s="1"/>
  <c r="GM48" i="1"/>
  <c r="GN48" i="1" s="1"/>
  <c r="CY218" i="1"/>
  <c r="X218" i="1" s="1"/>
  <c r="CZ218" i="1"/>
  <c r="Y218" i="1" s="1"/>
  <c r="GM371" i="1"/>
  <c r="GN371" i="1" s="1"/>
  <c r="AT253" i="1"/>
  <c r="F300" i="1"/>
  <c r="GM97" i="1"/>
  <c r="GO97" i="1" s="1"/>
  <c r="CP203" i="1"/>
  <c r="O203" i="1" s="1"/>
  <c r="DY26" i="1"/>
  <c r="DL59" i="1"/>
  <c r="CG253" i="1"/>
  <c r="AX282" i="1"/>
  <c r="CY109" i="1"/>
  <c r="X109" i="1" s="1"/>
  <c r="CZ109" i="1"/>
  <c r="Y109" i="1" s="1"/>
  <c r="CP372" i="1"/>
  <c r="O372" i="1" s="1"/>
  <c r="GM372" i="1" s="1"/>
  <c r="GN372" i="1" s="1"/>
  <c r="DU394" i="1"/>
  <c r="CP52" i="1"/>
  <c r="O52" i="1" s="1"/>
  <c r="GM52" i="1" s="1"/>
  <c r="GN52" i="1" s="1"/>
  <c r="CY212" i="1"/>
  <c r="X212" i="1" s="1"/>
  <c r="CZ212" i="1"/>
  <c r="Y212" i="1" s="1"/>
  <c r="GM189" i="1"/>
  <c r="GN189" i="1" s="1"/>
  <c r="CY114" i="1"/>
  <c r="X114" i="1" s="1"/>
  <c r="CZ114" i="1"/>
  <c r="Y114" i="1" s="1"/>
  <c r="DV333" i="1"/>
  <c r="W282" i="1"/>
  <c r="AJ253" i="1"/>
  <c r="GM257" i="1"/>
  <c r="GN257" i="1" s="1"/>
  <c r="CZ186" i="1"/>
  <c r="Y186" i="1" s="1"/>
  <c r="CY186" i="1"/>
  <c r="X186" i="1" s="1"/>
  <c r="AF221" i="1"/>
  <c r="GM36" i="1"/>
  <c r="GN36" i="1" s="1"/>
  <c r="DG27" i="3"/>
  <c r="DF27" i="3"/>
  <c r="DJ27" i="3" s="1"/>
  <c r="DH27" i="3"/>
  <c r="DI27" i="3"/>
  <c r="DF18" i="3"/>
  <c r="DJ18" i="3" s="1"/>
  <c r="DG18" i="3"/>
  <c r="DI18" i="3"/>
  <c r="DH18" i="3"/>
  <c r="CP42" i="1"/>
  <c r="O42" i="1" s="1"/>
  <c r="GM42" i="1" s="1"/>
  <c r="GN42" i="1" s="1"/>
  <c r="GM120" i="1"/>
  <c r="GO120" i="1" s="1"/>
  <c r="GM113" i="1"/>
  <c r="GO113" i="1" s="1"/>
  <c r="CY101" i="1"/>
  <c r="X101" i="1" s="1"/>
  <c r="CZ101" i="1"/>
  <c r="Y101" i="1" s="1"/>
  <c r="V219" i="1"/>
  <c r="CC184" i="1"/>
  <c r="AT221" i="1"/>
  <c r="CY374" i="1"/>
  <c r="X374" i="1" s="1"/>
  <c r="CZ374" i="1"/>
  <c r="Y374" i="1" s="1"/>
  <c r="CP374" i="1"/>
  <c r="O374" i="1" s="1"/>
  <c r="GM374" i="1" s="1"/>
  <c r="GN374" i="1" s="1"/>
  <c r="F346" i="1"/>
  <c r="BB314" i="1"/>
  <c r="BB424" i="1"/>
  <c r="EL253" i="1"/>
  <c r="P300" i="1"/>
  <c r="FY365" i="1"/>
  <c r="EP394" i="1"/>
  <c r="DH26" i="3"/>
  <c r="DG26" i="3"/>
  <c r="DI26" i="3"/>
  <c r="DF26" i="3"/>
  <c r="DJ26" i="3" s="1"/>
  <c r="CZ41" i="1"/>
  <c r="Y41" i="1" s="1"/>
  <c r="CY41" i="1"/>
  <c r="X41" i="1" s="1"/>
  <c r="GM41" i="1" s="1"/>
  <c r="GN41" i="1" s="1"/>
  <c r="GM104" i="1"/>
  <c r="GO104" i="1" s="1"/>
  <c r="CP109" i="1"/>
  <c r="O109" i="1" s="1"/>
  <c r="GM109" i="1" s="1"/>
  <c r="GO109" i="1" s="1"/>
  <c r="GM136" i="1"/>
  <c r="GO136" i="1" s="1"/>
  <c r="DF34" i="3"/>
  <c r="DJ34" i="3" s="1"/>
  <c r="DG34" i="3"/>
  <c r="DH34" i="3"/>
  <c r="DI34" i="3"/>
  <c r="AG26" i="1"/>
  <c r="T59" i="1"/>
  <c r="CP212" i="1"/>
  <c r="O212" i="1" s="1"/>
  <c r="CP124" i="1"/>
  <c r="O124" i="1" s="1"/>
  <c r="DN282" i="1"/>
  <c r="EA253" i="1"/>
  <c r="AQ282" i="1"/>
  <c r="BZ253" i="1"/>
  <c r="CI282" i="1"/>
  <c r="BZ91" i="1"/>
  <c r="AQ148" i="1"/>
  <c r="CI148" i="1"/>
  <c r="CG148" i="1"/>
  <c r="CY256" i="1"/>
  <c r="X256" i="1" s="1"/>
  <c r="EC282" i="1" s="1"/>
  <c r="DX282" i="1"/>
  <c r="CZ256" i="1"/>
  <c r="Y256" i="1" s="1"/>
  <c r="ED282" i="1" s="1"/>
  <c r="CJ333" i="1"/>
  <c r="DG62" i="3"/>
  <c r="DF62" i="3"/>
  <c r="DJ62" i="3" s="1"/>
  <c r="DI62" i="3"/>
  <c r="DH62" i="3"/>
  <c r="CY211" i="1"/>
  <c r="X211" i="1" s="1"/>
  <c r="CZ211" i="1"/>
  <c r="Y211" i="1" s="1"/>
  <c r="CP99" i="1"/>
  <c r="O99" i="1" s="1"/>
  <c r="AB148" i="1" s="1"/>
  <c r="AC148" i="1"/>
  <c r="CP193" i="1"/>
  <c r="O193" i="1" s="1"/>
  <c r="DU221" i="1"/>
  <c r="CP317" i="1"/>
  <c r="O317" i="1" s="1"/>
  <c r="AD221" i="1"/>
  <c r="F352" i="1"/>
  <c r="AU314" i="1"/>
  <c r="GK96" i="1"/>
  <c r="DW148" i="1"/>
  <c r="P152" i="1"/>
  <c r="EG91" i="1"/>
  <c r="GN29" i="1"/>
  <c r="DF58" i="3"/>
  <c r="DJ58" i="3" s="1"/>
  <c r="DG58" i="3"/>
  <c r="DI58" i="3"/>
  <c r="DH58" i="3"/>
  <c r="EH91" i="1"/>
  <c r="P157" i="1"/>
  <c r="EV184" i="1"/>
  <c r="P246" i="1"/>
  <c r="EV424" i="1"/>
  <c r="F63" i="1"/>
  <c r="AO26" i="1"/>
  <c r="AO454" i="1"/>
  <c r="DG11" i="3"/>
  <c r="DJ11" i="3" s="1"/>
  <c r="DH11" i="3"/>
  <c r="DF11" i="3"/>
  <c r="DI11" i="3"/>
  <c r="EG26" i="1"/>
  <c r="EG454" i="1"/>
  <c r="P63" i="1"/>
  <c r="GM39" i="1"/>
  <c r="GN39" i="1" s="1"/>
  <c r="CY124" i="1"/>
  <c r="X124" i="1" s="1"/>
  <c r="CZ124" i="1"/>
  <c r="Y124" i="1" s="1"/>
  <c r="BC91" i="1"/>
  <c r="BC454" i="1"/>
  <c r="F164" i="1"/>
  <c r="DY365" i="1"/>
  <c r="DL394" i="1"/>
  <c r="AZ333" i="1"/>
  <c r="CI314" i="1"/>
  <c r="CZ96" i="1"/>
  <c r="Y96" i="1" s="1"/>
  <c r="CY96" i="1"/>
  <c r="X96" i="1" s="1"/>
  <c r="EC148" i="1" s="1"/>
  <c r="DX148" i="1"/>
  <c r="GM211" i="1"/>
  <c r="GN211" i="1" s="1"/>
  <c r="Q323" i="1"/>
  <c r="CP323" i="1" s="1"/>
  <c r="O323" i="1" s="1"/>
  <c r="R323" i="1"/>
  <c r="GK323" i="1" s="1"/>
  <c r="V323" i="1"/>
  <c r="EA333" i="1" s="1"/>
  <c r="GX323" i="1"/>
  <c r="GB333" i="1" s="1"/>
  <c r="S323" i="1"/>
  <c r="T323" i="1"/>
  <c r="W323" i="1"/>
  <c r="GM320" i="1"/>
  <c r="GN320" i="1" s="1"/>
  <c r="CY215" i="1"/>
  <c r="X215" i="1" s="1"/>
  <c r="CZ215" i="1"/>
  <c r="Y215" i="1" s="1"/>
  <c r="GK276" i="1"/>
  <c r="DW282" i="1"/>
  <c r="GM378" i="1"/>
  <c r="GN378" i="1" s="1"/>
  <c r="CZ146" i="1"/>
  <c r="Y146" i="1" s="1"/>
  <c r="CY146" i="1"/>
  <c r="X146" i="1" s="1"/>
  <c r="CY37" i="1"/>
  <c r="X37" i="1" s="1"/>
  <c r="CZ37" i="1"/>
  <c r="Y37" i="1" s="1"/>
  <c r="DV148" i="1"/>
  <c r="AH26" i="1"/>
  <c r="U59" i="1"/>
  <c r="CY322" i="1"/>
  <c r="X322" i="1" s="1"/>
  <c r="CZ322" i="1"/>
  <c r="Y322" i="1" s="1"/>
  <c r="CP35" i="1"/>
  <c r="O35" i="1" s="1"/>
  <c r="GM35" i="1" s="1"/>
  <c r="GN35" i="1" s="1"/>
  <c r="CY217" i="1"/>
  <c r="X217" i="1" s="1"/>
  <c r="CZ217" i="1"/>
  <c r="Y217" i="1" s="1"/>
  <c r="CP217" i="1"/>
  <c r="O217" i="1" s="1"/>
  <c r="GM217" i="1" s="1"/>
  <c r="GN217" i="1" s="1"/>
  <c r="AO253" i="1"/>
  <c r="F286" i="1"/>
  <c r="DF20" i="3"/>
  <c r="DH20" i="3"/>
  <c r="DI20" i="3"/>
  <c r="DG20" i="3"/>
  <c r="DJ20" i="3" s="1"/>
  <c r="CY326" i="1"/>
  <c r="X326" i="1" s="1"/>
  <c r="CZ326" i="1"/>
  <c r="Y326" i="1" s="1"/>
  <c r="CY213" i="1"/>
  <c r="X213" i="1" s="1"/>
  <c r="GM213" i="1" s="1"/>
  <c r="GN213" i="1" s="1"/>
  <c r="CZ213" i="1"/>
  <c r="Y213" i="1" s="1"/>
  <c r="V394" i="1"/>
  <c r="AI365" i="1"/>
  <c r="DZ365" i="1"/>
  <c r="DM394" i="1"/>
  <c r="GK186" i="1"/>
  <c r="AC282" i="1"/>
  <c r="FR184" i="1"/>
  <c r="EI221" i="1"/>
  <c r="FY221" i="1"/>
  <c r="GM56" i="1"/>
  <c r="GN56" i="1" s="1"/>
  <c r="DG57" i="3"/>
  <c r="DF57" i="3"/>
  <c r="DJ57" i="3" s="1"/>
  <c r="DI57" i="3"/>
  <c r="DH57" i="3"/>
  <c r="CJ365" i="1"/>
  <c r="BA394" i="1"/>
  <c r="DF8" i="3"/>
  <c r="DG8" i="3"/>
  <c r="DJ8" i="3" s="1"/>
  <c r="DH8" i="3"/>
  <c r="DI8" i="3"/>
  <c r="AU148" i="1"/>
  <c r="CD91" i="1"/>
  <c r="DZ148" i="1"/>
  <c r="GM196" i="1"/>
  <c r="GN196" i="1" s="1"/>
  <c r="CY98" i="1"/>
  <c r="X98" i="1" s="1"/>
  <c r="CZ98" i="1"/>
  <c r="Y98" i="1" s="1"/>
  <c r="AH394" i="1"/>
  <c r="GB26" i="1"/>
  <c r="ES59" i="1"/>
  <c r="GK317" i="1"/>
  <c r="ET180" i="1"/>
  <c r="P437" i="1"/>
  <c r="ET454" i="1"/>
  <c r="DX365" i="1"/>
  <c r="DK394" i="1"/>
  <c r="GM381" i="1"/>
  <c r="GN381" i="1" s="1"/>
  <c r="U323" i="1"/>
  <c r="CP127" i="1"/>
  <c r="O127" i="1" s="1"/>
  <c r="CZ131" i="1"/>
  <c r="Y131" i="1" s="1"/>
  <c r="CY131" i="1"/>
  <c r="X131" i="1" s="1"/>
  <c r="GM131" i="1" s="1"/>
  <c r="GN131" i="1" s="1"/>
  <c r="CP319" i="1"/>
  <c r="O319" i="1" s="1"/>
  <c r="DU333" i="1"/>
  <c r="DG10" i="3"/>
  <c r="DH10" i="3"/>
  <c r="DI10" i="3"/>
  <c r="DJ10" i="3" s="1"/>
  <c r="DF10" i="3"/>
  <c r="DI55" i="3"/>
  <c r="DF55" i="3"/>
  <c r="DH55" i="3"/>
  <c r="DG55" i="3"/>
  <c r="DJ55" i="3" s="1"/>
  <c r="CZ42" i="1"/>
  <c r="Y42" i="1" s="1"/>
  <c r="CY42" i="1"/>
  <c r="X42" i="1" s="1"/>
  <c r="DG22" i="3"/>
  <c r="DI22" i="3"/>
  <c r="DJ22" i="3" s="1"/>
  <c r="DH22" i="3"/>
  <c r="DF22" i="3"/>
  <c r="CJ59" i="1"/>
  <c r="CY203" i="1"/>
  <c r="X203" i="1" s="1"/>
  <c r="CZ203" i="1"/>
  <c r="Y203" i="1" s="1"/>
  <c r="GM53" i="1"/>
  <c r="GN53" i="1" s="1"/>
  <c r="P164" i="1"/>
  <c r="EU91" i="1"/>
  <c r="AE148" i="1"/>
  <c r="CZ194" i="1"/>
  <c r="Y194" i="1" s="1"/>
  <c r="CY194" i="1"/>
  <c r="X194" i="1" s="1"/>
  <c r="CP146" i="1"/>
  <c r="O146" i="1" s="1"/>
  <c r="AI253" i="1"/>
  <c r="V282" i="1"/>
  <c r="AJ333" i="1"/>
  <c r="EI333" i="1"/>
  <c r="FR314" i="1"/>
  <c r="FY333" i="1"/>
  <c r="GA333" i="1"/>
  <c r="CY380" i="1"/>
  <c r="X380" i="1" s="1"/>
  <c r="CZ380" i="1"/>
  <c r="Y380" i="1" s="1"/>
  <c r="DV394" i="1"/>
  <c r="AJ221" i="1"/>
  <c r="AU253" i="1"/>
  <c r="F301" i="1"/>
  <c r="CY316" i="1"/>
  <c r="X316" i="1" s="1"/>
  <c r="CZ316" i="1"/>
  <c r="Y316" i="1" s="1"/>
  <c r="EH253" i="1"/>
  <c r="P291" i="1"/>
  <c r="DH13" i="3"/>
  <c r="DI13" i="3"/>
  <c r="DJ13" i="3" s="1"/>
  <c r="DF13" i="3"/>
  <c r="DG13" i="3"/>
  <c r="DZ59" i="1"/>
  <c r="DG16" i="3"/>
  <c r="DH16" i="3"/>
  <c r="DF16" i="3"/>
  <c r="DI16" i="3"/>
  <c r="DJ16" i="3" s="1"/>
  <c r="CC26" i="1"/>
  <c r="AT59" i="1"/>
  <c r="DI53" i="3"/>
  <c r="DJ53" i="3" s="1"/>
  <c r="DH53" i="3"/>
  <c r="DG53" i="3"/>
  <c r="DF53" i="3"/>
  <c r="DY148" i="1"/>
  <c r="FR91" i="1"/>
  <c r="EI148" i="1"/>
  <c r="CP190" i="1"/>
  <c r="O190" i="1" s="1"/>
  <c r="GM130" i="1"/>
  <c r="GO130" i="1" s="1"/>
  <c r="DL282" i="1"/>
  <c r="DY253" i="1"/>
  <c r="CY97" i="1"/>
  <c r="X97" i="1" s="1"/>
  <c r="CZ97" i="1"/>
  <c r="Y97" i="1" s="1"/>
  <c r="CP326" i="1"/>
  <c r="O326" i="1" s="1"/>
  <c r="CI365" i="1"/>
  <c r="AZ394" i="1"/>
  <c r="AI91" i="1"/>
  <c r="V148" i="1"/>
  <c r="CY122" i="1"/>
  <c r="X122" i="1" s="1"/>
  <c r="CZ122" i="1"/>
  <c r="Y122" i="1" s="1"/>
  <c r="DZ253" i="1"/>
  <c r="DM282" i="1"/>
  <c r="P331" i="1"/>
  <c r="Q331" i="1"/>
  <c r="S331" i="1"/>
  <c r="U331" i="1"/>
  <c r="W331" i="1"/>
  <c r="V331" i="1"/>
  <c r="R331" i="1"/>
  <c r="GK331" i="1" s="1"/>
  <c r="AD282" i="1"/>
  <c r="FY26" i="1"/>
  <c r="EP59" i="1"/>
  <c r="CP96" i="1"/>
  <c r="O96" i="1" s="1"/>
  <c r="F351" i="1"/>
  <c r="AT314" i="1"/>
  <c r="CG365" i="1"/>
  <c r="AX394" i="1"/>
  <c r="EM314" i="1"/>
  <c r="P352" i="1"/>
  <c r="AP26" i="1"/>
  <c r="F68" i="1"/>
  <c r="AP454" i="1"/>
  <c r="CZ206" i="1"/>
  <c r="Y206" i="1" s="1"/>
  <c r="CY206" i="1"/>
  <c r="X206" i="1" s="1"/>
  <c r="CP200" i="1"/>
  <c r="O200" i="1" s="1"/>
  <c r="CY329" i="1"/>
  <c r="X329" i="1" s="1"/>
  <c r="CZ329" i="1"/>
  <c r="Y329" i="1" s="1"/>
  <c r="BC184" i="1"/>
  <c r="BC424" i="1"/>
  <c r="F237" i="1"/>
  <c r="FU314" i="1"/>
  <c r="EL333" i="1"/>
  <c r="DV253" i="1"/>
  <c r="DI282" i="1"/>
  <c r="AQ333" i="1"/>
  <c r="BZ314" i="1"/>
  <c r="CG333" i="1"/>
  <c r="DW394" i="1"/>
  <c r="GK370" i="1"/>
  <c r="DF15" i="3"/>
  <c r="DJ15" i="3" s="1"/>
  <c r="DI15" i="3"/>
  <c r="DH15" i="3"/>
  <c r="DG15" i="3"/>
  <c r="ED59" i="1"/>
  <c r="CP32" i="1"/>
  <c r="O32" i="1" s="1"/>
  <c r="GM32" i="1" s="1"/>
  <c r="GN32" i="1" s="1"/>
  <c r="AC59" i="1"/>
  <c r="GM100" i="1"/>
  <c r="GO100" i="1" s="1"/>
  <c r="GA26" i="1"/>
  <c r="ER59" i="1"/>
  <c r="GK28" i="1"/>
  <c r="GM28" i="1" s="1"/>
  <c r="AE59" i="1"/>
  <c r="DF60" i="3"/>
  <c r="DJ60" i="3" s="1"/>
  <c r="DI60" i="3"/>
  <c r="DG60" i="3"/>
  <c r="DH60" i="3"/>
  <c r="CJ91" i="1"/>
  <c r="BA148" i="1"/>
  <c r="GM94" i="1"/>
  <c r="CY377" i="1"/>
  <c r="X377" i="1" s="1"/>
  <c r="GM377" i="1" s="1"/>
  <c r="GN377" i="1" s="1"/>
  <c r="CZ377" i="1"/>
  <c r="Y377" i="1" s="1"/>
  <c r="CY140" i="1"/>
  <c r="X140" i="1" s="1"/>
  <c r="CZ140" i="1"/>
  <c r="Y140" i="1" s="1"/>
  <c r="CP140" i="1"/>
  <c r="O140" i="1" s="1"/>
  <c r="GM140" i="1" s="1"/>
  <c r="GO140" i="1" s="1"/>
  <c r="GM204" i="1"/>
  <c r="GN204" i="1" s="1"/>
  <c r="CY93" i="1"/>
  <c r="X93" i="1" s="1"/>
  <c r="AK148" i="1" s="1"/>
  <c r="AF148" i="1"/>
  <c r="CZ93" i="1"/>
  <c r="Y93" i="1" s="1"/>
  <c r="GM187" i="1"/>
  <c r="P301" i="1"/>
  <c r="EM253" i="1"/>
  <c r="GM274" i="1"/>
  <c r="GN274" i="1" s="1"/>
  <c r="AG365" i="1"/>
  <c r="T394" i="1"/>
  <c r="CJ221" i="1"/>
  <c r="GM34" i="1"/>
  <c r="GN34" i="1" s="1"/>
  <c r="GM38" i="1"/>
  <c r="GN38" i="1" s="1"/>
  <c r="GB148" i="1"/>
  <c r="CY56" i="1"/>
  <c r="X56" i="1" s="1"/>
  <c r="CZ56" i="1"/>
  <c r="Y56" i="1" s="1"/>
  <c r="AJ148" i="1"/>
  <c r="CZ133" i="1"/>
  <c r="Y133" i="1" s="1"/>
  <c r="CY133" i="1"/>
  <c r="X133" i="1" s="1"/>
  <c r="CP133" i="1"/>
  <c r="O133" i="1" s="1"/>
  <c r="GM133" i="1" s="1"/>
  <c r="GO133" i="1" s="1"/>
  <c r="CY134" i="1"/>
  <c r="X134" i="1" s="1"/>
  <c r="GM134" i="1" s="1"/>
  <c r="GO134" i="1" s="1"/>
  <c r="CZ134" i="1"/>
  <c r="Y134" i="1" s="1"/>
  <c r="CP321" i="1"/>
  <c r="O321" i="1" s="1"/>
  <c r="GM321" i="1" s="1"/>
  <c r="GN321" i="1" s="1"/>
  <c r="GM390" i="1"/>
  <c r="GN390" i="1" s="1"/>
  <c r="CP206" i="1"/>
  <c r="O206" i="1" s="1"/>
  <c r="GX195" i="1"/>
  <c r="GB221" i="1" s="1"/>
  <c r="FY253" i="1"/>
  <c r="EP282" i="1"/>
  <c r="CY207" i="1"/>
  <c r="X207" i="1" s="1"/>
  <c r="CZ207" i="1"/>
  <c r="Y207" i="1" s="1"/>
  <c r="GM207" i="1" s="1"/>
  <c r="GN207" i="1" s="1"/>
  <c r="DF59" i="3"/>
  <c r="DJ59" i="3" s="1"/>
  <c r="DI59" i="3"/>
  <c r="DG59" i="3"/>
  <c r="DH59" i="3"/>
  <c r="DF19" i="3"/>
  <c r="DH19" i="3"/>
  <c r="DI19" i="3"/>
  <c r="DJ19" i="3" s="1"/>
  <c r="DG19" i="3"/>
  <c r="CY48" i="1"/>
  <c r="X48" i="1" s="1"/>
  <c r="CZ48" i="1"/>
  <c r="Y48" i="1" s="1"/>
  <c r="GM118" i="1"/>
  <c r="GO118" i="1" s="1"/>
  <c r="AI59" i="1"/>
  <c r="GM102" i="1"/>
  <c r="GN102" i="1" s="1"/>
  <c r="DH54" i="3"/>
  <c r="DI54" i="3"/>
  <c r="DG54" i="3"/>
  <c r="DJ54" i="3" s="1"/>
  <c r="DF54" i="3"/>
  <c r="AG148" i="1"/>
  <c r="CP216" i="1"/>
  <c r="O216" i="1" s="1"/>
  <c r="GM216" i="1" s="1"/>
  <c r="GN216" i="1" s="1"/>
  <c r="CY373" i="1"/>
  <c r="X373" i="1" s="1"/>
  <c r="CP373" i="1"/>
  <c r="O373" i="1" s="1"/>
  <c r="CZ373" i="1"/>
  <c r="Y373" i="1" s="1"/>
  <c r="CY34" i="1"/>
  <c r="X34" i="1" s="1"/>
  <c r="CZ34" i="1"/>
  <c r="Y34" i="1" s="1"/>
  <c r="CY120" i="1"/>
  <c r="X120" i="1" s="1"/>
  <c r="CZ120" i="1"/>
  <c r="Y120" i="1" s="1"/>
  <c r="BZ26" i="1"/>
  <c r="AQ59" i="1"/>
  <c r="CI59" i="1"/>
  <c r="CP276" i="1"/>
  <c r="O276" i="1" s="1"/>
  <c r="GM276" i="1" s="1"/>
  <c r="GN276" i="1" s="1"/>
  <c r="ED148" i="1"/>
  <c r="EI253" i="1"/>
  <c r="P292" i="1"/>
  <c r="CP382" i="1"/>
  <c r="O382" i="1" s="1"/>
  <c r="GM382" i="1" s="1"/>
  <c r="GN382" i="1" s="1"/>
  <c r="CP57" i="1"/>
  <c r="O57" i="1" s="1"/>
  <c r="CZ143" i="1"/>
  <c r="Y143" i="1" s="1"/>
  <c r="CY143" i="1"/>
  <c r="X143" i="1" s="1"/>
  <c r="GM143" i="1" s="1"/>
  <c r="GO143" i="1" s="1"/>
  <c r="DG4" i="3"/>
  <c r="DI4" i="3"/>
  <c r="DJ4" i="3" s="1"/>
  <c r="DH4" i="3"/>
  <c r="DF4" i="3"/>
  <c r="CP208" i="1"/>
  <c r="O208" i="1" s="1"/>
  <c r="GM208" i="1" s="1"/>
  <c r="GN208" i="1" s="1"/>
  <c r="DU282" i="1"/>
  <c r="CP256" i="1"/>
  <c r="O256" i="1" s="1"/>
  <c r="CY260" i="1"/>
  <c r="X260" i="1" s="1"/>
  <c r="GM260" i="1" s="1"/>
  <c r="GN260" i="1" s="1"/>
  <c r="CZ260" i="1"/>
  <c r="Y260" i="1" s="1"/>
  <c r="BA282" i="1"/>
  <c r="CJ253" i="1"/>
  <c r="AI221" i="1"/>
  <c r="FV91" i="1"/>
  <c r="EM148" i="1"/>
  <c r="AP180" i="1"/>
  <c r="F433" i="1"/>
  <c r="DZ333" i="1"/>
  <c r="DO282" i="1"/>
  <c r="EB253" i="1"/>
  <c r="EU180" i="1"/>
  <c r="P440" i="1"/>
  <c r="CZ50" i="1"/>
  <c r="Y50" i="1" s="1"/>
  <c r="CY50" i="1"/>
  <c r="X50" i="1" s="1"/>
  <c r="GM50" i="1" s="1"/>
  <c r="GN50" i="1" s="1"/>
  <c r="EB365" i="1"/>
  <c r="DO394" i="1"/>
  <c r="AJ365" i="1"/>
  <c r="W394" i="1"/>
  <c r="DG51" i="3"/>
  <c r="DJ51" i="3" s="1"/>
  <c r="DI51" i="3"/>
  <c r="DF51" i="3"/>
  <c r="DH51" i="3"/>
  <c r="DG23" i="3"/>
  <c r="DJ23" i="3" s="1"/>
  <c r="DI23" i="3"/>
  <c r="DH23" i="3"/>
  <c r="DF23" i="3"/>
  <c r="CY55" i="1"/>
  <c r="X55" i="1" s="1"/>
  <c r="CZ55" i="1"/>
  <c r="Y55" i="1" s="1"/>
  <c r="GM55" i="1" s="1"/>
  <c r="GN55" i="1" s="1"/>
  <c r="CZ40" i="1"/>
  <c r="Y40" i="1" s="1"/>
  <c r="AL59" i="1" s="1"/>
  <c r="CY40" i="1"/>
  <c r="X40" i="1" s="1"/>
  <c r="GM40" i="1" s="1"/>
  <c r="GN40" i="1" s="1"/>
  <c r="DG14" i="3"/>
  <c r="DJ14" i="3" s="1"/>
  <c r="DI14" i="3"/>
  <c r="DF14" i="3"/>
  <c r="DH14" i="3"/>
  <c r="AU221" i="1"/>
  <c r="CD184" i="1"/>
  <c r="CG26" i="1"/>
  <c r="AX59" i="1"/>
  <c r="CP194" i="1"/>
  <c r="O194" i="1" s="1"/>
  <c r="GM194" i="1" s="1"/>
  <c r="GN194" i="1" s="1"/>
  <c r="CZ367" i="1"/>
  <c r="Y367" i="1" s="1"/>
  <c r="AF394" i="1"/>
  <c r="CY367" i="1"/>
  <c r="X367" i="1" s="1"/>
  <c r="AP314" i="1"/>
  <c r="F342" i="1"/>
  <c r="AH221" i="1"/>
  <c r="CY265" i="1"/>
  <c r="X265" i="1" s="1"/>
  <c r="GM265" i="1" s="1"/>
  <c r="GN265" i="1" s="1"/>
  <c r="CZ265" i="1"/>
  <c r="Y265" i="1" s="1"/>
  <c r="GM116" i="1"/>
  <c r="GO116" i="1" s="1"/>
  <c r="AG253" i="1"/>
  <c r="T282" i="1"/>
  <c r="GK367" i="1"/>
  <c r="AE394" i="1"/>
  <c r="CZ389" i="1"/>
  <c r="Y389" i="1" s="1"/>
  <c r="CY389" i="1"/>
  <c r="X389" i="1" s="1"/>
  <c r="GM389" i="1" s="1"/>
  <c r="GN389" i="1" s="1"/>
  <c r="CY192" i="1"/>
  <c r="X192" i="1" s="1"/>
  <c r="GM192" i="1" s="1"/>
  <c r="GN192" i="1" s="1"/>
  <c r="CZ192" i="1"/>
  <c r="Y192" i="1" s="1"/>
  <c r="GB253" i="1"/>
  <c r="ES282" i="1"/>
  <c r="S318" i="1"/>
  <c r="V318" i="1"/>
  <c r="AI333" i="1" s="1"/>
  <c r="P318" i="1"/>
  <c r="Q318" i="1"/>
  <c r="R318" i="1"/>
  <c r="CY391" i="1"/>
  <c r="X391" i="1" s="1"/>
  <c r="GM391" i="1" s="1"/>
  <c r="GN391" i="1" s="1"/>
  <c r="CZ391" i="1"/>
  <c r="Y391" i="1" s="1"/>
  <c r="CP329" i="1"/>
  <c r="O329" i="1" s="1"/>
  <c r="GM329" i="1" s="1"/>
  <c r="GN329" i="1" s="1"/>
  <c r="GM135" i="1"/>
  <c r="GO135" i="1" s="1"/>
  <c r="CZ269" i="1"/>
  <c r="Y269" i="1" s="1"/>
  <c r="CY269" i="1"/>
  <c r="X269" i="1" s="1"/>
  <c r="Q322" i="1"/>
  <c r="V322" i="1"/>
  <c r="W322" i="1"/>
  <c r="CY121" i="1"/>
  <c r="X121" i="1" s="1"/>
  <c r="CZ121" i="1"/>
  <c r="Y121" i="1" s="1"/>
  <c r="CP201" i="1"/>
  <c r="O201" i="1" s="1"/>
  <c r="U322" i="1"/>
  <c r="AH333" i="1" s="1"/>
  <c r="EH184" i="1"/>
  <c r="P230" i="1"/>
  <c r="EH424" i="1"/>
  <c r="EH454" i="1" s="1"/>
  <c r="AU365" i="1"/>
  <c r="F413" i="1"/>
  <c r="GM255" i="1"/>
  <c r="AB282" i="1"/>
  <c r="GA253" i="1"/>
  <c r="ER282" i="1"/>
  <c r="GA365" i="1"/>
  <c r="ER394" i="1"/>
  <c r="DG9" i="3"/>
  <c r="DH9" i="3"/>
  <c r="DI9" i="3"/>
  <c r="DF9" i="3"/>
  <c r="DJ9" i="3" s="1"/>
  <c r="CZ52" i="1"/>
  <c r="Y52" i="1" s="1"/>
  <c r="CY52" i="1"/>
  <c r="X52" i="1" s="1"/>
  <c r="Q195" i="1"/>
  <c r="DV221" i="1" s="1"/>
  <c r="R195" i="1"/>
  <c r="P195" i="1"/>
  <c r="S195" i="1"/>
  <c r="U195" i="1"/>
  <c r="DZ221" i="1" s="1"/>
  <c r="V195" i="1"/>
  <c r="EA221" i="1" s="1"/>
  <c r="GM269" i="1"/>
  <c r="GN269" i="1" s="1"/>
  <c r="CZ188" i="1"/>
  <c r="Y188" i="1" s="1"/>
  <c r="CY188" i="1"/>
  <c r="X188" i="1" s="1"/>
  <c r="GM188" i="1" s="1"/>
  <c r="GN188" i="1" s="1"/>
  <c r="AD333" i="1"/>
  <c r="AD394" i="1"/>
  <c r="CP261" i="1"/>
  <c r="O261" i="1" s="1"/>
  <c r="GM106" i="1"/>
  <c r="GO106" i="1" s="1"/>
  <c r="EM221" i="1"/>
  <c r="FV184" i="1"/>
  <c r="CY370" i="1"/>
  <c r="X370" i="1" s="1"/>
  <c r="EC394" i="1" s="1"/>
  <c r="CZ370" i="1"/>
  <c r="Y370" i="1" s="1"/>
  <c r="ED394" i="1" s="1"/>
  <c r="CY327" i="1"/>
  <c r="X327" i="1" s="1"/>
  <c r="GM327" i="1" s="1"/>
  <c r="GN327" i="1" s="1"/>
  <c r="CZ327" i="1"/>
  <c r="Y327" i="1" s="1"/>
  <c r="CP114" i="1"/>
  <c r="O114" i="1" s="1"/>
  <c r="CY201" i="1"/>
  <c r="X201" i="1" s="1"/>
  <c r="CZ201" i="1"/>
  <c r="Y201" i="1" s="1"/>
  <c r="AQ365" i="1"/>
  <c r="F404" i="1"/>
  <c r="EI365" i="1"/>
  <c r="P404" i="1"/>
  <c r="R33" i="1"/>
  <c r="P33" i="1"/>
  <c r="Q33" i="1"/>
  <c r="DV59" i="1" s="1"/>
  <c r="CP47" i="1"/>
  <c r="O47" i="1" s="1"/>
  <c r="DH56" i="3"/>
  <c r="DF56" i="3"/>
  <c r="DJ56" i="3" s="1"/>
  <c r="DG56" i="3"/>
  <c r="DI56" i="3"/>
  <c r="FU26" i="1"/>
  <c r="EL59" i="1"/>
  <c r="DI21" i="3"/>
  <c r="DF21" i="3"/>
  <c r="DJ21" i="3" s="1"/>
  <c r="DG21" i="3"/>
  <c r="DH21" i="3"/>
  <c r="EU26" i="1"/>
  <c r="P75" i="1"/>
  <c r="EU454" i="1"/>
  <c r="CP54" i="1"/>
  <c r="O54" i="1" s="1"/>
  <c r="GM54" i="1" s="1"/>
  <c r="GN54" i="1" s="1"/>
  <c r="EV26" i="1"/>
  <c r="P84" i="1"/>
  <c r="AD59" i="1"/>
  <c r="CP126" i="1"/>
  <c r="O126" i="1" s="1"/>
  <c r="GM126" i="1" s="1"/>
  <c r="GO126" i="1" s="1"/>
  <c r="CY125" i="1"/>
  <c r="X125" i="1" s="1"/>
  <c r="CZ125" i="1"/>
  <c r="Y125" i="1" s="1"/>
  <c r="DF29" i="3"/>
  <c r="DJ29" i="3" s="1"/>
  <c r="DG29" i="3"/>
  <c r="DH29" i="3"/>
  <c r="DI29" i="3"/>
  <c r="DF38" i="3"/>
  <c r="DJ38" i="3" s="1"/>
  <c r="DG38" i="3"/>
  <c r="DH38" i="3"/>
  <c r="DI38" i="3"/>
  <c r="CP198" i="1"/>
  <c r="O198" i="1" s="1"/>
  <c r="GM266" i="1"/>
  <c r="GN266" i="1" s="1"/>
  <c r="CP122" i="1"/>
  <c r="O122" i="1" s="1"/>
  <c r="CY193" i="1"/>
  <c r="X193" i="1" s="1"/>
  <c r="CZ193" i="1"/>
  <c r="Y193" i="1" s="1"/>
  <c r="CZ202" i="1"/>
  <c r="Y202" i="1" s="1"/>
  <c r="CY202" i="1"/>
  <c r="X202" i="1" s="1"/>
  <c r="GM205" i="1"/>
  <c r="GN205" i="1" s="1"/>
  <c r="BZ184" i="1"/>
  <c r="AQ221" i="1"/>
  <c r="CI221" i="1"/>
  <c r="CP263" i="1"/>
  <c r="O263" i="1" s="1"/>
  <c r="GM263" i="1" s="1"/>
  <c r="GN263" i="1" s="1"/>
  <c r="CY378" i="1"/>
  <c r="X378" i="1" s="1"/>
  <c r="CZ378" i="1"/>
  <c r="Y378" i="1" s="1"/>
  <c r="CY199" i="1"/>
  <c r="X199" i="1" s="1"/>
  <c r="GM199" i="1" s="1"/>
  <c r="GN199" i="1" s="1"/>
  <c r="CZ199" i="1"/>
  <c r="Y199" i="1" s="1"/>
  <c r="DI49" i="3"/>
  <c r="DJ49" i="3" s="1"/>
  <c r="DG49" i="3"/>
  <c r="DH49" i="3"/>
  <c r="DF49" i="3"/>
  <c r="CY267" i="1"/>
  <c r="X267" i="1" s="1"/>
  <c r="GM267" i="1" s="1"/>
  <c r="GN267" i="1" s="1"/>
  <c r="CZ267" i="1"/>
  <c r="Y267" i="1" s="1"/>
  <c r="GM273" i="1"/>
  <c r="GN273" i="1" s="1"/>
  <c r="CP370" i="1"/>
  <c r="O370" i="1" s="1"/>
  <c r="Q203" i="1"/>
  <c r="T203" i="1"/>
  <c r="U203" i="1"/>
  <c r="V203" i="1"/>
  <c r="W203" i="1"/>
  <c r="EB221" i="1" s="1"/>
  <c r="CP218" i="1"/>
  <c r="O218" i="1" s="1"/>
  <c r="GM218" i="1" s="1"/>
  <c r="GN218" i="1" s="1"/>
  <c r="CZ385" i="1"/>
  <c r="Y385" i="1" s="1"/>
  <c r="CY385" i="1"/>
  <c r="X385" i="1" s="1"/>
  <c r="GM385" i="1" s="1"/>
  <c r="GN385" i="1" s="1"/>
  <c r="EL221" i="1"/>
  <c r="FU184" i="1"/>
  <c r="W318" i="1"/>
  <c r="GB365" i="1"/>
  <c r="ES394" i="1"/>
  <c r="GM43" i="1"/>
  <c r="GN43" i="1" s="1"/>
  <c r="AU59" i="1"/>
  <c r="CD26" i="1"/>
  <c r="CZ198" i="1"/>
  <c r="Y198" i="1" s="1"/>
  <c r="CY198" i="1"/>
  <c r="X198" i="1" s="1"/>
  <c r="AT394" i="1"/>
  <c r="CC365" i="1"/>
  <c r="EM394" i="1"/>
  <c r="FV365" i="1"/>
  <c r="CP37" i="1"/>
  <c r="O37" i="1" s="1"/>
  <c r="GM37" i="1" s="1"/>
  <c r="GN37" i="1" s="1"/>
  <c r="CY51" i="1"/>
  <c r="X51" i="1" s="1"/>
  <c r="GM51" i="1" s="1"/>
  <c r="GN51" i="1" s="1"/>
  <c r="CZ51" i="1"/>
  <c r="Y51" i="1" s="1"/>
  <c r="CY112" i="1"/>
  <c r="X112" i="1" s="1"/>
  <c r="GM112" i="1" s="1"/>
  <c r="GO112" i="1" s="1"/>
  <c r="CZ112" i="1"/>
  <c r="Y112" i="1" s="1"/>
  <c r="GM125" i="1"/>
  <c r="GO125" i="1" s="1"/>
  <c r="DF2" i="3"/>
  <c r="DG2" i="3"/>
  <c r="DJ2" i="3" s="1"/>
  <c r="DH2" i="3"/>
  <c r="DI2" i="3"/>
  <c r="CY113" i="1"/>
  <c r="X113" i="1" s="1"/>
  <c r="CZ113" i="1"/>
  <c r="Y113" i="1" s="1"/>
  <c r="CZ189" i="1"/>
  <c r="Y189" i="1" s="1"/>
  <c r="CY189" i="1"/>
  <c r="X189" i="1" s="1"/>
  <c r="DG6" i="3"/>
  <c r="DH6" i="3"/>
  <c r="DI6" i="3"/>
  <c r="DF6" i="3"/>
  <c r="DJ6" i="3" s="1"/>
  <c r="DG50" i="3"/>
  <c r="DJ50" i="3" s="1"/>
  <c r="DH50" i="3"/>
  <c r="DF50" i="3"/>
  <c r="DI50" i="3"/>
  <c r="P78" i="1"/>
  <c r="EM26" i="1"/>
  <c r="CP316" i="1"/>
  <c r="O316" i="1" s="1"/>
  <c r="AC333" i="1"/>
  <c r="DF30" i="3"/>
  <c r="DJ30" i="3" s="1"/>
  <c r="DG30" i="3"/>
  <c r="DH30" i="3"/>
  <c r="DI30" i="3"/>
  <c r="CY375" i="1"/>
  <c r="X375" i="1" s="1"/>
  <c r="GM375" i="1" s="1"/>
  <c r="GN375" i="1" s="1"/>
  <c r="CZ375" i="1"/>
  <c r="Y375" i="1" s="1"/>
  <c r="DG24" i="3"/>
  <c r="DI24" i="3"/>
  <c r="DF24" i="3"/>
  <c r="DJ24" i="3" s="1"/>
  <c r="DH24" i="3"/>
  <c r="CP103" i="1"/>
  <c r="O103" i="1" s="1"/>
  <c r="CY57" i="1"/>
  <c r="X57" i="1" s="1"/>
  <c r="CZ57" i="1"/>
  <c r="Y57" i="1" s="1"/>
  <c r="CY277" i="1"/>
  <c r="X277" i="1" s="1"/>
  <c r="CZ277" i="1"/>
  <c r="Y277" i="1" s="1"/>
  <c r="AL282" i="1" s="1"/>
  <c r="CP277" i="1"/>
  <c r="O277" i="1" s="1"/>
  <c r="GM368" i="1"/>
  <c r="DG5" i="3"/>
  <c r="DJ5" i="3" s="1"/>
  <c r="DF5" i="3"/>
  <c r="DH5" i="3"/>
  <c r="DI5" i="3"/>
  <c r="CP210" i="1"/>
  <c r="O210" i="1" s="1"/>
  <c r="GM210" i="1" s="1"/>
  <c r="GN210" i="1" s="1"/>
  <c r="GM271" i="1"/>
  <c r="GN271" i="1" s="1"/>
  <c r="CP367" i="1"/>
  <c r="O367" i="1" s="1"/>
  <c r="AC394" i="1"/>
  <c r="F225" i="1"/>
  <c r="AO184" i="1"/>
  <c r="AO424" i="1"/>
  <c r="CY320" i="1"/>
  <c r="X320" i="1" s="1"/>
  <c r="CZ320" i="1"/>
  <c r="Y320" i="1" s="1"/>
  <c r="CP132" i="1"/>
  <c r="O132" i="1" s="1"/>
  <c r="GM132" i="1" s="1"/>
  <c r="GN132" i="1" s="1"/>
  <c r="CP202" i="1"/>
  <c r="O202" i="1" s="1"/>
  <c r="CY191" i="1"/>
  <c r="X191" i="1" s="1"/>
  <c r="GM191" i="1" s="1"/>
  <c r="GN191" i="1" s="1"/>
  <c r="CZ191" i="1"/>
  <c r="Y191" i="1" s="1"/>
  <c r="GM369" i="1"/>
  <c r="GN369" i="1" s="1"/>
  <c r="CZ319" i="1"/>
  <c r="Y319" i="1" s="1"/>
  <c r="DX333" i="1"/>
  <c r="CY319" i="1"/>
  <c r="X319" i="1" s="1"/>
  <c r="GX203" i="1"/>
  <c r="Q190" i="1"/>
  <c r="S190" i="1"/>
  <c r="R190" i="1"/>
  <c r="GK190" i="1" s="1"/>
  <c r="T190" i="1"/>
  <c r="H329" i="7" l="1"/>
  <c r="J395" i="7"/>
  <c r="H395" i="7"/>
  <c r="U333" i="1"/>
  <c r="AH314" i="1"/>
  <c r="EA184" i="1"/>
  <c r="DN221" i="1"/>
  <c r="AB91" i="1"/>
  <c r="O148" i="1"/>
  <c r="AL253" i="1"/>
  <c r="Y282" i="1"/>
  <c r="DP148" i="1"/>
  <c r="EC91" i="1"/>
  <c r="AK26" i="1"/>
  <c r="X59" i="1"/>
  <c r="ES333" i="1"/>
  <c r="GB314" i="1"/>
  <c r="EB184" i="1"/>
  <c r="DO221" i="1"/>
  <c r="X282" i="1"/>
  <c r="AK253" i="1"/>
  <c r="DI221" i="1"/>
  <c r="DV184" i="1"/>
  <c r="EC26" i="1"/>
  <c r="DP59" i="1"/>
  <c r="EH484" i="1"/>
  <c r="EH22" i="1"/>
  <c r="P463" i="1"/>
  <c r="V16" i="2" s="1"/>
  <c r="CA59" i="1"/>
  <c r="GN28" i="1"/>
  <c r="CB59" i="1" s="1"/>
  <c r="AL26" i="1"/>
  <c r="Y59" i="1"/>
  <c r="GB91" i="1"/>
  <c r="ES148" i="1"/>
  <c r="AK394" i="1"/>
  <c r="DN333" i="1"/>
  <c r="EA314" i="1"/>
  <c r="DY314" i="1"/>
  <c r="DL333" i="1"/>
  <c r="AF365" i="1"/>
  <c r="S394" i="1"/>
  <c r="AP22" i="1"/>
  <c r="AP484" i="1"/>
  <c r="F463" i="1"/>
  <c r="G16" i="2" s="1"/>
  <c r="EM91" i="1"/>
  <c r="P167" i="1"/>
  <c r="AJ184" i="1"/>
  <c r="W221" i="1"/>
  <c r="DW253" i="1"/>
  <c r="DJ282" i="1"/>
  <c r="GK318" i="1"/>
  <c r="AE333" i="1"/>
  <c r="ED253" i="1"/>
  <c r="DQ282" i="1"/>
  <c r="GM203" i="1"/>
  <c r="GN203" i="1" s="1"/>
  <c r="CP33" i="1"/>
  <c r="O33" i="1" s="1"/>
  <c r="DU59" i="1"/>
  <c r="T253" i="1"/>
  <c r="F303" i="1"/>
  <c r="GM193" i="1"/>
  <c r="GN193" i="1" s="1"/>
  <c r="AX184" i="1"/>
  <c r="F228" i="1"/>
  <c r="ER253" i="1"/>
  <c r="P293" i="1"/>
  <c r="EV180" i="1"/>
  <c r="P449" i="1"/>
  <c r="F302" i="1"/>
  <c r="BA253" i="1"/>
  <c r="AE91" i="1"/>
  <c r="R148" i="1"/>
  <c r="GM319" i="1"/>
  <c r="GN319" i="1" s="1"/>
  <c r="CH282" i="1"/>
  <c r="P282" i="1"/>
  <c r="CE282" i="1"/>
  <c r="CF282" i="1"/>
  <c r="AC253" i="1"/>
  <c r="GO94" i="1"/>
  <c r="ER91" i="1"/>
  <c r="P159" i="1"/>
  <c r="P77" i="1"/>
  <c r="EL26" i="1"/>
  <c r="AJ91" i="1"/>
  <c r="W148" i="1"/>
  <c r="F344" i="1"/>
  <c r="AZ314" i="1"/>
  <c r="AQ91" i="1"/>
  <c r="F158" i="1"/>
  <c r="F239" i="1"/>
  <c r="AT184" i="1"/>
  <c r="AT424" i="1"/>
  <c r="R282" i="1"/>
  <c r="AE253" i="1"/>
  <c r="F170" i="1"/>
  <c r="U91" i="1"/>
  <c r="W26" i="1"/>
  <c r="F83" i="1"/>
  <c r="DN26" i="1"/>
  <c r="P82" i="1"/>
  <c r="EC333" i="1"/>
  <c r="DZ314" i="1"/>
  <c r="DM333" i="1"/>
  <c r="AF91" i="1"/>
  <c r="S148" i="1"/>
  <c r="BA91" i="1"/>
  <c r="F168" i="1"/>
  <c r="P343" i="1"/>
  <c r="EI314" i="1"/>
  <c r="DV314" i="1"/>
  <c r="DI333" i="1"/>
  <c r="DK333" i="1"/>
  <c r="DX314" i="1"/>
  <c r="AT365" i="1"/>
  <c r="F412" i="1"/>
  <c r="T148" i="1"/>
  <c r="AG91" i="1"/>
  <c r="GM206" i="1"/>
  <c r="GN206" i="1" s="1"/>
  <c r="ED26" i="1"/>
  <c r="DQ59" i="1"/>
  <c r="CY219" i="1"/>
  <c r="X219" i="1" s="1"/>
  <c r="CZ219" i="1"/>
  <c r="Y219" i="1" s="1"/>
  <c r="DU91" i="1"/>
  <c r="FZ148" i="1"/>
  <c r="FW148" i="1"/>
  <c r="DH148" i="1"/>
  <c r="FX148" i="1"/>
  <c r="EP91" i="1"/>
  <c r="P155" i="1"/>
  <c r="P171" i="1"/>
  <c r="DN91" i="1"/>
  <c r="GM367" i="1"/>
  <c r="AB394" i="1"/>
  <c r="EU22" i="1"/>
  <c r="EU484" i="1"/>
  <c r="P470" i="1"/>
  <c r="GM114" i="1"/>
  <c r="GO114" i="1" s="1"/>
  <c r="W365" i="1"/>
  <c r="F418" i="1"/>
  <c r="CI26" i="1"/>
  <c r="AZ59" i="1"/>
  <c r="P158" i="1"/>
  <c r="EI91" i="1"/>
  <c r="EI454" i="1"/>
  <c r="V253" i="1"/>
  <c r="F305" i="1"/>
  <c r="AD184" i="1"/>
  <c r="Q221" i="1"/>
  <c r="GM98" i="1"/>
  <c r="GO98" i="1" s="1"/>
  <c r="GM47" i="1"/>
  <c r="GN47" i="1" s="1"/>
  <c r="R394" i="1"/>
  <c r="AE365" i="1"/>
  <c r="F69" i="1"/>
  <c r="AQ26" i="1"/>
  <c r="AD253" i="1"/>
  <c r="Q282" i="1"/>
  <c r="DM59" i="1"/>
  <c r="DZ26" i="1"/>
  <c r="GM317" i="1"/>
  <c r="BA333" i="1"/>
  <c r="CJ314" i="1"/>
  <c r="DN253" i="1"/>
  <c r="P305" i="1"/>
  <c r="BB180" i="1"/>
  <c r="BB454" i="1"/>
  <c r="F437" i="1"/>
  <c r="T221" i="1"/>
  <c r="AG184" i="1"/>
  <c r="GM316" i="1"/>
  <c r="DI59" i="1"/>
  <c r="DV26" i="1"/>
  <c r="P405" i="1"/>
  <c r="ER365" i="1"/>
  <c r="DL148" i="1"/>
  <c r="DY91" i="1"/>
  <c r="EP221" i="1"/>
  <c r="FY184" i="1"/>
  <c r="DU184" i="1"/>
  <c r="FZ221" i="1"/>
  <c r="FW221" i="1"/>
  <c r="FX221" i="1"/>
  <c r="DH221" i="1"/>
  <c r="ER424" i="1"/>
  <c r="P232" i="1"/>
  <c r="ER184" i="1"/>
  <c r="DL221" i="1"/>
  <c r="DY184" i="1"/>
  <c r="DO91" i="1"/>
  <c r="P172" i="1"/>
  <c r="F160" i="1"/>
  <c r="Q91" i="1"/>
  <c r="AU26" i="1"/>
  <c r="F78" i="1"/>
  <c r="AU454" i="1"/>
  <c r="DZ184" i="1"/>
  <c r="DM221" i="1"/>
  <c r="F405" i="1"/>
  <c r="AZ365" i="1"/>
  <c r="DI394" i="1"/>
  <c r="DV365" i="1"/>
  <c r="EI184" i="1"/>
  <c r="P231" i="1"/>
  <c r="EI424" i="1"/>
  <c r="GM212" i="1"/>
  <c r="GN212" i="1" s="1"/>
  <c r="S221" i="1"/>
  <c r="AF184" i="1"/>
  <c r="BD180" i="1"/>
  <c r="F449" i="1"/>
  <c r="BD454" i="1"/>
  <c r="CE221" i="1"/>
  <c r="AC184" i="1"/>
  <c r="P221" i="1"/>
  <c r="CF221" i="1"/>
  <c r="CH221" i="1"/>
  <c r="DP394" i="1"/>
  <c r="EC365" i="1"/>
  <c r="DW333" i="1"/>
  <c r="AC91" i="1"/>
  <c r="CE148" i="1"/>
  <c r="CF148" i="1"/>
  <c r="P148" i="1"/>
  <c r="CH148" i="1"/>
  <c r="ES365" i="1"/>
  <c r="P414" i="1"/>
  <c r="GM122" i="1"/>
  <c r="GO122" i="1" s="1"/>
  <c r="CP195" i="1"/>
  <c r="O195" i="1" s="1"/>
  <c r="FT148" i="1"/>
  <c r="DW365" i="1"/>
  <c r="DJ394" i="1"/>
  <c r="F401" i="1"/>
  <c r="AX365" i="1"/>
  <c r="EG22" i="1"/>
  <c r="EG484" i="1"/>
  <c r="P458" i="1"/>
  <c r="CG91" i="1"/>
  <c r="AX148" i="1"/>
  <c r="F304" i="1"/>
  <c r="U253" i="1"/>
  <c r="O282" i="1"/>
  <c r="AB253" i="1"/>
  <c r="CZ318" i="1"/>
  <c r="Y318" i="1" s="1"/>
  <c r="AL333" i="1" s="1"/>
  <c r="CY318" i="1"/>
  <c r="X318" i="1" s="1"/>
  <c r="AK333" i="1" s="1"/>
  <c r="CG314" i="1"/>
  <c r="AX333" i="1"/>
  <c r="AX424" i="1" s="1"/>
  <c r="CZ331" i="1"/>
  <c r="Y331" i="1" s="1"/>
  <c r="CY331" i="1"/>
  <c r="X331" i="1" s="1"/>
  <c r="DV91" i="1"/>
  <c r="DI148" i="1"/>
  <c r="T26" i="1"/>
  <c r="F80" i="1"/>
  <c r="GM380" i="1"/>
  <c r="GN380" i="1" s="1"/>
  <c r="CY190" i="1"/>
  <c r="X190" i="1" s="1"/>
  <c r="AK221" i="1" s="1"/>
  <c r="CZ190" i="1"/>
  <c r="Y190" i="1" s="1"/>
  <c r="AL221" i="1" s="1"/>
  <c r="FS394" i="1"/>
  <c r="GN368" i="1"/>
  <c r="GM370" i="1"/>
  <c r="GN370" i="1" s="1"/>
  <c r="AD26" i="1"/>
  <c r="Q59" i="1"/>
  <c r="GN255" i="1"/>
  <c r="GN187" i="1"/>
  <c r="DT148" i="1"/>
  <c r="AT26" i="1"/>
  <c r="F77" i="1"/>
  <c r="GA314" i="1"/>
  <c r="ER333" i="1"/>
  <c r="BA365" i="1"/>
  <c r="F414" i="1"/>
  <c r="F428" i="1"/>
  <c r="AO180" i="1"/>
  <c r="CI184" i="1"/>
  <c r="AZ221" i="1"/>
  <c r="GM261" i="1"/>
  <c r="GN261" i="1" s="1"/>
  <c r="AH184" i="1"/>
  <c r="U221" i="1"/>
  <c r="GM256" i="1"/>
  <c r="DT282" i="1"/>
  <c r="GM373" i="1"/>
  <c r="GN373" i="1" s="1"/>
  <c r="EP253" i="1"/>
  <c r="P289" i="1"/>
  <c r="F343" i="1"/>
  <c r="AQ314" i="1"/>
  <c r="GM200" i="1"/>
  <c r="GN200" i="1" s="1"/>
  <c r="CP331" i="1"/>
  <c r="O331" i="1" s="1"/>
  <c r="GM331" i="1" s="1"/>
  <c r="GN331" i="1" s="1"/>
  <c r="AF333" i="1"/>
  <c r="FY314" i="1"/>
  <c r="EP333" i="1"/>
  <c r="GM127" i="1"/>
  <c r="GO127" i="1" s="1"/>
  <c r="U394" i="1"/>
  <c r="AH365" i="1"/>
  <c r="P416" i="1"/>
  <c r="DM365" i="1"/>
  <c r="P415" i="1"/>
  <c r="DL365" i="1"/>
  <c r="DW91" i="1"/>
  <c r="DJ148" i="1"/>
  <c r="AB59" i="1"/>
  <c r="W253" i="1"/>
  <c r="F306" i="1"/>
  <c r="DN365" i="1"/>
  <c r="P417" i="1"/>
  <c r="Q333" i="1"/>
  <c r="AD314" i="1"/>
  <c r="EH180" i="1"/>
  <c r="P433" i="1"/>
  <c r="ED91" i="1"/>
  <c r="DQ148" i="1"/>
  <c r="GB184" i="1"/>
  <c r="ES221" i="1"/>
  <c r="CB148" i="1"/>
  <c r="CE394" i="1"/>
  <c r="CF394" i="1"/>
  <c r="AC365" i="1"/>
  <c r="CH394" i="1"/>
  <c r="P394" i="1"/>
  <c r="X148" i="1"/>
  <c r="AK91" i="1"/>
  <c r="EL314" i="1"/>
  <c r="P351" i="1"/>
  <c r="EP26" i="1"/>
  <c r="P66" i="1"/>
  <c r="W333" i="1"/>
  <c r="AJ314" i="1"/>
  <c r="DK365" i="1"/>
  <c r="P409" i="1"/>
  <c r="F417" i="1"/>
  <c r="V365" i="1"/>
  <c r="BC22" i="1"/>
  <c r="BC484" i="1"/>
  <c r="F470" i="1"/>
  <c r="AQ253" i="1"/>
  <c r="F292" i="1"/>
  <c r="DL26" i="1"/>
  <c r="P80" i="1"/>
  <c r="DK59" i="1"/>
  <c r="DX26" i="1"/>
  <c r="ED333" i="1"/>
  <c r="DZ91" i="1"/>
  <c r="DM148" i="1"/>
  <c r="CF333" i="1"/>
  <c r="AC314" i="1"/>
  <c r="CH333" i="1"/>
  <c r="P333" i="1"/>
  <c r="CE333" i="1"/>
  <c r="AL394" i="1"/>
  <c r="CJ184" i="1"/>
  <c r="BA221" i="1"/>
  <c r="F171" i="1"/>
  <c r="V91" i="1"/>
  <c r="CJ26" i="1"/>
  <c r="BA59" i="1"/>
  <c r="ET22" i="1"/>
  <c r="P467" i="1"/>
  <c r="ET484" i="1"/>
  <c r="AO22" i="1"/>
  <c r="AO484" i="1"/>
  <c r="F458" i="1"/>
  <c r="GM103" i="1"/>
  <c r="GO103" i="1" s="1"/>
  <c r="DX221" i="1"/>
  <c r="GM201" i="1"/>
  <c r="GN201" i="1" s="1"/>
  <c r="DO365" i="1"/>
  <c r="P418" i="1"/>
  <c r="F415" i="1"/>
  <c r="T365" i="1"/>
  <c r="BC180" i="1"/>
  <c r="F440" i="1"/>
  <c r="GM146" i="1"/>
  <c r="GO146" i="1" s="1"/>
  <c r="AU91" i="1"/>
  <c r="F167" i="1"/>
  <c r="GM124" i="1"/>
  <c r="GO124" i="1" s="1"/>
  <c r="CP219" i="1"/>
  <c r="O219" i="1" s="1"/>
  <c r="AF26" i="1"/>
  <c r="S59" i="1"/>
  <c r="DQ394" i="1"/>
  <c r="ED365" i="1"/>
  <c r="AI184" i="1"/>
  <c r="V221" i="1"/>
  <c r="DX91" i="1"/>
  <c r="DK148" i="1"/>
  <c r="DX253" i="1"/>
  <c r="DK282" i="1"/>
  <c r="AF253" i="1"/>
  <c r="S282" i="1"/>
  <c r="GM202" i="1"/>
  <c r="GN202" i="1" s="1"/>
  <c r="GK33" i="1"/>
  <c r="DW59" i="1"/>
  <c r="CY195" i="1"/>
  <c r="X195" i="1" s="1"/>
  <c r="EC221" i="1" s="1"/>
  <c r="CZ195" i="1"/>
  <c r="Y195" i="1" s="1"/>
  <c r="ED221" i="1" s="1"/>
  <c r="CP318" i="1"/>
  <c r="O318" i="1" s="1"/>
  <c r="AX26" i="1"/>
  <c r="F66" i="1"/>
  <c r="AE26" i="1"/>
  <c r="R59" i="1"/>
  <c r="FZ333" i="1"/>
  <c r="DH333" i="1"/>
  <c r="DU314" i="1"/>
  <c r="FW333" i="1"/>
  <c r="FX333" i="1"/>
  <c r="U26" i="1"/>
  <c r="F81" i="1"/>
  <c r="EC253" i="1"/>
  <c r="DP282" i="1"/>
  <c r="GM186" i="1"/>
  <c r="AB221" i="1"/>
  <c r="AI314" i="1"/>
  <c r="V333" i="1"/>
  <c r="GM57" i="1"/>
  <c r="GN57" i="1" s="1"/>
  <c r="GM326" i="1"/>
  <c r="GN326" i="1" s="1"/>
  <c r="GM99" i="1"/>
  <c r="GO99" i="1" s="1"/>
  <c r="FZ394" i="1"/>
  <c r="DU365" i="1"/>
  <c r="FW394" i="1"/>
  <c r="FX394" i="1"/>
  <c r="DH394" i="1"/>
  <c r="EM184" i="1"/>
  <c r="EM424" i="1"/>
  <c r="EM454" i="1" s="1"/>
  <c r="P240" i="1"/>
  <c r="GK195" i="1"/>
  <c r="DW221" i="1"/>
  <c r="AI26" i="1"/>
  <c r="V59" i="1"/>
  <c r="ER26" i="1"/>
  <c r="P70" i="1"/>
  <c r="ER454" i="1"/>
  <c r="P79" i="1"/>
  <c r="ES26" i="1"/>
  <c r="AE221" i="1"/>
  <c r="CI91" i="1"/>
  <c r="AZ148" i="1"/>
  <c r="GM322" i="1"/>
  <c r="GN322" i="1" s="1"/>
  <c r="T314" i="1"/>
  <c r="F354" i="1"/>
  <c r="GM198" i="1"/>
  <c r="GN198" i="1" s="1"/>
  <c r="P302" i="1"/>
  <c r="ES253" i="1"/>
  <c r="AU184" i="1"/>
  <c r="F240" i="1"/>
  <c r="AU424" i="1"/>
  <c r="EB333" i="1"/>
  <c r="DT394" i="1"/>
  <c r="GM277" i="1"/>
  <c r="GN277" i="1" s="1"/>
  <c r="GM93" i="1"/>
  <c r="EM365" i="1"/>
  <c r="P413" i="1"/>
  <c r="EL424" i="1"/>
  <c r="P239" i="1"/>
  <c r="EL184" i="1"/>
  <c r="F231" i="1"/>
  <c r="AQ424" i="1"/>
  <c r="AQ454" i="1" s="1"/>
  <c r="AQ184" i="1"/>
  <c r="EV454" i="1"/>
  <c r="AD365" i="1"/>
  <c r="Q394" i="1"/>
  <c r="P306" i="1"/>
  <c r="DO253" i="1"/>
  <c r="FZ282" i="1"/>
  <c r="FW282" i="1"/>
  <c r="FX282" i="1"/>
  <c r="DU253" i="1"/>
  <c r="DH282" i="1"/>
  <c r="AL148" i="1"/>
  <c r="CE59" i="1"/>
  <c r="AC26" i="1"/>
  <c r="P59" i="1"/>
  <c r="CF59" i="1"/>
  <c r="CH59" i="1"/>
  <c r="P294" i="1"/>
  <c r="DI253" i="1"/>
  <c r="GM96" i="1"/>
  <c r="GO96" i="1" s="1"/>
  <c r="DM253" i="1"/>
  <c r="P304" i="1"/>
  <c r="DL253" i="1"/>
  <c r="P303" i="1"/>
  <c r="CY323" i="1"/>
  <c r="X323" i="1" s="1"/>
  <c r="GM323" i="1" s="1"/>
  <c r="GN323" i="1" s="1"/>
  <c r="CZ323" i="1"/>
  <c r="Y323" i="1" s="1"/>
  <c r="CI253" i="1"/>
  <c r="AZ282" i="1"/>
  <c r="EP365" i="1"/>
  <c r="P401" i="1"/>
  <c r="F289" i="1"/>
  <c r="AX253" i="1"/>
  <c r="P83" i="1"/>
  <c r="DO26" i="1"/>
  <c r="AQ22" i="1" l="1"/>
  <c r="AQ484" i="1"/>
  <c r="F464" i="1"/>
  <c r="AK314" i="1"/>
  <c r="X333" i="1"/>
  <c r="AL184" i="1"/>
  <c r="Y221" i="1"/>
  <c r="AL314" i="1"/>
  <c r="Y333" i="1"/>
  <c r="X221" i="1"/>
  <c r="AK184" i="1"/>
  <c r="ES454" i="1"/>
  <c r="EM22" i="1"/>
  <c r="P473" i="1"/>
  <c r="EM484" i="1"/>
  <c r="AX180" i="1"/>
  <c r="F431" i="1"/>
  <c r="AX454" i="1"/>
  <c r="FS365" i="1"/>
  <c r="EJ394" i="1"/>
  <c r="BD22" i="1"/>
  <c r="BD484" i="1"/>
  <c r="F479" i="1"/>
  <c r="P169" i="1"/>
  <c r="DL91" i="1"/>
  <c r="P493" i="1"/>
  <c r="EH18" i="1"/>
  <c r="ER22" i="1"/>
  <c r="P465" i="1"/>
  <c r="ER484" i="1"/>
  <c r="FW365" i="1"/>
  <c r="EN394" i="1"/>
  <c r="F243" i="1"/>
  <c r="U184" i="1"/>
  <c r="U424" i="1"/>
  <c r="CF91" i="1"/>
  <c r="AW148" i="1"/>
  <c r="T91" i="1"/>
  <c r="F169" i="1"/>
  <c r="R91" i="1"/>
  <c r="F162" i="1"/>
  <c r="F245" i="1"/>
  <c r="W424" i="1"/>
  <c r="W184" i="1"/>
  <c r="EO282" i="1"/>
  <c r="FX253" i="1"/>
  <c r="AF314" i="1"/>
  <c r="S333" i="1"/>
  <c r="F296" i="1"/>
  <c r="R253" i="1"/>
  <c r="GM190" i="1"/>
  <c r="GN190" i="1" s="1"/>
  <c r="DT91" i="1"/>
  <c r="DG148" i="1"/>
  <c r="F353" i="1"/>
  <c r="BA314" i="1"/>
  <c r="AK365" i="1"/>
  <c r="X394" i="1"/>
  <c r="DP221" i="1"/>
  <c r="EC184" i="1"/>
  <c r="CF314" i="1"/>
  <c r="AW333" i="1"/>
  <c r="BC18" i="1"/>
  <c r="F500" i="1"/>
  <c r="DW314" i="1"/>
  <c r="DJ333" i="1"/>
  <c r="P71" i="1"/>
  <c r="DI26" i="1"/>
  <c r="DI454" i="1"/>
  <c r="DP333" i="1"/>
  <c r="EC314" i="1"/>
  <c r="GM33" i="1"/>
  <c r="DT59" i="1"/>
  <c r="FW314" i="1"/>
  <c r="EN333" i="1"/>
  <c r="P421" i="1"/>
  <c r="DQ365" i="1"/>
  <c r="BA26" i="1"/>
  <c r="F79" i="1"/>
  <c r="BA454" i="1"/>
  <c r="P170" i="1"/>
  <c r="DM91" i="1"/>
  <c r="DT333" i="1"/>
  <c r="DH253" i="1"/>
  <c r="P285" i="1"/>
  <c r="FX365" i="1"/>
  <c r="EO394" i="1"/>
  <c r="DK91" i="1"/>
  <c r="P163" i="1"/>
  <c r="AO18" i="1"/>
  <c r="F488" i="1"/>
  <c r="CE314" i="1"/>
  <c r="AV333" i="1"/>
  <c r="EP314" i="1"/>
  <c r="P340" i="1"/>
  <c r="GN256" i="1"/>
  <c r="FT282" i="1" s="1"/>
  <c r="FS282" i="1"/>
  <c r="S91" i="1"/>
  <c r="F163" i="1"/>
  <c r="GM318" i="1"/>
  <c r="GN318" i="1" s="1"/>
  <c r="AB26" i="1"/>
  <c r="O59" i="1"/>
  <c r="AV148" i="1"/>
  <c r="CE91" i="1"/>
  <c r="F408" i="1"/>
  <c r="R365" i="1"/>
  <c r="EO148" i="1"/>
  <c r="FX91" i="1"/>
  <c r="P355" i="1"/>
  <c r="DM314" i="1"/>
  <c r="EL180" i="1"/>
  <c r="P442" i="1"/>
  <c r="DQ221" i="1"/>
  <c r="ED184" i="1"/>
  <c r="DJ91" i="1"/>
  <c r="P162" i="1"/>
  <c r="P408" i="1"/>
  <c r="DJ365" i="1"/>
  <c r="DH91" i="1"/>
  <c r="P151" i="1"/>
  <c r="FX59" i="1"/>
  <c r="DU26" i="1"/>
  <c r="DH59" i="1"/>
  <c r="FZ59" i="1"/>
  <c r="FW59" i="1"/>
  <c r="F309" i="1"/>
  <c r="Y253" i="1"/>
  <c r="FZ253" i="1"/>
  <c r="EQ282" i="1"/>
  <c r="FX314" i="1"/>
  <c r="EO333" i="1"/>
  <c r="DQ91" i="1"/>
  <c r="P175" i="1"/>
  <c r="T454" i="1"/>
  <c r="F284" i="1"/>
  <c r="O253" i="1"/>
  <c r="AU22" i="1"/>
  <c r="F473" i="1"/>
  <c r="AU484" i="1"/>
  <c r="DH184" i="1"/>
  <c r="P224" i="1"/>
  <c r="DH424" i="1"/>
  <c r="FS333" i="1"/>
  <c r="GN317" i="1"/>
  <c r="FT333" i="1" s="1"/>
  <c r="FW91" i="1"/>
  <c r="EN148" i="1"/>
  <c r="DI184" i="1"/>
  <c r="P233" i="1"/>
  <c r="DI424" i="1"/>
  <c r="DJ59" i="1"/>
  <c r="DW26" i="1"/>
  <c r="FS221" i="1"/>
  <c r="EK148" i="1"/>
  <c r="FT91" i="1"/>
  <c r="FX184" i="1"/>
  <c r="EO221" i="1"/>
  <c r="GN316" i="1"/>
  <c r="F233" i="1"/>
  <c r="Q184" i="1"/>
  <c r="Q424" i="1"/>
  <c r="FZ91" i="1"/>
  <c r="EQ148" i="1"/>
  <c r="P348" i="1"/>
  <c r="DK314" i="1"/>
  <c r="FS148" i="1"/>
  <c r="AZ253" i="1"/>
  <c r="F293" i="1"/>
  <c r="AY59" i="1"/>
  <c r="CH26" i="1"/>
  <c r="CA148" i="1"/>
  <c r="GO93" i="1"/>
  <c r="CC148" i="1" s="1"/>
  <c r="DJ221" i="1"/>
  <c r="DW184" i="1"/>
  <c r="S26" i="1"/>
  <c r="F74" i="1"/>
  <c r="X91" i="1"/>
  <c r="F174" i="1"/>
  <c r="CA282" i="1"/>
  <c r="GM195" i="1"/>
  <c r="GN195" i="1" s="1"/>
  <c r="FT221" i="1" s="1"/>
  <c r="DP365" i="1"/>
  <c r="P420" i="1"/>
  <c r="EN221" i="1"/>
  <c r="FW184" i="1"/>
  <c r="AB333" i="1"/>
  <c r="EU18" i="1"/>
  <c r="P500" i="1"/>
  <c r="DI314" i="1"/>
  <c r="P345" i="1"/>
  <c r="FU148" i="1"/>
  <c r="AP18" i="1"/>
  <c r="F493" i="1"/>
  <c r="Y26" i="1"/>
  <c r="F86" i="1"/>
  <c r="F308" i="1"/>
  <c r="X253" i="1"/>
  <c r="O91" i="1"/>
  <c r="F150" i="1"/>
  <c r="CF26" i="1"/>
  <c r="AW59" i="1"/>
  <c r="Q365" i="1"/>
  <c r="F406" i="1"/>
  <c r="AZ91" i="1"/>
  <c r="F159" i="1"/>
  <c r="V314" i="1"/>
  <c r="F356" i="1"/>
  <c r="P336" i="1"/>
  <c r="DH314" i="1"/>
  <c r="ED314" i="1"/>
  <c r="DQ333" i="1"/>
  <c r="F397" i="1"/>
  <c r="P365" i="1"/>
  <c r="DT221" i="1"/>
  <c r="CB282" i="1"/>
  <c r="DI91" i="1"/>
  <c r="P160" i="1"/>
  <c r="AY221" i="1"/>
  <c r="CH184" i="1"/>
  <c r="EI180" i="1"/>
  <c r="P434" i="1"/>
  <c r="EQ221" i="1"/>
  <c r="FZ184" i="1"/>
  <c r="DM26" i="1"/>
  <c r="P81" i="1"/>
  <c r="DM454" i="1"/>
  <c r="DQ253" i="1"/>
  <c r="P309" i="1"/>
  <c r="DO184" i="1"/>
  <c r="P245" i="1"/>
  <c r="P26" i="1"/>
  <c r="F62" i="1"/>
  <c r="DG394" i="1"/>
  <c r="DT365" i="1"/>
  <c r="FZ314" i="1"/>
  <c r="EQ333" i="1"/>
  <c r="S253" i="1"/>
  <c r="F297" i="1"/>
  <c r="GM219" i="1"/>
  <c r="GN219" i="1" s="1"/>
  <c r="CH365" i="1"/>
  <c r="AY394" i="1"/>
  <c r="Q26" i="1"/>
  <c r="Q454" i="1"/>
  <c r="F71" i="1"/>
  <c r="F155" i="1"/>
  <c r="AX91" i="1"/>
  <c r="CF184" i="1"/>
  <c r="AW221" i="1"/>
  <c r="F242" i="1"/>
  <c r="T424" i="1"/>
  <c r="T184" i="1"/>
  <c r="F294" i="1"/>
  <c r="Q253" i="1"/>
  <c r="AB365" i="1"/>
  <c r="O394" i="1"/>
  <c r="CF253" i="1"/>
  <c r="AW282" i="1"/>
  <c r="S365" i="1"/>
  <c r="F409" i="1"/>
  <c r="AS59" i="1"/>
  <c r="CB26" i="1"/>
  <c r="DN184" i="1"/>
  <c r="DN424" i="1"/>
  <c r="P244" i="1"/>
  <c r="P242" i="1"/>
  <c r="DL184" i="1"/>
  <c r="DL424" i="1"/>
  <c r="AZ26" i="1"/>
  <c r="F70" i="1"/>
  <c r="AZ454" i="1"/>
  <c r="DN314" i="1"/>
  <c r="P356" i="1"/>
  <c r="ET18" i="1"/>
  <c r="P497" i="1"/>
  <c r="ES184" i="1"/>
  <c r="P241" i="1"/>
  <c r="ES424" i="1"/>
  <c r="DP91" i="1"/>
  <c r="P174" i="1"/>
  <c r="FW253" i="1"/>
  <c r="EN282" i="1"/>
  <c r="V26" i="1"/>
  <c r="F82" i="1"/>
  <c r="V454" i="1"/>
  <c r="F236" i="1"/>
  <c r="S184" i="1"/>
  <c r="EV22" i="1"/>
  <c r="P479" i="1"/>
  <c r="EV484" i="1"/>
  <c r="R221" i="1"/>
  <c r="AE184" i="1"/>
  <c r="EM180" i="1"/>
  <c r="P443" i="1"/>
  <c r="R26" i="1"/>
  <c r="F73" i="1"/>
  <c r="F241" i="1"/>
  <c r="BA184" i="1"/>
  <c r="BA424" i="1"/>
  <c r="Q314" i="1"/>
  <c r="F345" i="1"/>
  <c r="P184" i="1"/>
  <c r="P424" i="1"/>
  <c r="P454" i="1" s="1"/>
  <c r="F224" i="1"/>
  <c r="EI484" i="1"/>
  <c r="P464" i="1"/>
  <c r="EI22" i="1"/>
  <c r="GN367" i="1"/>
  <c r="CB394" i="1" s="1"/>
  <c r="CA394" i="1"/>
  <c r="DQ26" i="1"/>
  <c r="P86" i="1"/>
  <c r="CE253" i="1"/>
  <c r="AV282" i="1"/>
  <c r="R333" i="1"/>
  <c r="AE314" i="1"/>
  <c r="CA26" i="1"/>
  <c r="AR59" i="1"/>
  <c r="CE26" i="1"/>
  <c r="AV59" i="1"/>
  <c r="AU180" i="1"/>
  <c r="F443" i="1"/>
  <c r="CA221" i="1"/>
  <c r="GN186" i="1"/>
  <c r="P297" i="1"/>
  <c r="DK253" i="1"/>
  <c r="DL454" i="1"/>
  <c r="CF365" i="1"/>
  <c r="AW394" i="1"/>
  <c r="F416" i="1"/>
  <c r="U365" i="1"/>
  <c r="P344" i="1"/>
  <c r="ER314" i="1"/>
  <c r="EP184" i="1"/>
  <c r="P228" i="1"/>
  <c r="EP424" i="1"/>
  <c r="BB22" i="1"/>
  <c r="F467" i="1"/>
  <c r="BB484" i="1"/>
  <c r="W91" i="1"/>
  <c r="F172" i="1"/>
  <c r="F285" i="1"/>
  <c r="P253" i="1"/>
  <c r="DL314" i="1"/>
  <c r="P354" i="1"/>
  <c r="P353" i="1"/>
  <c r="ES314" i="1"/>
  <c r="CB91" i="1"/>
  <c r="AS148" i="1"/>
  <c r="P91" i="1"/>
  <c r="F151" i="1"/>
  <c r="P314" i="1"/>
  <c r="F336" i="1"/>
  <c r="DP26" i="1"/>
  <c r="P85" i="1"/>
  <c r="V424" i="1"/>
  <c r="F244" i="1"/>
  <c r="V184" i="1"/>
  <c r="CH314" i="1"/>
  <c r="AY333" i="1"/>
  <c r="DM184" i="1"/>
  <c r="DM424" i="1"/>
  <c r="P243" i="1"/>
  <c r="FZ365" i="1"/>
  <c r="EQ394" i="1"/>
  <c r="ER180" i="1"/>
  <c r="P435" i="1"/>
  <c r="AT180" i="1"/>
  <c r="F442" i="1"/>
  <c r="AZ184" i="1"/>
  <c r="F232" i="1"/>
  <c r="AZ424" i="1"/>
  <c r="ES91" i="1"/>
  <c r="P168" i="1"/>
  <c r="DO333" i="1"/>
  <c r="EB314" i="1"/>
  <c r="O221" i="1"/>
  <c r="AB184" i="1"/>
  <c r="DK221" i="1"/>
  <c r="DX184" i="1"/>
  <c r="P74" i="1"/>
  <c r="DK26" i="1"/>
  <c r="Y148" i="1"/>
  <c r="AL91" i="1"/>
  <c r="AQ180" i="1"/>
  <c r="F434" i="1"/>
  <c r="DH365" i="1"/>
  <c r="P397" i="1"/>
  <c r="DP253" i="1"/>
  <c r="P308" i="1"/>
  <c r="AL365" i="1"/>
  <c r="Y394" i="1"/>
  <c r="W314" i="1"/>
  <c r="F357" i="1"/>
  <c r="AV394" i="1"/>
  <c r="CE365" i="1"/>
  <c r="DT253" i="1"/>
  <c r="DG282" i="1"/>
  <c r="FT394" i="1"/>
  <c r="AX314" i="1"/>
  <c r="F340" i="1"/>
  <c r="EG18" i="1"/>
  <c r="P488" i="1"/>
  <c r="CH91" i="1"/>
  <c r="AY148" i="1"/>
  <c r="CE184" i="1"/>
  <c r="AV221" i="1"/>
  <c r="DI365" i="1"/>
  <c r="P406" i="1"/>
  <c r="AY282" i="1"/>
  <c r="CH253" i="1"/>
  <c r="P296" i="1"/>
  <c r="DJ253" i="1"/>
  <c r="X26" i="1"/>
  <c r="F85" i="1"/>
  <c r="F355" i="1"/>
  <c r="U314" i="1"/>
  <c r="EK221" i="1" l="1"/>
  <c r="FT184" i="1"/>
  <c r="P22" i="1"/>
  <c r="P484" i="1"/>
  <c r="F457" i="1"/>
  <c r="DK424" i="1"/>
  <c r="P236" i="1"/>
  <c r="DK184" i="1"/>
  <c r="AV26" i="1"/>
  <c r="AV454" i="1"/>
  <c r="F64" i="1"/>
  <c r="CA253" i="1"/>
  <c r="AR282" i="1"/>
  <c r="DT26" i="1"/>
  <c r="DG59" i="1"/>
  <c r="V22" i="1"/>
  <c r="V484" i="1"/>
  <c r="F477" i="1"/>
  <c r="F76" i="1"/>
  <c r="AS26" i="1"/>
  <c r="F227" i="1"/>
  <c r="AW424" i="1"/>
  <c r="AW184" i="1"/>
  <c r="EQ314" i="1"/>
  <c r="P341" i="1"/>
  <c r="DM22" i="1"/>
  <c r="DM484" i="1"/>
  <c r="P476" i="1"/>
  <c r="FS314" i="1"/>
  <c r="EJ333" i="1"/>
  <c r="GN33" i="1"/>
  <c r="FT59" i="1" s="1"/>
  <c r="FS59" i="1"/>
  <c r="P402" i="1"/>
  <c r="EQ365" i="1"/>
  <c r="EJ148" i="1"/>
  <c r="FS91" i="1"/>
  <c r="EO314" i="1"/>
  <c r="P339" i="1"/>
  <c r="EO91" i="1"/>
  <c r="P154" i="1"/>
  <c r="FT365" i="1"/>
  <c r="EK394" i="1"/>
  <c r="AW365" i="1"/>
  <c r="F400" i="1"/>
  <c r="EI18" i="1"/>
  <c r="P494" i="1"/>
  <c r="AZ22" i="1"/>
  <c r="F465" i="1"/>
  <c r="AZ484" i="1"/>
  <c r="EK91" i="1"/>
  <c r="P165" i="1"/>
  <c r="X365" i="1"/>
  <c r="F420" i="1"/>
  <c r="P288" i="1"/>
  <c r="EO253" i="1"/>
  <c r="P357" i="1"/>
  <c r="DO314" i="1"/>
  <c r="P287" i="1"/>
  <c r="EN253" i="1"/>
  <c r="F288" i="1"/>
  <c r="AW253" i="1"/>
  <c r="DQ314" i="1"/>
  <c r="P360" i="1"/>
  <c r="EQ253" i="1"/>
  <c r="P290" i="1"/>
  <c r="DI22" i="1"/>
  <c r="P466" i="1"/>
  <c r="DI484" i="1"/>
  <c r="BB18" i="1"/>
  <c r="F497" i="1"/>
  <c r="R314" i="1"/>
  <c r="F347" i="1"/>
  <c r="BA22" i="1"/>
  <c r="F474" i="1"/>
  <c r="BA484" i="1"/>
  <c r="F396" i="1"/>
  <c r="O365" i="1"/>
  <c r="O333" i="1"/>
  <c r="O424" i="1" s="1"/>
  <c r="AB314" i="1"/>
  <c r="H16" i="2"/>
  <c r="AV91" i="1"/>
  <c r="F153" i="1"/>
  <c r="AV184" i="1"/>
  <c r="AV424" i="1"/>
  <c r="F226" i="1"/>
  <c r="AV365" i="1"/>
  <c r="F399" i="1"/>
  <c r="Y91" i="1"/>
  <c r="F175" i="1"/>
  <c r="AZ180" i="1"/>
  <c r="F435" i="1"/>
  <c r="F341" i="1"/>
  <c r="AY314" i="1"/>
  <c r="AS91" i="1"/>
  <c r="F165" i="1"/>
  <c r="EV18" i="1"/>
  <c r="P509" i="1"/>
  <c r="DJ184" i="1"/>
  <c r="DJ424" i="1"/>
  <c r="P235" i="1"/>
  <c r="Q180" i="1"/>
  <c r="F436" i="1"/>
  <c r="DI180" i="1"/>
  <c r="P436" i="1"/>
  <c r="O26" i="1"/>
  <c r="F61" i="1"/>
  <c r="P347" i="1"/>
  <c r="DJ314" i="1"/>
  <c r="DG91" i="1"/>
  <c r="P150" i="1"/>
  <c r="X314" i="1"/>
  <c r="F359" i="1"/>
  <c r="EP180" i="1"/>
  <c r="P431" i="1"/>
  <c r="EP454" i="1"/>
  <c r="CB221" i="1"/>
  <c r="P444" i="1"/>
  <c r="ES180" i="1"/>
  <c r="AY365" i="1"/>
  <c r="F402" i="1"/>
  <c r="EN184" i="1"/>
  <c r="EN424" i="1"/>
  <c r="P226" i="1"/>
  <c r="CC91" i="1"/>
  <c r="AT148" i="1"/>
  <c r="FW26" i="1"/>
  <c r="EN59" i="1"/>
  <c r="P248" i="1"/>
  <c r="DQ184" i="1"/>
  <c r="DQ424" i="1"/>
  <c r="CB365" i="1"/>
  <c r="AS394" i="1"/>
  <c r="FU91" i="1"/>
  <c r="EL148" i="1"/>
  <c r="U180" i="1"/>
  <c r="F446" i="1"/>
  <c r="U454" i="1"/>
  <c r="DH180" i="1"/>
  <c r="P427" i="1"/>
  <c r="DG253" i="1"/>
  <c r="P284" i="1"/>
  <c r="EQ91" i="1"/>
  <c r="P156" i="1"/>
  <c r="EO184" i="1"/>
  <c r="EO424" i="1"/>
  <c r="P227" i="1"/>
  <c r="FX26" i="1"/>
  <c r="EO59" i="1"/>
  <c r="FT253" i="1"/>
  <c r="EK282" i="1"/>
  <c r="AW26" i="1"/>
  <c r="F65" i="1"/>
  <c r="BD18" i="1"/>
  <c r="F509" i="1"/>
  <c r="FS184" i="1"/>
  <c r="EJ221" i="1"/>
  <c r="EN365" i="1"/>
  <c r="P399" i="1"/>
  <c r="W180" i="1"/>
  <c r="F448" i="1"/>
  <c r="W454" i="1"/>
  <c r="R184" i="1"/>
  <c r="F235" i="1"/>
  <c r="R424" i="1"/>
  <c r="ER18" i="1"/>
  <c r="P495" i="1"/>
  <c r="AY91" i="1"/>
  <c r="F156" i="1"/>
  <c r="AY184" i="1"/>
  <c r="F229" i="1"/>
  <c r="AY424" i="1"/>
  <c r="FZ26" i="1"/>
  <c r="EQ59" i="1"/>
  <c r="EM18" i="1"/>
  <c r="P503" i="1"/>
  <c r="CA333" i="1"/>
  <c r="EN91" i="1"/>
  <c r="P153" i="1"/>
  <c r="T22" i="1"/>
  <c r="F475" i="1"/>
  <c r="T484" i="1"/>
  <c r="DH26" i="1"/>
  <c r="P62" i="1"/>
  <c r="DH454" i="1"/>
  <c r="P400" i="1"/>
  <c r="EO365" i="1"/>
  <c r="EN314" i="1"/>
  <c r="P338" i="1"/>
  <c r="AQ18" i="1"/>
  <c r="F494" i="1"/>
  <c r="CB253" i="1"/>
  <c r="AS282" i="1"/>
  <c r="FT314" i="1"/>
  <c r="EK333" i="1"/>
  <c r="EJ282" i="1"/>
  <c r="FS253" i="1"/>
  <c r="S314" i="1"/>
  <c r="F348" i="1"/>
  <c r="ES22" i="1"/>
  <c r="P474" i="1"/>
  <c r="W16" i="2" s="1"/>
  <c r="ES484" i="1"/>
  <c r="DT184" i="1"/>
  <c r="DG221" i="1"/>
  <c r="F223" i="1"/>
  <c r="O184" i="1"/>
  <c r="AR26" i="1"/>
  <c r="F87" i="1"/>
  <c r="DT314" i="1"/>
  <c r="DG333" i="1"/>
  <c r="DP184" i="1"/>
  <c r="DP424" i="1"/>
  <c r="P247" i="1"/>
  <c r="X184" i="1"/>
  <c r="F247" i="1"/>
  <c r="X424" i="1"/>
  <c r="P359" i="1"/>
  <c r="DP314" i="1"/>
  <c r="F360" i="1"/>
  <c r="Y314" i="1"/>
  <c r="F290" i="1"/>
  <c r="AY253" i="1"/>
  <c r="DG365" i="1"/>
  <c r="P396" i="1"/>
  <c r="F338" i="1"/>
  <c r="AV314" i="1"/>
  <c r="EJ365" i="1"/>
  <c r="P422" i="1"/>
  <c r="DM180" i="1"/>
  <c r="P446" i="1"/>
  <c r="DL22" i="1"/>
  <c r="DL484" i="1"/>
  <c r="P475" i="1"/>
  <c r="P180" i="1"/>
  <c r="F427" i="1"/>
  <c r="P229" i="1"/>
  <c r="EQ184" i="1"/>
  <c r="EQ424" i="1"/>
  <c r="AU18" i="1"/>
  <c r="F503" i="1"/>
  <c r="Y184" i="1"/>
  <c r="F248" i="1"/>
  <c r="Y424" i="1"/>
  <c r="AV253" i="1"/>
  <c r="F287" i="1"/>
  <c r="DL180" i="1"/>
  <c r="P445" i="1"/>
  <c r="Q22" i="1"/>
  <c r="F466" i="1"/>
  <c r="Q484" i="1"/>
  <c r="P73" i="1"/>
  <c r="DJ26" i="1"/>
  <c r="DJ454" i="1"/>
  <c r="AX22" i="1"/>
  <c r="AX484" i="1"/>
  <c r="F461" i="1"/>
  <c r="AR221" i="1"/>
  <c r="CA184" i="1"/>
  <c r="BA180" i="1"/>
  <c r="F444" i="1"/>
  <c r="DO424" i="1"/>
  <c r="AR148" i="1"/>
  <c r="CA91" i="1"/>
  <c r="Y365" i="1"/>
  <c r="F421" i="1"/>
  <c r="S424" i="1"/>
  <c r="P447" i="1"/>
  <c r="DN180" i="1"/>
  <c r="DN454" i="1"/>
  <c r="F447" i="1"/>
  <c r="V180" i="1"/>
  <c r="AR394" i="1"/>
  <c r="CA365" i="1"/>
  <c r="T180" i="1"/>
  <c r="F445" i="1"/>
  <c r="F67" i="1"/>
  <c r="AY26" i="1"/>
  <c r="AY454" i="1"/>
  <c r="CB333" i="1"/>
  <c r="AW314" i="1"/>
  <c r="F339" i="1"/>
  <c r="F154" i="1"/>
  <c r="AW91" i="1"/>
  <c r="O180" i="1" l="1"/>
  <c r="F426" i="1"/>
  <c r="O454" i="1"/>
  <c r="P451" i="1"/>
  <c r="DQ180" i="1"/>
  <c r="DQ454" i="1"/>
  <c r="R180" i="1"/>
  <c r="F438" i="1"/>
  <c r="R454" i="1"/>
  <c r="AW180" i="1"/>
  <c r="F430" i="1"/>
  <c r="P505" i="1"/>
  <c r="DL18" i="1"/>
  <c r="AS221" i="1"/>
  <c r="CB184" i="1"/>
  <c r="F451" i="1"/>
  <c r="Y180" i="1"/>
  <c r="EN26" i="1"/>
  <c r="P64" i="1"/>
  <c r="EN454" i="1"/>
  <c r="FS26" i="1"/>
  <c r="EJ59" i="1"/>
  <c r="AY22" i="1"/>
  <c r="AY484" i="1"/>
  <c r="F462" i="1"/>
  <c r="P310" i="1"/>
  <c r="EJ253" i="1"/>
  <c r="W22" i="1"/>
  <c r="F478" i="1"/>
  <c r="W484" i="1"/>
  <c r="DJ22" i="1"/>
  <c r="DJ484" i="1"/>
  <c r="P468" i="1"/>
  <c r="Y454" i="1"/>
  <c r="U22" i="1"/>
  <c r="F476" i="1"/>
  <c r="U484" i="1"/>
  <c r="EK365" i="1"/>
  <c r="P411" i="1"/>
  <c r="EO26" i="1"/>
  <c r="P65" i="1"/>
  <c r="EO454" i="1"/>
  <c r="DK180" i="1"/>
  <c r="P439" i="1"/>
  <c r="DK454" i="1"/>
  <c r="T18" i="1"/>
  <c r="F505" i="1"/>
  <c r="V18" i="1"/>
  <c r="F507" i="1"/>
  <c r="AR91" i="1"/>
  <c r="F176" i="1"/>
  <c r="Q18" i="1"/>
  <c r="F496" i="1"/>
  <c r="P432" i="1"/>
  <c r="EQ180" i="1"/>
  <c r="P223" i="1"/>
  <c r="DG184" i="1"/>
  <c r="DG424" i="1"/>
  <c r="EL91" i="1"/>
  <c r="P166" i="1"/>
  <c r="EL454" i="1"/>
  <c r="EN180" i="1"/>
  <c r="P429" i="1"/>
  <c r="P438" i="1"/>
  <c r="DJ180" i="1"/>
  <c r="BA18" i="1"/>
  <c r="F504" i="1"/>
  <c r="DM18" i="1"/>
  <c r="P506" i="1"/>
  <c r="P18" i="1"/>
  <c r="F487" i="1"/>
  <c r="CA314" i="1"/>
  <c r="AR333" i="1"/>
  <c r="EJ91" i="1"/>
  <c r="P176" i="1"/>
  <c r="DN22" i="1"/>
  <c r="P477" i="1"/>
  <c r="DN484" i="1"/>
  <c r="AV22" i="1"/>
  <c r="AV484" i="1"/>
  <c r="F459" i="1"/>
  <c r="FT26" i="1"/>
  <c r="EK59" i="1"/>
  <c r="EK314" i="1"/>
  <c r="P350" i="1"/>
  <c r="F335" i="1"/>
  <c r="O314" i="1"/>
  <c r="P361" i="1"/>
  <c r="EJ314" i="1"/>
  <c r="P448" i="1"/>
  <c r="DO180" i="1"/>
  <c r="DO454" i="1"/>
  <c r="P450" i="1"/>
  <c r="DP180" i="1"/>
  <c r="DP454" i="1"/>
  <c r="F411" i="1"/>
  <c r="AS365" i="1"/>
  <c r="AZ18" i="1"/>
  <c r="F495" i="1"/>
  <c r="DG314" i="1"/>
  <c r="P335" i="1"/>
  <c r="F249" i="1"/>
  <c r="AR424" i="1"/>
  <c r="AR184" i="1"/>
  <c r="AW454" i="1"/>
  <c r="CB314" i="1"/>
  <c r="AS333" i="1"/>
  <c r="AX18" i="1"/>
  <c r="F491" i="1"/>
  <c r="EQ26" i="1"/>
  <c r="P67" i="1"/>
  <c r="EQ454" i="1"/>
  <c r="EP22" i="1"/>
  <c r="P461" i="1"/>
  <c r="EP484" i="1"/>
  <c r="DI18" i="1"/>
  <c r="P496" i="1"/>
  <c r="S180" i="1"/>
  <c r="F439" i="1"/>
  <c r="S454" i="1"/>
  <c r="DH22" i="1"/>
  <c r="DH484" i="1"/>
  <c r="P457" i="1"/>
  <c r="EK253" i="1"/>
  <c r="P299" i="1"/>
  <c r="AT91" i="1"/>
  <c r="F166" i="1"/>
  <c r="AT454" i="1"/>
  <c r="X180" i="1"/>
  <c r="F450" i="1"/>
  <c r="X454" i="1"/>
  <c r="AY180" i="1"/>
  <c r="F432" i="1"/>
  <c r="AS253" i="1"/>
  <c r="F299" i="1"/>
  <c r="P249" i="1"/>
  <c r="EJ184" i="1"/>
  <c r="EJ424" i="1"/>
  <c r="EO180" i="1"/>
  <c r="P430" i="1"/>
  <c r="DG26" i="1"/>
  <c r="P61" i="1"/>
  <c r="DG454" i="1"/>
  <c r="F422" i="1"/>
  <c r="AR365" i="1"/>
  <c r="ES18" i="1"/>
  <c r="P504" i="1"/>
  <c r="AV180" i="1"/>
  <c r="F429" i="1"/>
  <c r="AR253" i="1"/>
  <c r="F310" i="1"/>
  <c r="P238" i="1"/>
  <c r="EK184" i="1"/>
  <c r="EK424" i="1"/>
  <c r="F350" i="1" l="1"/>
  <c r="AS314" i="1"/>
  <c r="EK26" i="1"/>
  <c r="P76" i="1"/>
  <c r="EK454" i="1"/>
  <c r="EK180" i="1"/>
  <c r="P441" i="1"/>
  <c r="F481" i="1"/>
  <c r="Y484" i="1"/>
  <c r="Y22" i="1"/>
  <c r="DK22" i="1"/>
  <c r="DK484" i="1"/>
  <c r="P469" i="1"/>
  <c r="Y16" i="2" s="1"/>
  <c r="AT22" i="1"/>
  <c r="F472" i="1"/>
  <c r="F16" i="2" s="1"/>
  <c r="AT484" i="1"/>
  <c r="AV18" i="1"/>
  <c r="F489" i="1"/>
  <c r="EP18" i="1"/>
  <c r="P491" i="1"/>
  <c r="EJ180" i="1"/>
  <c r="P452" i="1"/>
  <c r="EO22" i="1"/>
  <c r="P460" i="1"/>
  <c r="EO484" i="1"/>
  <c r="EQ22" i="1"/>
  <c r="EQ484" i="1"/>
  <c r="P462" i="1"/>
  <c r="DG22" i="1"/>
  <c r="DG484" i="1"/>
  <c r="P456" i="1"/>
  <c r="AW22" i="1"/>
  <c r="F460" i="1"/>
  <c r="AW484" i="1"/>
  <c r="DN18" i="1"/>
  <c r="P507" i="1"/>
  <c r="W18" i="1"/>
  <c r="F508" i="1"/>
  <c r="AS424" i="1"/>
  <c r="AS184" i="1"/>
  <c r="F238" i="1"/>
  <c r="S22" i="1"/>
  <c r="F469" i="1"/>
  <c r="S484" i="1"/>
  <c r="AY18" i="1"/>
  <c r="F492" i="1"/>
  <c r="X22" i="1"/>
  <c r="X484" i="1"/>
  <c r="F480" i="1"/>
  <c r="DP22" i="1"/>
  <c r="DP484" i="1"/>
  <c r="P480" i="1"/>
  <c r="P426" i="1"/>
  <c r="DG180" i="1"/>
  <c r="EJ26" i="1"/>
  <c r="P87" i="1"/>
  <c r="EJ454" i="1"/>
  <c r="R22" i="1"/>
  <c r="F468" i="1"/>
  <c r="R484" i="1"/>
  <c r="DO22" i="1"/>
  <c r="P478" i="1"/>
  <c r="DO484" i="1"/>
  <c r="DJ18" i="1"/>
  <c r="P498" i="1"/>
  <c r="EN22" i="1"/>
  <c r="EN484" i="1"/>
  <c r="P459" i="1"/>
  <c r="F452" i="1"/>
  <c r="AR180" i="1"/>
  <c r="AR454" i="1"/>
  <c r="DQ22" i="1"/>
  <c r="DQ484" i="1"/>
  <c r="P481" i="1"/>
  <c r="O22" i="1"/>
  <c r="O484" i="1"/>
  <c r="F456" i="1"/>
  <c r="DH18" i="1"/>
  <c r="P487" i="1"/>
  <c r="F361" i="1"/>
  <c r="AR314" i="1"/>
  <c r="EL22" i="1"/>
  <c r="P472" i="1"/>
  <c r="U16" i="2" s="1"/>
  <c r="EL484" i="1"/>
  <c r="U18" i="1"/>
  <c r="F506" i="1"/>
  <c r="R18" i="1" l="1"/>
  <c r="F498" i="1"/>
  <c r="AW18" i="1"/>
  <c r="F490" i="1"/>
  <c r="Y18" i="1"/>
  <c r="F511" i="1"/>
  <c r="EN18" i="1"/>
  <c r="P489" i="1"/>
  <c r="AT18" i="1"/>
  <c r="F502" i="1"/>
  <c r="EL18" i="1"/>
  <c r="P502" i="1"/>
  <c r="DK18" i="1"/>
  <c r="P499" i="1"/>
  <c r="J16" i="2"/>
  <c r="EK484" i="1"/>
  <c r="EK22" i="1"/>
  <c r="P471" i="1"/>
  <c r="T16" i="2" s="1"/>
  <c r="X16" i="2" s="1"/>
  <c r="AC16" i="2" s="1"/>
  <c r="X18" i="1"/>
  <c r="F510" i="1"/>
  <c r="AR22" i="1"/>
  <c r="AR484" i="1"/>
  <c r="F482" i="1"/>
  <c r="EJ22" i="1"/>
  <c r="P482" i="1"/>
  <c r="EJ484" i="1"/>
  <c r="S18" i="1"/>
  <c r="F499" i="1"/>
  <c r="DG18" i="1"/>
  <c r="P486" i="1"/>
  <c r="O18" i="1"/>
  <c r="F486" i="1"/>
  <c r="DO18" i="1"/>
  <c r="P508" i="1"/>
  <c r="DP18" i="1"/>
  <c r="P510" i="1"/>
  <c r="AS180" i="1"/>
  <c r="F441" i="1"/>
  <c r="AS454" i="1"/>
  <c r="EQ18" i="1"/>
  <c r="P492" i="1"/>
  <c r="DQ18" i="1"/>
  <c r="P511" i="1"/>
  <c r="EO18" i="1"/>
  <c r="P490" i="1"/>
  <c r="AR18" i="1" l="1"/>
  <c r="F512" i="1"/>
  <c r="EK18" i="1"/>
  <c r="P501" i="1"/>
  <c r="AS22" i="1"/>
  <c r="AS484" i="1"/>
  <c r="F471" i="1"/>
  <c r="E16" i="2" s="1"/>
  <c r="I16" i="2" s="1"/>
  <c r="N16" i="2" s="1"/>
  <c r="EJ18" i="1"/>
  <c r="P512" i="1"/>
  <c r="AS18" i="1" l="1"/>
  <c r="F501" i="1"/>
</calcChain>
</file>

<file path=xl/sharedStrings.xml><?xml version="1.0" encoding="utf-8"?>
<sst xmlns="http://schemas.openxmlformats.org/spreadsheetml/2006/main" count="18060" uniqueCount="786">
  <si>
    <t>Smeta.RU  (495) 974-1589</t>
  </si>
  <si>
    <t>_PS_</t>
  </si>
  <si>
    <t>Smeta.RU</t>
  </si>
  <si>
    <t/>
  </si>
  <si>
    <t>02-01-01 КЛ - 10 кВ траншея</t>
  </si>
  <si>
    <t>02-01-01 Строительство КЛ - 10 кВ траншея</t>
  </si>
  <si>
    <t>Сметные нормы списания</t>
  </si>
  <si>
    <t>Коды ОКП для ТСН-2001 МГЭ (История развития)</t>
  </si>
  <si>
    <t>Типовой расчет для ТСН-2001 МГЭ, Новая методика с выпуска доп. 43 (Строительство), Доп 73</t>
  </si>
  <si>
    <t>История развития для ТСН-2001 (МГЭ) 73 доп от 17.07.2024</t>
  </si>
  <si>
    <t>Поправки для ТСН-2001 от 16.04.2024 г. доп.72</t>
  </si>
  <si>
    <t>Территориальные сметные нормативы для Москвы (ТСН-2001)</t>
  </si>
  <si>
    <t>ТЕР</t>
  </si>
  <si>
    <t>Новая локальная смета</t>
  </si>
  <si>
    <t>Строительство КЛ 10 кВ</t>
  </si>
  <si>
    <t>Новый раздел</t>
  </si>
  <si>
    <t>Земляные работы</t>
  </si>
  <si>
    <t>1</t>
  </si>
  <si>
    <t>3.1-51-1</t>
  </si>
  <si>
    <t>Разработка грунта вручную в траншеях глубиной до 2 м без креплений с откосами группа грунтов 1-3</t>
  </si>
  <si>
    <t>100 м3 грунта</t>
  </si>
  <si>
    <t>ТСН-2001.3. Доп. 1-42. Сб. 1, т. 51, поз. 1</t>
  </si>
  <si>
    <t>*1,05</t>
  </si>
  <si>
    <t>Строительные работы</t>
  </si>
  <si>
    <t>ТСН-2001.3-1. 1-49...1-55</t>
  </si>
  <si>
    <t>ТСН-2001.3-1-15</t>
  </si>
  <si>
    <t>Поправка: О.П. п.3.4.30.г</t>
  </si>
  <si>
    <t>2</t>
  </si>
  <si>
    <t>3.1-7-2</t>
  </si>
  <si>
    <t>Разработка грунта с погрузкой на автомобили-самосвалы экскаваторами с ковшом вместимостью 0,25 м3 группа грунтов 1-3</t>
  </si>
  <si>
    <t>ТСН-2001.3 Доп. 70, Сб. 1, т. 7, поз. 2</t>
  </si>
  <si>
    <t>ТСН-2001.3-1. 1-1...1-7</t>
  </si>
  <si>
    <t>ТСН-2001.3-1-1</t>
  </si>
  <si>
    <t>3</t>
  </si>
  <si>
    <t>3.1-3-2</t>
  </si>
  <si>
    <t>Разработка грунта в отвал экскаваторами с ковшом вместимостью 0,25 м3 группа грунтов 1-3</t>
  </si>
  <si>
    <t>ТСН-2001.3 Доп. 68, Сб. 1, т. 3, поз. 2</t>
  </si>
  <si>
    <t>4</t>
  </si>
  <si>
    <t>3.1-53-1</t>
  </si>
  <si>
    <t>Засыпка вручную траншей, пазух котлованов и ям группа грунтов 1-3</t>
  </si>
  <si>
    <t>ТСН-2001.3. Доп. 1-42. Сб. 1, т. 53, поз. 1</t>
  </si>
  <si>
    <t>5</t>
  </si>
  <si>
    <t>3.1-14-1</t>
  </si>
  <si>
    <t>Засыпка траншей и котлованов бульдозерами мощностью 59 (80) кВт (л.с.) при перемещении грунта до 5 м группа грунтов 1-3</t>
  </si>
  <si>
    <t>ТСН-2001.3 Доп. 68, Сб. 1, т. 14, поз. 1</t>
  </si>
  <si>
    <t>ТСН-2001.3-1. 1-11...1-17</t>
  </si>
  <si>
    <t>ТСН-2001.3-1-4</t>
  </si>
  <si>
    <t>6</t>
  </si>
  <si>
    <t>3.34-17-4</t>
  </si>
  <si>
    <t>Устройство трубопроводов из асбестоцементных труб с соединением манжетами полиэтиленовыми более 2-х отверстий</t>
  </si>
  <si>
    <t>1 канало-километр трубопровода</t>
  </si>
  <si>
    <t>ТСН-2001.3. Доп. 1-42. Сб. 34, т. 17, поз. 4</t>
  </si>
  <si>
    <t>ТСН-2001.3-34. 34-17...34-28</t>
  </si>
  <si>
    <t>ТСН-2001.3-34-6</t>
  </si>
  <si>
    <t>7</t>
  </si>
  <si>
    <t>1.12-3-25</t>
  </si>
  <si>
    <t>Трубы хризотилцементные безнапорные, марка БНТ, диаметр условного прохода 100 мм, внутренний диаметр 100 мм</t>
  </si>
  <si>
    <t>м</t>
  </si>
  <si>
    <t>ТСН-2001.1 Доп. 70, Р. 12, о. 3, поз. 25</t>
  </si>
  <si>
    <t>Материалы строительные</t>
  </si>
  <si>
    <t>ТСН-2001.1 Материалы строительные</t>
  </si>
  <si>
    <t>ТСН-2001.1-1</t>
  </si>
  <si>
    <t>8</t>
  </si>
  <si>
    <t>1.12-3-26</t>
  </si>
  <si>
    <t>Трубы хризотилцементные безнапорные, марка БНТ, диаметр условного прохода 150 мм, внутренний диаметр 141 мм</t>
  </si>
  <si>
    <t>ТСН-2001.1 Доп. 70, Р. 12, о. 3, поз. 26</t>
  </si>
  <si>
    <t>9</t>
  </si>
  <si>
    <t>3.34-55-5</t>
  </si>
  <si>
    <t>Устройство кабельной канализации из полиэтиленовых труб диаметром 160 мм, первая труба</t>
  </si>
  <si>
    <t>1 км трубопровода</t>
  </si>
  <si>
    <t>ТСН-2001.3 Доп. 68, Сб. 34, т. 55, поз. 5</t>
  </si>
  <si>
    <t>ТСН-2001.3-34. 34-55-1...34-55-10 (доп. 68)</t>
  </si>
  <si>
    <t>ТСН-2001.3-34-20</t>
  </si>
  <si>
    <t>10</t>
  </si>
  <si>
    <t>3.34-55-6</t>
  </si>
  <si>
    <t>Добавлять на каждую последующую трубу к позиции 3.34-55-5</t>
  </si>
  <si>
    <t>ТСН-2001.3 Доп. 68, Сб. 34, т. 55, поз. 6</t>
  </si>
  <si>
    <t>11</t>
  </si>
  <si>
    <t>КП</t>
  </si>
  <si>
    <t>Труба ТЗК Энергопласт ТС3  160/8 SN8 F4 МКС</t>
  </si>
  <si>
    <t>[1 265,88 / 1,2] +  2% Трансп</t>
  </si>
  <si>
    <t>0</t>
  </si>
  <si>
    <t>12</t>
  </si>
  <si>
    <t>1.1-1-766</t>
  </si>
  <si>
    <t>Песок для строительных работ, рядовой (карьерный)</t>
  </si>
  <si>
    <t>м3</t>
  </si>
  <si>
    <t>ТСН-2001.1 Доп. 69, Р. 1, о. 1, поз. 766</t>
  </si>
  <si>
    <t>13</t>
  </si>
  <si>
    <t>1.12-3-62</t>
  </si>
  <si>
    <t>Заглушка (пробка) полиэтиленовая для каналов кабельной канализации из хризотилцементных труб внутренним диаметром 150 мм</t>
  </si>
  <si>
    <t>шт.</t>
  </si>
  <si>
    <t>ТСН-2001.1 Доп. 70, Р. 12, о. 3, поз. 62</t>
  </si>
  <si>
    <t>14</t>
  </si>
  <si>
    <t>3.13-30-1</t>
  </si>
  <si>
    <t>Огнезащитное покрытие терморасширяющимися составами электрических кабелей с применением окрасочного безвоздушного агрегата</t>
  </si>
  <si>
    <t>100 м2 покрытия</t>
  </si>
  <si>
    <t>ТСН-2001.3 Доп. 71, Сб. 13, т. 30, поз. 1</t>
  </si>
  <si>
    <t>ТСН-2001.3-13. 13-17-6, 13-17-7, 13-18...13-38</t>
  </si>
  <si>
    <t>ТСН-2001.3-13-3</t>
  </si>
  <si>
    <t>15</t>
  </si>
  <si>
    <t>Огнезащитный состав СТАБИТЕРМ-225 3кп</t>
  </si>
  <si>
    <t>кг</t>
  </si>
  <si>
    <t>[594 / 1,2] +  2% Трансп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</si>
  <si>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</si>
  <si>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</si>
  <si>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</si>
  <si>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</si>
  <si>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</si>
  <si>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</si>
  <si>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</si>
  <si>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</si>
  <si>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</si>
  <si>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</si>
  <si>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</si>
  <si>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</si>
  <si>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</si>
  <si>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</si>
  <si>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</si>
  <si>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</si>
  <si>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</si>
  <si>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</si>
  <si>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</si>
  <si>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</si>
  <si>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</si>
  <si>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</si>
  <si>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</si>
  <si>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</si>
  <si>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</si>
  <si>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</si>
  <si>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</si>
  <si>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</si>
  <si>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</si>
  <si>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</si>
  <si>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</si>
  <si>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</si>
  <si>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</si>
  <si>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</si>
  <si>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</si>
  <si>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</si>
  <si>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</si>
  <si>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</si>
  <si>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</si>
  <si>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</si>
  <si>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</si>
  <si>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</si>
  <si>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</si>
  <si>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</si>
  <si>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</si>
  <si>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</si>
  <si>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</si>
  <si>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</si>
  <si>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</si>
  <si>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</si>
  <si>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</si>
  <si>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</si>
  <si>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</si>
  <si>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</si>
  <si>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Монтажные работы</t>
  </si>
  <si>
    <t>16</t>
  </si>
  <si>
    <t>4.8-74-1</t>
  </si>
  <si>
    <t>Устройство постели при одном кабеле в траншее</t>
  </si>
  <si>
    <t>100 М КАБЕЛЯ</t>
  </si>
  <si>
    <t>ТСН-2001.4 Доп. 68, Сб. 8, т. 74, поз. 1</t>
  </si>
  <si>
    <t>*1</t>
  </si>
  <si>
    <t>*1,05)*1,2</t>
  </si>
  <si>
    <t>Монтаж оборудования</t>
  </si>
  <si>
    <t>ТСН-2001.4-8. 8-73...8-80</t>
  </si>
  <si>
    <t>ТСН-2001.4-8-3</t>
  </si>
  <si>
    <t>Поправка: О.П. п.3.4.30.г Поправка: Гл.4.Прил.2.2.п.2.2.3_04.00.01.01.001</t>
  </si>
  <si>
    <t>17</t>
  </si>
  <si>
    <t>18</t>
  </si>
  <si>
    <t>4.8-74-2</t>
  </si>
  <si>
    <t>Добавлять на каждый последующий кабель при устройстве постели (к норме и расценке 4.8-74-1)</t>
  </si>
  <si>
    <t>ТСН-2001.4 Доп. 68, Сб. 8, т. 74, поз. 2</t>
  </si>
  <si>
    <t>Поправка: О.П. п.3.4.30.г Поправка: О.П. п.3.4.30.а</t>
  </si>
  <si>
    <t>19</t>
  </si>
  <si>
    <t>20</t>
  </si>
  <si>
    <t>21</t>
  </si>
  <si>
    <t>4.8-73-2</t>
  </si>
  <si>
    <t>Прокладка кабеля напряжением до 35 кВ в готовых траншеях без покрытий при массе 1 м до 2 кг</t>
  </si>
  <si>
    <t>ТСН-2001.4 Доп. 69, Сб. 8, т. 73, поз. 2</t>
  </si>
  <si>
    <t>22</t>
  </si>
  <si>
    <t>23</t>
  </si>
  <si>
    <t>4.8-80-2</t>
  </si>
  <si>
    <t>Прокладка кабеля напряжением до 35 кВ в проложенных трубах, блоках и коробах, при массе 1 м до 2 кг</t>
  </si>
  <si>
    <t>ТСН-2001.4 Доп. 69, Сб. 8, т. 80, поз. 2</t>
  </si>
  <si>
    <t>24</t>
  </si>
  <si>
    <t>25</t>
  </si>
  <si>
    <t>4.8-77-2</t>
  </si>
  <si>
    <t>Прокладка кабеля напряжением до 35 кВ по дну канала без креплений при массе 1 м до 2 кг</t>
  </si>
  <si>
    <t>ТСН-2001.4 Доп. 69, Сб. 8, т. 77, поз. 2</t>
  </si>
  <si>
    <t>26</t>
  </si>
  <si>
    <t>1.23-7-391</t>
  </si>
  <si>
    <t>Кабель силовой с алюминиевой многопроволочной жилой, с изоляцией из сшитого полиэтилена, с медным экраном, с водоблокирующей лентой под металлическим экраном, марка АПвПуг, напряжение 10000 В, число жил, сечение жилы, экран 1х120/35 мм2</t>
  </si>
  <si>
    <t>км</t>
  </si>
  <si>
    <t>ТСН-2001.1 Доп. 73, Р. 23, о. 7, поз. 391</t>
  </si>
  <si>
    <t>Материалы монтажные</t>
  </si>
  <si>
    <t>ТСН-2001.1 Материалы монтажные</t>
  </si>
  <si>
    <t>ТСН-2001.1-2</t>
  </si>
  <si>
    <t>27</t>
  </si>
  <si>
    <t>28</t>
  </si>
  <si>
    <t>4.8-75-5</t>
  </si>
  <si>
    <t>Покрытие кабеля, проложенного в траншее, плитами из полимернаполненных материалов в один ряд размером 48х24 см, расположенными вдоль кабельной линии</t>
  </si>
  <si>
    <t>ТСН-2001.4 Доп. 68, Сб. 8, т. 75, поз. 5</t>
  </si>
  <si>
    <t>ТСН-2001.4-8. 8-75-5…8-75-11 (доп. 19)</t>
  </si>
  <si>
    <t>ТСН-2001.4-8-26</t>
  </si>
  <si>
    <t>29</t>
  </si>
  <si>
    <t>30</t>
  </si>
  <si>
    <t>4.8-75-6</t>
  </si>
  <si>
    <t>Покрытие кабеля, проложенного в траншее, плитами из полимернаполненных материалов в один ряд размером 48х36 см, расположенными вдоль кабельной линии</t>
  </si>
  <si>
    <t>ТСН-2001.4 Доп. 68, Сб. 8, т. 75, поз. 6</t>
  </si>
  <si>
    <t>31</t>
  </si>
  <si>
    <t>32</t>
  </si>
  <si>
    <t>4.8-75-10</t>
  </si>
  <si>
    <t>Добавлять на каждый последующий ряд покрытия кабеля, проложенного в траншее, при покрытии плитами размером 48х36 см из полимернаполненных материалов, расположенными вдоль кабельной линии (к норме и расценке 4.8-75-6)</t>
  </si>
  <si>
    <t>ТСН-2001.4 Доп. 68, Сб. 8, т. 75, поз. 10</t>
  </si>
  <si>
    <t>33</t>
  </si>
  <si>
    <t>34</t>
  </si>
  <si>
    <t>4.8-305-4</t>
  </si>
  <si>
    <t>Монтаж концевой муфты термоусаживаемой для одножильного кабеля с изоляцией из сшитого полиэтилена, напряжением до 10 кВ, сечением жилы до 240 мм2</t>
  </si>
  <si>
    <t>1 комплект</t>
  </si>
  <si>
    <t>ТСН-2001.4 Доп. 68, Сб. 8, т. 305, поз. 4</t>
  </si>
  <si>
    <t>ТСН-2001.4-8. 8-305-3, 8-305-4, 8-318-1, 8-319-1 (доп. 56)</t>
  </si>
  <si>
    <t>ТСН-2001.4-8-43</t>
  </si>
  <si>
    <t>35</t>
  </si>
  <si>
    <t>Цена поставщика</t>
  </si>
  <si>
    <t>Муфта концевая ПКВтО 150/240</t>
  </si>
  <si>
    <t>КОМПЛ</t>
  </si>
  <si>
    <t>Материалы</t>
  </si>
  <si>
    <t>Материалы, изделия и конструкции</t>
  </si>
  <si>
    <t>[6 264 / 1,2]</t>
  </si>
  <si>
    <t>36</t>
  </si>
  <si>
    <t>4.8-306-1</t>
  </si>
  <si>
    <t>Монтаж системы изоляционного адаптера для кабельного ввода напряжением до 10 кВ</t>
  </si>
  <si>
    <t>100 жил</t>
  </si>
  <si>
    <t>ТСН-2001.4 Доп. 68, Сб. 8, т. 306, поз. 1</t>
  </si>
  <si>
    <t>ТСН-2001.4-8. 8-301…8-309 (доп. 30)</t>
  </si>
  <si>
    <t>ТСН-2001.4-8-34</t>
  </si>
  <si>
    <t>37</t>
  </si>
  <si>
    <t>1.21-5-607</t>
  </si>
  <si>
    <t>Адаптер изоляционный T-образный, для соединения концевых кабельных муфт с проходными изоляторами типа С вводов распределительных устройств с элегазовой изоляцией, номинальное напряжение/сечение жилы: 10 кВ/от 120 до 240 мм2, 20 кВ/от 95 до 185 мм2</t>
  </si>
  <si>
    <t>КОМПЛЕКТ</t>
  </si>
  <si>
    <t>ТСН-2001.1 Доп. 54, Р. 21, о. 5, поз. 607</t>
  </si>
  <si>
    <t>38</t>
  </si>
  <si>
    <t>4.8-320-2</t>
  </si>
  <si>
    <t>1  ШТ.</t>
  </si>
  <si>
    <t>ТСН-2001.4 Доп. 68, Сб. 8, т. 320, поз. 2</t>
  </si>
  <si>
    <t>ТСН-2001.4-8. 8-304-3, 8-320-2 (доп. 60)</t>
  </si>
  <si>
    <t>ТСН-2001.4-8-46</t>
  </si>
  <si>
    <t>39</t>
  </si>
  <si>
    <t>1.21-5-625</t>
  </si>
  <si>
    <t>ТСН-2001.1 Доп. 55, Р. 21, о. 5, поз. 625</t>
  </si>
  <si>
    <t>40</t>
  </si>
  <si>
    <t>4.8-301-1</t>
  </si>
  <si>
    <t>Монтаж уплотнителя кабельного прохода термоусаживаемого</t>
  </si>
  <si>
    <t>100 компл.</t>
  </si>
  <si>
    <t>ТСН-2001.4 Доп. 68, Сб. 8, т. 301, поз. 1</t>
  </si>
  <si>
    <t>41</t>
  </si>
  <si>
    <t>42</t>
  </si>
  <si>
    <t>1.21-5-1069</t>
  </si>
  <si>
    <t>Уплотнитель кабельных проходов, типа УКПТ</t>
  </si>
  <si>
    <t>ТСН-2001.1 Доп. 73, Р. 21, о. 5, поз. 1069</t>
  </si>
  <si>
    <t>Благоустройство</t>
  </si>
  <si>
    <t>Новый подраздел</t>
  </si>
  <si>
    <t>Дорога</t>
  </si>
  <si>
    <t>43</t>
  </si>
  <si>
    <t>6.68-51-4</t>
  </si>
  <si>
    <t>Разборка покрытий и оснований асфальтобетонных</t>
  </si>
  <si>
    <t>100 м3 конструкций</t>
  </si>
  <si>
    <t>ТСН-2001.6 Доп. 68, Сб. 68, т. 51, поз. 4</t>
  </si>
  <si>
    <t>Ремонтно-строительные работы</t>
  </si>
  <si>
    <t>ТСН-2001.6-68. 68-51...68-53</t>
  </si>
  <si>
    <t>ТСН-2001.6-68-21</t>
  </si>
  <si>
    <t>44</t>
  </si>
  <si>
    <t>6.68-51-5</t>
  </si>
  <si>
    <t>Разборка покрытий и оснований цементобетонных</t>
  </si>
  <si>
    <t>ТСН-2001.6 Доп. 68, Сб. 68, т. 51, поз. 5</t>
  </si>
  <si>
    <t>45</t>
  </si>
  <si>
    <t>6.68-13-1</t>
  </si>
  <si>
    <t>Механизированная погрузка строительного мусора в автомобили-самосвалы</t>
  </si>
  <si>
    <t>1 Т</t>
  </si>
  <si>
    <t>ТСН-2001.6. Доп. 1-42. Сб. 68, т. 13, поз. 1</t>
  </si>
  <si>
    <t>ТСН-2001.6-68. 68-13</t>
  </si>
  <si>
    <t>ТСН-2001.6-68-5</t>
  </si>
  <si>
    <t>46</t>
  </si>
  <si>
    <t>3.27-12-1</t>
  </si>
  <si>
    <t>Устройство подстилающих и выравнивающих слоев оснований из песка  (ДОРОГИ И ПРОЕЗЖАЯ ЧАСТЬ)</t>
  </si>
  <si>
    <t>100 м3 материала основания (в плотном теле)</t>
  </si>
  <si>
    <t>ТСН-2001.3 Доп. 69, Сб. 27, т. 12, поз. 1</t>
  </si>
  <si>
    <t>ТСН-2001.3-27. 27-1...27-21</t>
  </si>
  <si>
    <t>ТСН-2001.3-27-1</t>
  </si>
  <si>
    <t>46,1</t>
  </si>
  <si>
    <t>Песок для строительных работ, рядовой</t>
  </si>
  <si>
    <t>47</t>
  </si>
  <si>
    <t>3.27-30-1</t>
  </si>
  <si>
    <t>Устройство цементобетонных оснований городских проездов толщина слоя, см 16</t>
  </si>
  <si>
    <t>1000 м2 основания</t>
  </si>
  <si>
    <t>ТСН-2001.3 Доп. 73, Сб. 27, т. 30, поз. 1</t>
  </si>
  <si>
    <t>ТСН-2001.3-27. 27-29, 27-30</t>
  </si>
  <si>
    <t>ТСН-2001.3-27-7</t>
  </si>
  <si>
    <t>47,1</t>
  </si>
  <si>
    <t>1.3-1-36</t>
  </si>
  <si>
    <t>Смеси бетонные, БСГ, тяжелого бетона на гранитном щебне, класс прочности В7,5 (М100); П3, фракция 5-20</t>
  </si>
  <si>
    <t>ТСН-2001.1 Доп. 67, Р. 3, о. 1, поз. 36</t>
  </si>
  <si>
    <t>48</t>
  </si>
  <si>
    <t>3.27-30-2</t>
  </si>
  <si>
    <t>Устройство цементобетонных оснований городских проездов добавлять или исключать на каждый 1 см изменения толщины слоя</t>
  </si>
  <si>
    <t>ТСН-2001.3. Доп. 1-42. Сб. 27, т. 30, поз. 2</t>
  </si>
  <si>
    <t>48,1</t>
  </si>
  <si>
    <t>49</t>
  </si>
  <si>
    <t>3.27-42-1</t>
  </si>
  <si>
    <t>Устройство покрытий из горячих асфальтобетонных смесей толщиной 4 см комплектом машин</t>
  </si>
  <si>
    <t>ТСН-2001.3 Доп. 69, Сб. 27, т. 42, поз. 1</t>
  </si>
  <si>
    <t>ТСН-2001.3-27. 27-42...27-46</t>
  </si>
  <si>
    <t>ТСН-2001.3-27-13</t>
  </si>
  <si>
    <t>49,1</t>
  </si>
  <si>
    <t>1.3-3-3</t>
  </si>
  <si>
    <t>Смеси асфальтобетонные дорожные горячие крупнозернистые, тип I</t>
  </si>
  <si>
    <t>т</t>
  </si>
  <si>
    <t>ТСН-2001.1 Доп. 67, Р. 3, о. 3, поз. 3</t>
  </si>
  <si>
    <t>50</t>
  </si>
  <si>
    <t>50,1</t>
  </si>
  <si>
    <t>51</t>
  </si>
  <si>
    <t>3.27-43-1</t>
  </si>
  <si>
    <t>Добавляется на каждый 1 см изменения толщины слоя сверх 4 см к позиции 3.27-42-1</t>
  </si>
  <si>
    <t>ТСН-2001.3 Доп. 73, Сб. 27, т. 43, поз. 1</t>
  </si>
  <si>
    <t>*1,05*5</t>
  </si>
  <si>
    <t>51,1</t>
  </si>
  <si>
    <t>*5</t>
  </si>
  <si>
    <t>52</t>
  </si>
  <si>
    <t>52,1</t>
  </si>
  <si>
    <t>1.3-3-7</t>
  </si>
  <si>
    <t>Смеси асфальтобетонные дорожные горячие мелкозернистые, марка I, тип А</t>
  </si>
  <si>
    <t>ТСН-2001.1 Доп. 67, Р. 3, о. 3, поз. 7</t>
  </si>
  <si>
    <t>Тротуар</t>
  </si>
  <si>
    <t>53</t>
  </si>
  <si>
    <t>54</t>
  </si>
  <si>
    <t>6.68-51-2</t>
  </si>
  <si>
    <t>Разборка покрытий и оснований щебеночных</t>
  </si>
  <si>
    <t>ТСН-2001.6 Доп. 68, Сб. 68, т. 51, поз. 2</t>
  </si>
  <si>
    <t>55</t>
  </si>
  <si>
    <t>56</t>
  </si>
  <si>
    <t>УСТРОЙСТВО ПОДСТИЛАЮЩИХ И ВЫРАВНИВАЮЩИХ СЛОЕВ ОСНОВАНИЙ ИЗ ПЕСКА  ПОД ТРОТУАР</t>
  </si>
  <si>
    <t>56,1</t>
  </si>
  <si>
    <t>57</t>
  </si>
  <si>
    <t>3.27-48-1</t>
  </si>
  <si>
    <t>Устройство оснований под тротуары из щебня толщиной 12 см</t>
  </si>
  <si>
    <t>100 м2 дорожек и тротуаров</t>
  </si>
  <si>
    <t>ТСН-2001.3 Доп. 68, Сб. 27, т. 48, поз. 1</t>
  </si>
  <si>
    <t>ТСН-2001.3-27. 27-48</t>
  </si>
  <si>
    <t>ТСН-2001.3-27-15</t>
  </si>
  <si>
    <t>57,1</t>
  </si>
  <si>
    <t>1.1-1-1555</t>
  </si>
  <si>
    <t>Щебень из естественного камня для дорожных работ, марка 1200 - 800, фракция 20 - 40 мм</t>
  </si>
  <si>
    <t>ТСН-2001.1 Доп. 67, Р. 1, о. 1, поз. 1555</t>
  </si>
  <si>
    <t>58</t>
  </si>
  <si>
    <t>3.27-47-3</t>
  </si>
  <si>
    <t>Устройство асфальтобетонных покрытий дорожек и тротуаров двухслойных нижний слой из крупнозернистой асфальтобетонной смеси толщиной 4,5 см  (6см)</t>
  </si>
  <si>
    <t>ТСН-2001.3 Доп. 68, Сб. 27, т. 47, поз. 3</t>
  </si>
  <si>
    <t>ТСН-2001.3-27. 27-47</t>
  </si>
  <si>
    <t>ТСН-2001.3-27-14</t>
  </si>
  <si>
    <t>58,1</t>
  </si>
  <si>
    <t>59</t>
  </si>
  <si>
    <t>3.27-47-4</t>
  </si>
  <si>
    <t>Устройство асфальтобетонных покрытий дорожек и тротуаров двухслойных верхний слой из песчаной асфальтобетонной смеси толщиной 3 см  (4см)</t>
  </si>
  <si>
    <t>ТСН-2001.3 Доп. 68, Сб. 27, т. 47, поз. 4</t>
  </si>
  <si>
    <t>59,1</t>
  </si>
  <si>
    <t>1.3-3-10</t>
  </si>
  <si>
    <t>Смеси асфальтобетонные дорожные горячие песчаные, тип Г</t>
  </si>
  <si>
    <t>ТСН-2001.1 Доп. 67, Р. 3, о. 3, поз. 10</t>
  </si>
  <si>
    <t>60</t>
  </si>
  <si>
    <t>6.68-53-1</t>
  </si>
  <si>
    <t>Разборка бортовых камней на бетонном основании</t>
  </si>
  <si>
    <t>100 м</t>
  </si>
  <si>
    <t>ТСН-2001.6 Доп. 61, Сб. 68, т. 53, поз. 1</t>
  </si>
  <si>
    <t>61</t>
  </si>
  <si>
    <t>3.27-26-1</t>
  </si>
  <si>
    <t>Установка бортовых камней бетонных при цементобетонных покрытиях</t>
  </si>
  <si>
    <t>100 м бортового камня</t>
  </si>
  <si>
    <t>ТСН-2001.3 Доп. 73, Сб. 27, т. 26, поз. 1</t>
  </si>
  <si>
    <t>ТСН-2001.3-27. 27-26-1</t>
  </si>
  <si>
    <t>ТСН-2001.3-27-3</t>
  </si>
  <si>
    <t>Газон</t>
  </si>
  <si>
    <t>62</t>
  </si>
  <si>
    <t>3.47-26-3</t>
  </si>
  <si>
    <t>Подготовка почвы для устройства партерного и обыкновенного газонов с внесением растительной земли слоем 15 см механизированным способом</t>
  </si>
  <si>
    <t>100 м2</t>
  </si>
  <si>
    <t>ТСН-2001.3 Доп. 68, Сб. 47, т. 26, поз. 3</t>
  </si>
  <si>
    <t>ТСН-2001.3-47. 47-23...47-33</t>
  </si>
  <si>
    <t>ТСН-2001.3-47-4</t>
  </si>
  <si>
    <t>62,1</t>
  </si>
  <si>
    <t>1.4-6-1</t>
  </si>
  <si>
    <t>Земля растительная</t>
  </si>
  <si>
    <t>ТСН-2001.1. Доп. 1-42. Р. 4, о. 6, поз. 1</t>
  </si>
  <si>
    <t>63</t>
  </si>
  <si>
    <t>3.47-26-4</t>
  </si>
  <si>
    <t>Подготовка почвы для устройства партерного и обыкновенного газонов с внесением растительной земли слоем 15 см вручную</t>
  </si>
  <si>
    <t>ТСН-2001.3. Доп. 1-42. Сб. 47, т. 26, поз. 4</t>
  </si>
  <si>
    <t>63,1</t>
  </si>
  <si>
    <t>64</t>
  </si>
  <si>
    <t>3.47-26-5</t>
  </si>
  <si>
    <t>Подготовка почвы для устройства партерного и обыкновенного газонов на каждые 5 см изменения толщины слоя добавлять или исключать</t>
  </si>
  <si>
    <t>ТСН-2001.3. Доп. 1-42. Сб. 47, т. 26, поз. 5</t>
  </si>
  <si>
    <t>64,1</t>
  </si>
  <si>
    <t>65</t>
  </si>
  <si>
    <t>3.47-26-6</t>
  </si>
  <si>
    <t>Посев газонов партерных, мавританских, и обыкновенных вручную</t>
  </si>
  <si>
    <t>ТСН-2001.3. Доп. 1-42. Сб. 47, т. 26, поз. 6</t>
  </si>
  <si>
    <t>65,1</t>
  </si>
  <si>
    <t>1.4-6-6</t>
  </si>
  <si>
    <t>Семена (смесь универсальная) газонных трав</t>
  </si>
  <si>
    <t>ТСН-2001.1. Доп. 1-42. Р. 4, о. 6, поз. 6</t>
  </si>
  <si>
    <t>Тротуарная плитка</t>
  </si>
  <si>
    <t>66</t>
  </si>
  <si>
    <t>6.68-94-1</t>
  </si>
  <si>
    <t>Разборка тротуаров и дорожек из плит с отноской и укладкой в штабель</t>
  </si>
  <si>
    <t>ТСН-2001.6 Доп. 66, Сб. 68, т. 94, поз. 1</t>
  </si>
  <si>
    <t>ТСН-2001.6-68. 68-94-1 (доп. 66)</t>
  </si>
  <si>
    <t>ТСН-2001.6-68-42</t>
  </si>
  <si>
    <t>67</t>
  </si>
  <si>
    <t>68</t>
  </si>
  <si>
    <t>69</t>
  </si>
  <si>
    <t>70</t>
  </si>
  <si>
    <t>Устройство подстилающих и выравнивающих слоев оснований из песка</t>
  </si>
  <si>
    <t>70,1</t>
  </si>
  <si>
    <t>71</t>
  </si>
  <si>
    <t>71,1</t>
  </si>
  <si>
    <t>72</t>
  </si>
  <si>
    <t>72,1</t>
  </si>
  <si>
    <t>73</t>
  </si>
  <si>
    <t>3.27-12-2</t>
  </si>
  <si>
    <t>Устройство подстилающих и выравнивающих слоев оснований из щебня</t>
  </si>
  <si>
    <t>ТСН-2001.3 Доп. 69, Сб. 27, т. 12, поз. 2</t>
  </si>
  <si>
    <t>73,1</t>
  </si>
  <si>
    <t>1.1-1-1554</t>
  </si>
  <si>
    <t>Щебень из естественного камня для дорожных работ, марка 1200 - 800, фракция 10 - 20 мм</t>
  </si>
  <si>
    <t>ТСН-2001.1 Доп. 67, Р. 1, о. 1, поз. 1554</t>
  </si>
  <si>
    <t>74</t>
  </si>
  <si>
    <t>3.27-49-1</t>
  </si>
  <si>
    <t>Устройство плитных тротуаров из гладких бетонных плит с заполнением швов цементным раствором</t>
  </si>
  <si>
    <t>100 м2 тротуара</t>
  </si>
  <si>
    <t>ТСН-2001.3 Доп. 68, Сб. 27, т. 49, поз. 1</t>
  </si>
  <si>
    <t>ТСН-2001.3-27. 27-49...27-51</t>
  </si>
  <si>
    <t>ТСН-2001.3-27-16</t>
  </si>
  <si>
    <t>Инд_исп.Сводный</t>
  </si>
  <si>
    <t>Используется Индекс "по сводному"</t>
  </si>
  <si>
    <t>Базовый уровень цен</t>
  </si>
  <si>
    <t>Уровень цен</t>
  </si>
  <si>
    <t>Сборник индексов</t>
  </si>
  <si>
    <t>Коэффициенты к ТСН-2001 МГЭ</t>
  </si>
  <si>
    <t>212</t>
  </si>
  <si>
    <t>_OBSM_</t>
  </si>
  <si>
    <t>9999990008</t>
  </si>
  <si>
    <t>Трудозатраты рабочих</t>
  </si>
  <si>
    <t>чел.-ч.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</si>
  <si>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</si>
  <si>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</si>
  <si>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</si>
  <si>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</si>
  <si>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1.1-1-3459</t>
  </si>
  <si>
    <t>ТСН-2001.1 Доп. 67, Р. 1, о. 1, поз. 3459</t>
  </si>
  <si>
    <t>Плита из полимернаполненной композиции на основе волластонита для закрытия кабеля, типа ПЗК 48х36</t>
  </si>
  <si>
    <t>1.1-1-3460</t>
  </si>
  <si>
    <t>ТСН-2001.1 Доп. 67, Р. 1, о. 1, поз. 3460</t>
  </si>
  <si>
    <t>Плита из полимернаполненной композиции на основе волластонита для закрытия кабеля, типа ПЗК 48х48</t>
  </si>
  <si>
    <t>2.1-2-7</t>
  </si>
  <si>
    <t>ТСН-2001.2. Доп. 68. п.1-2-7 (021003)</t>
  </si>
  <si>
    <t>Тракторы колесные, мощность до 63 кВт (85 л.с.)</t>
  </si>
  <si>
    <t>9999990007</t>
  </si>
  <si>
    <t>Стоимость прочих машин (ЭСН)</t>
  </si>
  <si>
    <t>руб.</t>
  </si>
  <si>
    <t>2.1-1-19</t>
  </si>
  <si>
    <t>ТСН-2001.2. Доп. 68. п.1-1-19 (010302)</t>
  </si>
  <si>
    <t>Экскаваторы на пневмоколесном ходу гидравлические, объем ковша до 0,25 м3</t>
  </si>
  <si>
    <t>2.1-1-43</t>
  </si>
  <si>
    <t>ТСН-2001.2. Доп. 68. п.1-1-43 (012102)</t>
  </si>
  <si>
    <t>Бульдозеры гусеничные, мощность до 59 кВт (80 л.с.)</t>
  </si>
  <si>
    <t>ТСН-2001.1. Доп. 1-42. Р. 12, о. 3, поз. 25</t>
  </si>
  <si>
    <t>Трубы асбестоцементные безнапорные, диаметр условного прохода, мм, 100, внутренний диаметр 100 мм</t>
  </si>
  <si>
    <t>1.12-5-115</t>
  </si>
  <si>
    <t>ТСН-2001.1. Доп. 1-42. Р. 12, о. 5, поз. 115</t>
  </si>
  <si>
    <t>Муфты полиэтиленовые, диаметр 100 мм</t>
  </si>
  <si>
    <t>10 шт.</t>
  </si>
  <si>
    <t>9999990006</t>
  </si>
  <si>
    <t>Стоимость прочих материалов (ЭСН)</t>
  </si>
  <si>
    <t>2.1-18-34</t>
  </si>
  <si>
    <t>ТСН-2001.2. Доп. 68. п.1-18-34 (182204)</t>
  </si>
  <si>
    <t>Полуприцепы общего назначения, грузоподъемность до 20 т</t>
  </si>
  <si>
    <t>2.1-18-36</t>
  </si>
  <si>
    <t>ТСН-2001.2. Доп. 68. п.1-18-36 (185004)</t>
  </si>
  <si>
    <t>Тягачи седельные, грузоподъемность до 20 т</t>
  </si>
  <si>
    <t>2.1-3-38</t>
  </si>
  <si>
    <t>ТСН-2001.2. Доп. 68. п.1-3-38 (032009)</t>
  </si>
  <si>
    <t>Краны на автомобильном ходу, грузоподъемность до 16 т</t>
  </si>
  <si>
    <t>2248110000</t>
  </si>
  <si>
    <t>Трубы из полиэтилена для кабельной канализации</t>
  </si>
  <si>
    <t>2.1-12-13</t>
  </si>
  <si>
    <t>ТСН-2001.2. Доп. 68. п.1-12-13 (127201)</t>
  </si>
  <si>
    <t>Установки для осушки и очистки от механических примесей атмосферного воздуха для трансформаторов, производительность до 240 м3/ч</t>
  </si>
  <si>
    <t>2.1-14-13</t>
  </si>
  <si>
    <t>ТСН-2001.2. Доп. 68. п.1-14-13 (148501)</t>
  </si>
  <si>
    <t>Пылесосы строительные (промышленные)</t>
  </si>
  <si>
    <t>2.1-17-73</t>
  </si>
  <si>
    <t>ТСН-2001.2. Доп. 71. п.1-17-73 (171901)</t>
  </si>
  <si>
    <t>Агрегаты окрасочные безвоздушные высокого давления, мощность до 4 кВт</t>
  </si>
  <si>
    <t>2.1-30-102</t>
  </si>
  <si>
    <t>ТСН-2001.2. Доп. 68. п.1-30-102 (303704)</t>
  </si>
  <si>
    <t>Дрели, мощность до 800 Вт</t>
  </si>
  <si>
    <t>1.1-1-115</t>
  </si>
  <si>
    <t>ТСН-2001.1. Доп. 1-42. Р. 1, о. 1, поз. 115</t>
  </si>
  <si>
    <t>Ветошь</t>
  </si>
  <si>
    <t>1.1-1-825</t>
  </si>
  <si>
    <t>ТСН-2001.1 Доп. 67, Р. 1, о. 1, поз. 825</t>
  </si>
  <si>
    <t>Пленка полиэтиленовая, толщина от 120 до 150 мкм</t>
  </si>
  <si>
    <t>м2</t>
  </si>
  <si>
    <t>1.1-1-998</t>
  </si>
  <si>
    <t>ТСН-2001.1 Доп. 67, Р. 1, о. 1, поз. 998</t>
  </si>
  <si>
    <t>Растворитель универсальный типа 645-650</t>
  </si>
  <si>
    <t>5772450000</t>
  </si>
  <si>
    <t>(2257420000; 2316130000; 2312921000) Состав огнезащитный, вспучивающийся, механизированного и ручного нанесения</t>
  </si>
  <si>
    <t>5711400000</t>
  </si>
  <si>
    <t>Песок природный для строительных работ</t>
  </si>
  <si>
    <t>2.1-4-31</t>
  </si>
  <si>
    <t>ТСН-2001.2. Доп. 68. п.1-4-31 (042903)</t>
  </si>
  <si>
    <t>Лебедки электрические, тяговое усилие до 14,71 кН (1,5 тс)</t>
  </si>
  <si>
    <t>2.1-4-45</t>
  </si>
  <si>
    <t>ТСН-2001.2. Доп. 68. п.1-4-45 (043403)</t>
  </si>
  <si>
    <t>Домкраты гидравлические, грузоподъемность до 100 т</t>
  </si>
  <si>
    <t>1.1-1-1092</t>
  </si>
  <si>
    <t>ТСН-2001.1 Доп. 48, Р. 1, о. 1, поз. 1092</t>
  </si>
  <si>
    <t>Полоса из стали углеродистой обыкновенного качества, спокойной</t>
  </si>
  <si>
    <t>1.1-1-1120</t>
  </si>
  <si>
    <t>ТСН-2001.1 Доп. 48, Р. 1, о. 1, поз. 1120</t>
  </si>
  <si>
    <t>Уголок равнополочный, для строительных стальных конструкций, ширина полки 35-70 мм, сталь С235, С245</t>
  </si>
  <si>
    <t>1.1-1-467</t>
  </si>
  <si>
    <t>ТСН-2001.1 Доп. 67, Р. 1, о. 1, поз. 467</t>
  </si>
  <si>
    <t>Краска масляная жидкотертая (готовая к употреблению), для наружных и внутренних работ по металлу, сурик железный, типа МА-15</t>
  </si>
  <si>
    <t>1.1-1-491</t>
  </si>
  <si>
    <t>ТСН-2001.1 Доп. 67, Р. 1, о. 1, поз. 491</t>
  </si>
  <si>
    <t>Лак битумный, типа БТ-123</t>
  </si>
  <si>
    <t>1.1-1-8031</t>
  </si>
  <si>
    <t>ТСН-2001.1 Доп. 66, Р. 1, о. 1, поз. 8031</t>
  </si>
  <si>
    <t>Роль свинцовая, марка С1, толщина от 1 до 1,5 мм</t>
  </si>
  <si>
    <t>1.1-1-967</t>
  </si>
  <si>
    <t>ТСН-2001.1 Доп. 67, Р. 1, о. 1, поз. 967</t>
  </si>
  <si>
    <t>Проволока стальная низкоуглеродистая общего назначения оцинкованная, диаметр от 1,6 до 3,0 мм</t>
  </si>
  <si>
    <t>1.21-5-1180</t>
  </si>
  <si>
    <t>ТСН-2001.1 Доп. 67, Р. 21, о. 5, поз. 1180</t>
  </si>
  <si>
    <t>Бирка маркировочная для кабелей и проводов, типа У134 У3,5</t>
  </si>
  <si>
    <t>1000 шт.</t>
  </si>
  <si>
    <t>1.21-5-798</t>
  </si>
  <si>
    <t>ТСН-2001.1 Доп. 67, Р. 21, о. 5, поз. 798</t>
  </si>
  <si>
    <t>Лента монтажная, типа ЛМ-5</t>
  </si>
  <si>
    <t>1.21-5-800</t>
  </si>
  <si>
    <t>ТСН-2001.1 Доп. 67, Р. 21, о. 5, поз. 800</t>
  </si>
  <si>
    <t>Кнопка для ленты ЛМ, типа 3,5</t>
  </si>
  <si>
    <t>3500000000</t>
  </si>
  <si>
    <t>Кабели напряжением до 35 кВ</t>
  </si>
  <si>
    <t>1.1-1-944</t>
  </si>
  <si>
    <t>ТСН-2001.1 Доп. 67, Р. 1, о. 1, поз. 944</t>
  </si>
  <si>
    <t>Припой оловянно-свинцовый, в прутках, диаметр 8 мм, типа ПОС-30</t>
  </si>
  <si>
    <t>3599190000</t>
  </si>
  <si>
    <t>Оконцеватели (капы) термоусаживаемые</t>
  </si>
  <si>
    <t>1.1-1-3458</t>
  </si>
  <si>
    <t>ТСН-2001.1 Доп. 67, Р. 1, о. 1, поз. 3458</t>
  </si>
  <si>
    <t>Плита из полимернаполненной композиции на основе волластонита для закрытия кабеля, типа ПЗК 48х24</t>
  </si>
  <si>
    <t>2.1-17-23</t>
  </si>
  <si>
    <t>ТСН-2001.2. Доп. 68. п.1-17-23 (174301)</t>
  </si>
  <si>
    <t>Горелки газовые</t>
  </si>
  <si>
    <t>1.1-1-2613</t>
  </si>
  <si>
    <t>ТСН-2001.1 Доп. 56, Р. 1, о. 1, поз. 2613</t>
  </si>
  <si>
    <t>Пропан-бутан, сжиженный газ</t>
  </si>
  <si>
    <t>3599000000</t>
  </si>
  <si>
    <t>Муфты концевые термоусаживаемые для одножильных силовых кабелей на напряжение до 10 кВ (3449630000)</t>
  </si>
  <si>
    <t>1.1-1-1464</t>
  </si>
  <si>
    <t>ТСН-2001.1 Доп. 67, Р. 1, о. 1, поз. 1464</t>
  </si>
  <si>
    <t>Бумага наждачная шлифовальная, на тканевой основе, водостойкая</t>
  </si>
  <si>
    <t>1.1-1-3555</t>
  </si>
  <si>
    <t>ТСН-2001.1 Доп. 68, Р. 1, о. 1, поз. 3555</t>
  </si>
  <si>
    <t>Смазка универсальная, силиконовая, водостойкая, диапазон температур применения от -50 до +230°С, тюбик 30 г</t>
  </si>
  <si>
    <t>1.1-2-158</t>
  </si>
  <si>
    <t>ТСН-2001.1. Доп. 1-42. Р. 1, о. 2, поз. 158</t>
  </si>
  <si>
    <t>Бензин авиационный, марка Б-70</t>
  </si>
  <si>
    <t>л</t>
  </si>
  <si>
    <t>Адаптеры изоляционные на напряжение 10-20 кВ (3449630000)</t>
  </si>
  <si>
    <t>Муфты переходные соединительные термоусаживаемые для силовых кабелей с пластмассовой изоляцией на напряжение до 10 кВ (3449630000)</t>
  </si>
  <si>
    <t>2.1-17-24</t>
  </si>
  <si>
    <t>ТСН-2001.2. Доп. 1-42, п. 1-17-24 (174302)</t>
  </si>
  <si>
    <t>Инжекторные газовые горелки</t>
  </si>
  <si>
    <t>маш.-ч.</t>
  </si>
  <si>
    <t>1.21-5-1134</t>
  </si>
  <si>
    <t>ТСН-2001.1 Доп. 67, Р. 21, о. 5, поз. 1134</t>
  </si>
  <si>
    <t>Хомут (стяжка) кабельный из полиамида, размеры 4,8х300 мм</t>
  </si>
  <si>
    <t>100 шт.</t>
  </si>
  <si>
    <t>5296335000</t>
  </si>
  <si>
    <t>Уплотнители кабельных проходов термоусаживаемые</t>
  </si>
  <si>
    <t>2.1-10-1</t>
  </si>
  <si>
    <t>ТСН-2001.2. Доп. 68. п.1-10-1 (100101)</t>
  </si>
  <si>
    <t>Компрессоры передвижные с двигателем внутреннего сгорания, давление до 7 ат, производительность до 5 м3/мин</t>
  </si>
  <si>
    <t>2.1-30-54</t>
  </si>
  <si>
    <t>ТСН-2001.2. Доп. 68. п.1-30-54 (308901)</t>
  </si>
  <si>
    <t>Молотки отбойные пневматические</t>
  </si>
  <si>
    <t>2.1-5-48</t>
  </si>
  <si>
    <t>ТСН-2001.2. Доп. 68. п.1-5-48 (056003)</t>
  </si>
  <si>
    <t>Автогрейдеры, мощность до 147 кВт (200 л.с.)</t>
  </si>
  <si>
    <t>2.1-1-5</t>
  </si>
  <si>
    <t>ТСН-2001.2. Доп. 68. п.1-1-5 (010109)</t>
  </si>
  <si>
    <t>Экскаваторы на гусеничном ходу гидравлические, объем ковша до 0,65 м3</t>
  </si>
  <si>
    <t>2.1-2-1</t>
  </si>
  <si>
    <t>ТСН-2001.2. Доп. 68. п.1-2-1 (020101)</t>
  </si>
  <si>
    <t>Тракторы на гусеничном ходу, мощность до 60 кВт (81 л.с.)</t>
  </si>
  <si>
    <t>2.1-5-113</t>
  </si>
  <si>
    <t>ТСН-2001.2. Доп. 68. п.1-5-113 (050502)</t>
  </si>
  <si>
    <t>Катки грунтовые вибрационные, масса до 21 т</t>
  </si>
  <si>
    <t>2.1-5-18</t>
  </si>
  <si>
    <t>ТСН-2001.2. Доп. 68. п.1-5-18 (050902)</t>
  </si>
  <si>
    <t>Машины поливомоечные, емкость цистерны до 8 м3</t>
  </si>
  <si>
    <t>2.1-5-7</t>
  </si>
  <si>
    <t>ТСН-2001.2. Доп. 68. п.1-5-7 (050301)</t>
  </si>
  <si>
    <t>Катки дорожные самоходные на пневмоколесном ходу, масса до 16 т</t>
  </si>
  <si>
    <t>1.1-1-118</t>
  </si>
  <si>
    <t>ТСН-2001.1. Доп. 1-42. Р. 1, о. 1, поз. 118</t>
  </si>
  <si>
    <t>Вода</t>
  </si>
  <si>
    <t>ТСН-2001.2. Доп. 71. п.1-5-18 (050902)</t>
  </si>
  <si>
    <t>2.1-5-64</t>
  </si>
  <si>
    <t>ТСН-2001.2. Доп. 68. п.1-5-64 (059002)</t>
  </si>
  <si>
    <t>Котлы битумоварочные электрические, емкость до 1000 л, мощность до 50 кВт</t>
  </si>
  <si>
    <t>2.1-6-51</t>
  </si>
  <si>
    <t>ТСН-2001.2. Доп. 68. п.1-6-51 (069401)</t>
  </si>
  <si>
    <t>Вибраторы поверхностные</t>
  </si>
  <si>
    <t>1.1-1-1017</t>
  </si>
  <si>
    <t>ТСН-2001.1 Доп. 70, Р. 1, о. 1, поз. 1017</t>
  </si>
  <si>
    <t>Материал рулонный кровельный и гидроизоляционный, рубероид типа РКК-350, на основе кровельного картона, с крупнозернистой посыпкой с верхней стороны, разрывная сила при растяжении не менее 320 Н, температура гибкости не выше +5°С, теплостойкость не ниже +</t>
  </si>
  <si>
    <t>1.1-1-45</t>
  </si>
  <si>
    <t>ТСН-2001.1 Доп. 70, Р. 1, о. 1, поз. 45</t>
  </si>
  <si>
    <t>Битум нефтяной дорожный вязкий, марка БНД</t>
  </si>
  <si>
    <t>1.9-11-4</t>
  </si>
  <si>
    <t>ТСН-2001.1 Доп. 67, Р. 9, о. 11, поз. 4</t>
  </si>
  <si>
    <t>Щит деревянный для фундаментов, колонн, балок, перекрытий, стен, перегородок и других конструкций из досок, толщина 40 мм</t>
  </si>
  <si>
    <t>5745080000</t>
  </si>
  <si>
    <t>Смеси бетонные, БСГ, тяжелого бетона для инженерных коммуникаций и дорог</t>
  </si>
  <si>
    <t>ТСН-2001.1. Доп. 1-42. Р. 9, о. 11, поз. 4</t>
  </si>
  <si>
    <t>Щиты деревянные для фундаментов, колонн, балок, перекрытий, стен, перегородок и других конструкций из досок, толщина 40 мм</t>
  </si>
  <si>
    <t>2.1-4-3</t>
  </si>
  <si>
    <t>ТСН-2001.2. Доп. 68. п.1-4-3 (040103)</t>
  </si>
  <si>
    <t>Погрузчики фронтальные одноковшовые, грузоподъемность до 3 т</t>
  </si>
  <si>
    <t>2.1-5-19</t>
  </si>
  <si>
    <t>ТСН-2001.2. Доп. 68. п.1-5-19 (051001)</t>
  </si>
  <si>
    <t>Асфальтоукладчики на гусеничном ходу, производительность до 350 т/ч</t>
  </si>
  <si>
    <t>2.1-5-2</t>
  </si>
  <si>
    <t>ТСН-2001.2. Доп. 68. п.1-5-2 (050102)</t>
  </si>
  <si>
    <t>Катки самоходные вибрационные, масса до 8 т</t>
  </si>
  <si>
    <t>2.1-5-35</t>
  </si>
  <si>
    <t>ТСН-2001.2. Доп. 68. п.1-5-35 (053601)</t>
  </si>
  <si>
    <t>Автогудронаторы, емкость до 4000 л</t>
  </si>
  <si>
    <t>2.1-5-6</t>
  </si>
  <si>
    <t>ТСН-2001.2. Доп. 68. п.1-5-6 (050203)</t>
  </si>
  <si>
    <t>Катки дорожные самоходные статические, масса до 13 т</t>
  </si>
  <si>
    <t>1.3-3-19</t>
  </si>
  <si>
    <t>ТСН-2001.1 Доп. 67, Р. 3, о. 3, поз. 19</t>
  </si>
  <si>
    <t>Эмульсия дорожная, битумная</t>
  </si>
  <si>
    <t>5718400000</t>
  </si>
  <si>
    <t>Смеси асфальтобетонные</t>
  </si>
  <si>
    <t>5711910000</t>
  </si>
  <si>
    <t>Щебень из природного камня</t>
  </si>
  <si>
    <t>1.1-1-46</t>
  </si>
  <si>
    <t>ТСН-2001.1 Доп. 67, Р. 1, о. 1, поз. 46</t>
  </si>
  <si>
    <t>Битум нефтяной дорожный жидкий, марка МГ, СГ</t>
  </si>
  <si>
    <t>1.1-1-132</t>
  </si>
  <si>
    <t>ТСН-2001.1. Доп. 1-42. Р. 1, о. 1, поз. 132</t>
  </si>
  <si>
    <t>Гвозди строительные</t>
  </si>
  <si>
    <t>1.1-1-230</t>
  </si>
  <si>
    <t>ТСН-2001.1 Доп. 67, Р. 1, о. 1, поз. 230</t>
  </si>
  <si>
    <t>Пиломатериал (доска) обрезной хвойных пород естественной влажности, сорт IV, толщина 20 мм, ширина от 100 до 200 мм</t>
  </si>
  <si>
    <t>1.3-1-38</t>
  </si>
  <si>
    <t>ТСН-2001.1 Доп. 67, Р. 3, о. 1, поз. 38</t>
  </si>
  <si>
    <t>Смесь бетонная тяжелого бетона БСТ на гранитном щебне, крупность заполнителя от 5 до 20 мм, класс прочности В15 (М200), П3, F50-100, W2</t>
  </si>
  <si>
    <t>1.3-2-5</t>
  </si>
  <si>
    <t>ТСН-2001.1 Доп. 67, Р. 3, о. 2, поз. 5</t>
  </si>
  <si>
    <t>Раствор цементный, марка М100</t>
  </si>
  <si>
    <t>5898320000</t>
  </si>
  <si>
    <t>Камни бортовые</t>
  </si>
  <si>
    <t>9797020000</t>
  </si>
  <si>
    <t>9749950000</t>
  </si>
  <si>
    <t>Семена газонных трав</t>
  </si>
  <si>
    <t>2245190000</t>
  </si>
  <si>
    <t>Пленка полиэтиленовая</t>
  </si>
  <si>
    <t>2.1-5-3</t>
  </si>
  <si>
    <t>ТСН-2001.2. Доп. 68. п.1-5-3 (050103)</t>
  </si>
  <si>
    <t>Катки самоходные вибрационные, масса до 14 т</t>
  </si>
  <si>
    <t>5711100000</t>
  </si>
  <si>
    <t>Щебень для дорожных работ</t>
  </si>
  <si>
    <t>2.1-17-82</t>
  </si>
  <si>
    <t>ТСН-2001.2. Доп. 68. п.1-17-82 (177201)</t>
  </si>
  <si>
    <t>Виброплиты для уплотнения песка, гравия и бетона, мощность до 4 кВт (5,5 л.с.)</t>
  </si>
  <si>
    <t>1.3-2-14</t>
  </si>
  <si>
    <t>ТСН-2001.1 Доп. 67, Р. 3, о. 2, поз. 14</t>
  </si>
  <si>
    <t>Раствор цементно-известковый, марка М100</t>
  </si>
  <si>
    <t>5846300000</t>
  </si>
  <si>
    <t>Плиты бетонные гладкие</t>
  </si>
  <si>
    <t>О.П. п.3.4.30.г</t>
  </si>
  <si>
    <t>Глава 12</t>
  </si>
  <si>
    <t>*1,2</t>
  </si>
  <si>
    <t>)*1,2</t>
  </si>
  <si>
    <t>Гл.4.Прил.2.2.п.2.2.3_04.00.01.01.001</t>
  </si>
  <si>
    <t>Глава 4</t>
  </si>
  <si>
    <t>О.П. п.3.4.30.а</t>
  </si>
  <si>
    <t>В отношении объектов, реализуемых с привлечением средств бюджета города Москвы, затраты, учитывающие усложненные условия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т.п.), определяются заказчиком в задании на проектирование при составлении локальных сметных расчетов (смет): для объектов города Москвы, расположенных за пределами Московской кольцевой автомобильной дороги</t>
  </si>
  <si>
    <t>Поправка: О.П. п.3.4.30.г Наименование: В отношении объектов, реализуемых с привлечением средств бюджета города Москвы, затраты, учитывающие усложненные условия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т.п.), определяются заказчиком в задании на проектирование при составлении локальных сметных расчетов (смет): для объектов города Москвы, расположенных за пределами Московской кольцевой автомобильной дороги</t>
  </si>
  <si>
    <t>При выполнении работ в охранной зоне воздушных линий электропередачи, в местах прохода коммуникаций электроснабжения в действующих электроустановках, вблизи конструкций и предметов, находящихся под напряжением (в случаях, когда полное снятие напряжения по производственным условиям невозможно), если это связано с ограничением действий рабочих специальными требованиями техники безопасности</t>
  </si>
  <si>
    <t>Поправка: О.П. п.3.4.30.г Наименование: В отношении объектов, реализуемых с привлечением средств бюджета города Москвы, затраты, учитывающие усложненные условия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т.п.), определяются заказчиком в задании на проектирование при составлении локальных сметных расчетов (смет): для объектов города Москвы, расположенных за пределами Московской кольцевой автомобильной дороги Поправка: Гл.4.Прил.2.2.п.2.2.3_04.00.01.01.001 Наименование: При выполнении работ в охранной зоне воздушных линий электропередачи, в местах прохода коммуникаций электроснабжения в действующих электроустановках, вблизи конструкций и предметов, находящихся под напряжением (в случаях, когда полное снятие напряжения по производственным условиям невозможно), если это связано с ограничением действий рабочих специальными требованиями техники безопасности</t>
  </si>
  <si>
    <t>В отношении объектов, реализуемых с привлечением средств бюджета города Москвы, затраты, учитывающие усложненные условия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т.п.), определяются заказчиком в задании на проектирование при составлении локальных сметных расчетов (смет): для объектов, расположенных в пределах круговой магистральной системы улиц Садовое кольцо города Москвы</t>
  </si>
  <si>
    <t>Поправка: О.П. п.3.4.30.г Наименование: В отношении объектов, реализуемых с привлечением средств бюджета города Москвы, затраты, учитывающие усложненные условия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т.п.), определяются заказчиком в задании на проектирование при составлении локальных сметных расчетов (смет): для объектов города Москвы, расположенных за пределами Московской кольцевой автомобильной дороги Поправка: О.П. п.3.4.30.а Наименование: В отношении объектов, реализуемых с привлечением средств бюджета города Москвы, затраты, учитывающие усложненные условия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т.п.), определяются заказчиком в задании на проектирование при составлении локальных сметных расчетов (смет): для объектов, расположенных в пределах круговой магистральной системы улиц Садовое кольцо города Москвы</t>
  </si>
  <si>
    <t>Монтаж муфты переходной соединительной с разделением экранов для 3-х жильных кабелей с пластмассовой изоляцией, проволочным экраном и ленточной броней, сечением одной жилы 185 мм2, и одножильных кабелей с пластмассовой изоляцией, проволочным экраном, сечением одной жилы 240 мм2, напряжением до 10 кВ</t>
  </si>
  <si>
    <t>Муфта переходная, для соединения кабеля с пластмассовой изоляцией и 3-жильного кабеля с бумажной изоляцией, в общей оболочке, на напряжение 6 и 10 кВ, с проволочным экраном, соединение болтовое, с соединителями и арматурой заземления, длина/диаметр муфты 950/140 мм, сечение жил от 150 до 240 мм2</t>
  </si>
  <si>
    <t>(наименование стройки и/или объекта)</t>
  </si>
  <si>
    <t>(наименование работ и затрат)</t>
  </si>
  <si>
    <t>В базисном уровне цен</t>
  </si>
  <si>
    <t>В текущем уровне 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</si>
  <si>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</si>
  <si>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</si>
  <si>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</si>
  <si>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</si>
  <si>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</si>
  <si>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</si>
  <si>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</si>
  <si>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</si>
  <si>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</si>
  <si>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</si>
  <si>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</si>
  <si>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</si>
  <si>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</si>
  <si>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</si>
  <si>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</si>
  <si>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
затрат в
базисном
уровне цен,
руб.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</si>
  <si>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</si>
  <si>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</si>
  <si>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</si>
  <si>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Составлен(а) по ТСН-2001 с учетом Дополнения №: 73</t>
  </si>
  <si>
    <t>№ и период сборника коэффициентов (индексов) пересчета: Коэффициенты к ТСН-2001 МГЭ №212 III квартал 2024 года</t>
  </si>
  <si>
    <r>
      <t>3.1-51-1</t>
    </r>
    <r>
      <rPr>
        <i/>
        <sz val="10"/>
        <rFont val="Arial"/>
        <family val="2"/>
        <charset val="204"/>
      </rPr>
      <t xml:space="preserve">
Поправка: О.П. п.3.4.30.г</t>
    </r>
  </si>
  <si>
    <t>ЗП</t>
  </si>
  <si>
    <t>НР от ЗП</t>
  </si>
  <si>
    <t>%</t>
  </si>
  <si>
    <t>СП от ЗП</t>
  </si>
  <si>
    <t>ЗТР</t>
  </si>
  <si>
    <t>чел-ч</t>
  </si>
  <si>
    <t>Всего по позиции:</t>
  </si>
  <si>
    <r>
      <t>3.1-7-2</t>
    </r>
    <r>
      <rPr>
        <i/>
        <sz val="10"/>
        <rFont val="Arial"/>
        <family val="2"/>
        <charset val="204"/>
      </rPr>
      <t xml:space="preserve">
Поправка: О.П. п.3.4.30.г</t>
    </r>
  </si>
  <si>
    <t>ЭМ</t>
  </si>
  <si>
    <t>в т.ч. ЗПМ</t>
  </si>
  <si>
    <t>НР и СП от ЗПМ</t>
  </si>
  <si>
    <r>
      <t>3.1-3-2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</si>
  <si>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3.1-53-1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</si>
  <si>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3.1-14-1</t>
    </r>
    <r>
      <rPr>
        <i/>
        <sz val="10"/>
        <rFont val="Arial"/>
        <family val="2"/>
        <charset val="204"/>
      </rPr>
      <t xml:space="preserve">
Поправка: О.П. п.3.4.30.г</t>
    </r>
  </si>
  <si>
    <t xml:space="preserve">   Итого по ТСН-2001.16</t>
  </si>
  <si>
    <t xml:space="preserve">   Итого возвратных сумм</t>
  </si>
  <si>
    <r>
      <t>4.8-74-1</t>
    </r>
    <r>
      <rPr>
        <i/>
        <sz val="10"/>
        <rFont val="Arial"/>
        <family val="2"/>
        <charset val="204"/>
      </rPr>
      <t xml:space="preserve">
Поправка: О.П. п.3.4.30.г Поправка: Гл.4.Прил.2.2.п.2.2.3_04.00.01.01.001</t>
    </r>
  </si>
  <si>
    <r>
      <t>4.8-74-1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</si>
  <si>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4.8-74-2</t>
    </r>
    <r>
      <rPr>
        <i/>
        <sz val="10"/>
        <rFont val="Arial"/>
        <family val="2"/>
        <charset val="204"/>
      </rPr>
      <t xml:space="preserve">
Поправка: О.П. п.3.4.30.г Поправка: О.П. п.3.4.30.а</t>
    </r>
  </si>
  <si>
    <r>
      <t>4.8-74-2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</si>
  <si>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1.1-1-766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</si>
  <si>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4.8-73-2</t>
    </r>
    <r>
      <rPr>
        <i/>
        <sz val="10"/>
        <rFont val="Arial"/>
        <family val="2"/>
        <charset val="204"/>
      </rPr>
      <t xml:space="preserve">
Поправка: О.П. п.3.4.30.г Поправка: Гл.4.Прил.2.2.п.2.2.3_04.00.01.01.001</t>
    </r>
  </si>
  <si>
    <t>МР</t>
  </si>
  <si>
    <r>
      <t>4.8-73-2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</si>
  <si>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1.23-7-391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</si>
  <si>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6.68-51-4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</si>
  <si>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6.68-51-5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</si>
  <si>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6.68-13-1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</si>
  <si>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3.27-12-1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</si>
  <si>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3.27-30-1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</si>
  <si>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3.27-30-2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</si>
  <si>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3.27-42-1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</si>
  <si>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3.27-43-1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</si>
  <si>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1.3-3-3</t>
    </r>
    <r>
      <rPr>
        <i/>
        <sz val="10"/>
        <rFont val="Arial"/>
        <family val="2"/>
        <charset val="204"/>
      </rPr>
      <t xml:space="preserve">
Поправка: О.П. п.3.4.30.г</t>
    </r>
  </si>
  <si>
    <t>к нр *5</t>
  </si>
  <si>
    <r>
      <t>3.47-26-3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</si>
  <si>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3.47-26-4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</si>
  <si>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3.47-26-5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</si>
  <si>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3.47-26-6</t>
    </r>
    <r>
      <rPr>
        <i/>
        <sz val="10"/>
        <rFont val="Arial"/>
        <family val="2"/>
        <charset val="204"/>
      </rPr>
      <t xml:space="preserve">
Поправка: О.П. п.3.4.30.г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</si>
  <si>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</si>
  <si>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</si>
  <si>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</si>
  <si>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</si>
  <si>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Строительство КЛ - 10 кВ траншея</t>
  </si>
  <si>
    <t xml:space="preserve">02-01-01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</si>
</sst>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\-\ #,##0.00"/>
    <numFmt numFmtId="165" formatCode="General;\-General;"/>
  </numFmts>
  <fonts count="21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top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1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/>
    </xf>
    <xf numFmtId="0" fontId="18" fillId="0" borderId="0" xfId="0" applyFont="1" applyAlignment="1">
      <alignment horizontal="right" wrapText="1"/>
    </xf>
    <xf numFmtId="165" fontId="12" fillId="0" borderId="0" xfId="0" applyNumberFormat="1" applyFont="1" applyAlignment="1">
      <alignment horizontal="right" wrapText="1"/>
    </xf>
    <xf numFmtId="164" fontId="12" fillId="0" borderId="0" xfId="0" applyNumberFormat="1" applyFont="1" applyAlignment="1">
      <alignment horizontal="right"/>
    </xf>
    <xf numFmtId="0" fontId="10" fillId="0" borderId="0" xfId="0" applyFont="1" applyAlignment="1">
      <alignment vertical="top" wrapText="1"/>
    </xf>
    <xf numFmtId="164" fontId="0" fillId="0" borderId="0" xfId="0" applyNumberFormat="1"/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wrapText="1"/>
    </xf>
    <xf numFmtId="0" fontId="12" fillId="0" borderId="1" xfId="0" applyFont="1" applyBorder="1" applyAlignment="1">
      <alignment horizontal="right"/>
    </xf>
    <xf numFmtId="164" fontId="12" fillId="0" borderId="1" xfId="0" applyNumberFormat="1" applyFont="1" applyBorder="1" applyAlignment="1">
      <alignment horizontal="right"/>
    </xf>
    <xf numFmtId="165" fontId="12" fillId="0" borderId="1" xfId="0" applyNumberFormat="1" applyFont="1" applyBorder="1" applyAlignment="1">
      <alignment horizontal="right" wrapText="1"/>
    </xf>
    <xf numFmtId="164" fontId="16" fillId="0" borderId="2" xfId="0" applyNumberFormat="1" applyFont="1" applyBorder="1" applyAlignment="1">
      <alignment horizontal="right"/>
    </xf>
    <xf numFmtId="164" fontId="18" fillId="0" borderId="0" xfId="0" applyNumberFormat="1" applyFont="1" applyAlignment="1">
      <alignment horizontal="right"/>
    </xf>
    <xf numFmtId="0" fontId="16" fillId="0" borderId="0" xfId="0" applyFont="1" applyAlignment="1">
      <alignment horizontal="right"/>
    </xf>
    <xf numFmtId="164" fontId="16" fillId="0" borderId="0" xfId="0" applyNumberFormat="1" applyFont="1" applyAlignment="1">
      <alignment horizontal="right"/>
    </xf>
    <xf numFmtId="0" fontId="16" fillId="0" borderId="0" xfId="0" applyFont="1" applyAlignment="1">
      <alignment horizontal="left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165" fontId="12" fillId="0" borderId="0" xfId="0" quotePrefix="1" applyNumberFormat="1" applyFont="1" applyAlignment="1">
      <alignment horizontal="right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49" fontId="20" fillId="0" borderId="0" xfId="0" applyNumberFormat="1" applyFont="1"/>
  </cellXfs>
  <cellStyles count="2">
    <cellStyle name="Обычный" xfId="0" builtinId="0"/>
    <cellStyle name="Обычный 4" xfId="1" xr:uid="{A25AE3A7-56AB-4A04-ABD2-454F738C06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26732-2257-4616-8921-F31D8AA10B5A}">
  <sheetPr>
    <pageSetUpPr fitToPage="1"/>
  </sheetPr>
  <dimension ref="A1:AP407"/>
  <sheetViews>
    <sheetView tabSelected="1" topLeftCell="A384" zoomScaleNormal="100" workbookViewId="0">
      <selection activeCell="K418" sqref="K418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9" bestFit="1" customWidth="1"/>
    <col min="6" max="6" width="10.140625" bestFit="1" customWidth="1"/>
    <col min="9" max="9" width="10.140625" bestFit="1" customWidth="1"/>
    <col min="11" max="11" width="11.28515625" bestFit="1" customWidth="1"/>
    <col min="14" max="41" width="0" hidden="1" customWidth="1"/>
    <col min="42" max="42" width="129.7109375" hidden="1" customWidth="1"/>
    <col min="43" max="47" width="0" hidden="1" customWidth="1"/>
  </cols>
  <sheetData>
    <row r="1" spans="1:11" x14ac:dyDescent="0.2">
      <c r="A1" s="10" t="str">
        <f>Source!B1</f>
        <v>Smeta.RU  (495) 974-1589</v>
      </c>
    </row>
    <row r="2" spans="1:11" ht="14.25" x14ac:dyDescent="0.2">
      <c r="A2" s="11"/>
      <c r="B2" s="11"/>
      <c r="C2" s="11"/>
      <c r="D2" s="11"/>
      <c r="E2" s="11"/>
      <c r="F2" s="11"/>
      <c r="G2" s="11"/>
      <c r="H2" s="11"/>
      <c r="I2" s="11"/>
      <c r="J2" s="30" t="s">
        <v>737</v>
      </c>
      <c r="K2" s="30"/>
    </row>
    <row r="3" spans="1:11" ht="15.75" x14ac:dyDescent="0.25">
      <c r="A3" s="12" t="s">
        <v>5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">
      <c r="A4" s="13" t="s">
        <v>715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ht="14.25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.75" x14ac:dyDescent="0.25">
      <c r="A6" s="12" t="str">
        <f>CONCATENATE( "ЛОКАЛЬНАЯ СМЕТА № ",IF(Source!F12&lt;&gt;"Новый объект", Source!F12, ""))</f>
        <v>ЛОКАЛЬНАЯ СМЕТА № 02-01-01 КЛ - 10 кВ траншея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14.25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ht="15.75" customHeight="1" x14ac:dyDescent="0.25">
      <c r="A8" s="15" t="s">
        <v>784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x14ac:dyDescent="0.2">
      <c r="A9" s="16" t="s">
        <v>716</v>
      </c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11" ht="14.25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ht="14.25" x14ac:dyDescent="0.2">
      <c r="A11" s="18" t="str">
        <f>CONCATENATE( "Основание: чертежи № ", Source!J12)</f>
        <v xml:space="preserve">Основание: чертежи № 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11" ht="14.25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71.25" x14ac:dyDescent="0.2">
      <c r="A13" s="11"/>
      <c r="B13" s="11"/>
      <c r="C13" s="11"/>
      <c r="D13" s="11"/>
      <c r="E13" s="11"/>
      <c r="F13" s="11"/>
      <c r="G13" s="11"/>
      <c r="H13" s="11"/>
      <c r="I13" s="20" t="s">
        <v>717</v>
      </c>
      <c r="J13" s="20" t="s">
        <v>718</v>
      </c>
      <c r="K13" s="11"/>
    </row>
    <row r="14" spans="1:11" ht="15" x14ac:dyDescent="0.25">
      <c r="A14" s="11"/>
      <c r="B14" s="11"/>
      <c r="C14" s="11"/>
      <c r="D14" s="11"/>
      <c r="E14" s="21" t="s">
        <v>719</v>
      </c>
      <c r="F14" s="21"/>
      <c r="G14" s="21"/>
      <c r="H14" s="21"/>
      <c r="I14" s="22">
        <f>I15+I16+I17+I18</f>
        <v>34.549999999999997</v>
      </c>
      <c r="J14" s="22">
        <f>J15+J16+J17+J18</f>
        <v>359.12</v>
      </c>
      <c r="K14" s="23" t="s">
        <v>780</v>
      </c>
    </row>
    <row r="15" spans="1:11" ht="14.25" x14ac:dyDescent="0.2">
      <c r="A15" s="11"/>
      <c r="B15" s="11"/>
      <c r="C15" s="11"/>
      <c r="D15" s="11"/>
      <c r="E15" s="24" t="s">
        <v>23</v>
      </c>
      <c r="F15" s="24"/>
      <c r="G15" s="24"/>
      <c r="H15" s="24"/>
      <c r="I15" s="25">
        <f>ROUND(SUM(X1:X400)/1000, 2)</f>
        <v>6.77</v>
      </c>
      <c r="J15" s="25">
        <f>ROUND((Source!P501)/1000, 2)</f>
        <v>99.86</v>
      </c>
      <c r="K15" s="11" t="s">
        <v>780</v>
      </c>
    </row>
    <row r="16" spans="1:11" ht="14.25" x14ac:dyDescent="0.2">
      <c r="A16" s="11"/>
      <c r="B16" s="11"/>
      <c r="C16" s="11"/>
      <c r="D16" s="11"/>
      <c r="E16" s="24" t="s">
        <v>720</v>
      </c>
      <c r="F16" s="24"/>
      <c r="G16" s="24"/>
      <c r="H16" s="24"/>
      <c r="I16" s="25">
        <f>ROUND(SUM(Y1:Y400)/1000, 2)</f>
        <v>27.78</v>
      </c>
      <c r="J16" s="25">
        <f>ROUND((Source!P502)/1000, 2)</f>
        <v>259.26</v>
      </c>
      <c r="K16" s="11" t="s">
        <v>780</v>
      </c>
    </row>
    <row r="17" spans="1:42" ht="14.25" x14ac:dyDescent="0.2">
      <c r="A17" s="11"/>
      <c r="B17" s="11"/>
      <c r="C17" s="11"/>
      <c r="D17" s="11"/>
      <c r="E17" s="24" t="s">
        <v>721</v>
      </c>
      <c r="F17" s="24"/>
      <c r="G17" s="24"/>
      <c r="H17" s="24"/>
      <c r="I17" s="25">
        <f>ROUND(SUM(Z1:Z400)/1000, 2)</f>
        <v>0</v>
      </c>
      <c r="J17" s="25">
        <f>ROUND((Source!P493)/1000, 2)</f>
        <v>0</v>
      </c>
      <c r="K17" s="11" t="s">
        <v>780</v>
      </c>
    </row>
    <row r="18" spans="1:42" ht="14.25" x14ac:dyDescent="0.2">
      <c r="A18" s="11"/>
      <c r="B18" s="11"/>
      <c r="C18" s="11"/>
      <c r="D18" s="11"/>
      <c r="E18" s="24" t="s">
        <v>722</v>
      </c>
      <c r="F18" s="24"/>
      <c r="G18" s="24"/>
      <c r="H18" s="24"/>
      <c r="I18" s="25">
        <f>ROUND(SUM(AA1:AA400)/1000, 2)</f>
        <v>0</v>
      </c>
      <c r="J18" s="25">
        <f>ROUND((Source!P503+Source!P504)/1000, 2)</f>
        <v>0</v>
      </c>
      <c r="K18" s="11" t="s">
        <v>780</v>
      </c>
    </row>
    <row r="19" spans="1:42" ht="14.25" x14ac:dyDescent="0.2">
      <c r="A19" s="11"/>
      <c r="B19" s="11"/>
      <c r="C19" s="11"/>
      <c r="D19" s="11"/>
      <c r="E19" s="24" t="s">
        <v>723</v>
      </c>
      <c r="F19" s="24"/>
      <c r="G19" s="24"/>
      <c r="H19" s="24"/>
      <c r="I19" s="25">
        <f>ROUND(SUM(W1:W400)/1000, 2)</f>
        <v>1.1399999999999999</v>
      </c>
      <c r="J19" s="25">
        <f>((Source!P499 + Source!P498)/1000)</f>
        <v>39.43562</v>
      </c>
      <c r="K19" s="11" t="s">
        <v>780</v>
      </c>
    </row>
    <row r="20" spans="1:42" ht="14.25" x14ac:dyDescent="0.2">
      <c r="A20" s="11"/>
      <c r="B20" s="11"/>
      <c r="C20" s="11"/>
      <c r="D20" s="11"/>
      <c r="E20" s="24" t="s">
        <v>724</v>
      </c>
      <c r="F20" s="24"/>
      <c r="G20" s="24"/>
      <c r="H20" s="24"/>
      <c r="I20" s="25">
        <f>SUM(AB1:AB400)</f>
        <v>87.63062551107997</v>
      </c>
      <c r="J20" s="25"/>
      <c r="K20" s="11" t="s">
        <v>454</v>
      </c>
    </row>
    <row r="21" spans="1:42" ht="14.25" hidden="1" x14ac:dyDescent="0.2">
      <c r="A21" s="11"/>
      <c r="B21" s="11"/>
      <c r="C21" s="11"/>
      <c r="D21" s="11"/>
      <c r="E21" s="24" t="s">
        <v>725</v>
      </c>
      <c r="F21" s="24"/>
      <c r="G21" s="24"/>
      <c r="H21" s="24"/>
      <c r="I21" s="25"/>
      <c r="J21" s="25"/>
      <c r="K21" s="11"/>
    </row>
    <row r="22" spans="1:42" ht="14.25" hidden="1" x14ac:dyDescent="0.2">
      <c r="A22" s="11"/>
      <c r="B22" s="11"/>
      <c r="C22" s="11"/>
      <c r="D22" s="11"/>
      <c r="E22" s="26" t="s">
        <v>142</v>
      </c>
      <c r="F22" s="26"/>
      <c r="G22" s="26"/>
      <c r="H22" s="26"/>
      <c r="I22" s="25">
        <f>ROUND(SUM(AE1:AE400)/1000, 2)</f>
        <v>0</v>
      </c>
      <c r="J22" s="25">
        <f>SUM(AF1:AF400)/1000</f>
        <v>0</v>
      </c>
      <c r="K22" s="11" t="s">
        <v>780</v>
      </c>
    </row>
    <row r="23" spans="1:42" ht="14.25" x14ac:dyDescent="0.2">
      <c r="A23" s="11"/>
      <c r="B23" s="11"/>
      <c r="C23" s="11"/>
      <c r="D23" s="11"/>
      <c r="E23" s="11"/>
      <c r="F23" s="27"/>
      <c r="G23" s="27"/>
      <c r="H23" s="27"/>
      <c r="I23" s="25"/>
      <c r="J23" s="25"/>
      <c r="K23" s="11"/>
    </row>
    <row r="24" spans="1:42" ht="14.25" x14ac:dyDescent="0.2">
      <c r="A24" s="11" t="s">
        <v>738</v>
      </c>
      <c r="B24" s="11"/>
      <c r="C24" s="11"/>
      <c r="D24" s="11"/>
      <c r="E24" s="11"/>
      <c r="F24" s="27"/>
      <c r="G24" s="27"/>
      <c r="H24" s="27"/>
      <c r="I24" s="25"/>
      <c r="J24" s="25"/>
      <c r="K24" s="11"/>
    </row>
    <row r="25" spans="1:42" ht="14.25" x14ac:dyDescent="0.2">
      <c r="A25" s="18" t="s">
        <v>739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AP25" s="31" t="s">
        <v>739</v>
      </c>
    </row>
    <row r="26" spans="1:42" ht="114" x14ac:dyDescent="0.2">
      <c r="A26" s="28" t="s">
        <v>726</v>
      </c>
      <c r="B26" s="28" t="s">
        <v>727</v>
      </c>
      <c r="C26" s="28" t="s">
        <v>728</v>
      </c>
      <c r="D26" s="28" t="s">
        <v>729</v>
      </c>
      <c r="E26" s="28" t="s">
        <v>730</v>
      </c>
      <c r="F26" s="28" t="s">
        <v>731</v>
      </c>
      <c r="G26" s="29" t="s">
        <v>732</v>
      </c>
      <c r="H26" s="29" t="s">
        <v>733</v>
      </c>
      <c r="I26" s="28" t="s">
        <v>734</v>
      </c>
      <c r="J26" s="28" t="s">
        <v>735</v>
      </c>
      <c r="K26" s="28" t="s">
        <v>736</v>
      </c>
    </row>
    <row r="27" spans="1:42" ht="14.25" x14ac:dyDescent="0.2">
      <c r="A27" s="28">
        <v>1</v>
      </c>
      <c r="B27" s="28">
        <v>2</v>
      </c>
      <c r="C27" s="28">
        <v>3</v>
      </c>
      <c r="D27" s="28">
        <v>4</v>
      </c>
      <c r="E27" s="28">
        <v>5</v>
      </c>
      <c r="F27" s="28">
        <v>6</v>
      </c>
      <c r="G27" s="28">
        <v>7</v>
      </c>
      <c r="H27" s="28">
        <v>8</v>
      </c>
      <c r="I27" s="28">
        <v>9</v>
      </c>
      <c r="J27" s="28">
        <v>10</v>
      </c>
      <c r="K27" s="28">
        <v>11</v>
      </c>
    </row>
    <row r="29" spans="1:42" ht="16.5" x14ac:dyDescent="0.25">
      <c r="A29" s="32" t="str">
        <f>CONCATENATE("Раздел: ",IF(Source!G24&lt;&gt;"Новый раздел", Source!G24, ""))</f>
        <v>Раздел: Земляные работы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0" spans="1:42" ht="52.5" x14ac:dyDescent="0.2">
      <c r="A30" s="33">
        <v>1</v>
      </c>
      <c r="B30" s="33" t="s">
        <v>740</v>
      </c>
      <c r="C30" s="33" t="s">
        <v>19</v>
      </c>
      <c r="D30" s="35" t="str">
        <f>Source!DW29</f>
        <v>100 м3 грунта</v>
      </c>
      <c r="E30" s="34">
        <f>Source!I29</f>
        <v>3.6720000000000003E-2</v>
      </c>
      <c r="F30" s="37"/>
      <c r="G30" s="36"/>
      <c r="H30" s="34"/>
      <c r="I30" s="37"/>
      <c r="J30" s="34"/>
      <c r="K30" s="37"/>
      <c r="Q30">
        <f>ROUND((Source!DN29/100)*ROUND((ROUND((Source!AF29*Source!AV29*Source!I29),2)),2), 2)</f>
        <v>103.2</v>
      </c>
      <c r="R30">
        <f>Source!X29</f>
        <v>2951.03</v>
      </c>
      <c r="S30">
        <f>ROUND((Source!DO29/100)*ROUND((ROUND((Source!AF29*Source!AV29*Source!I29),2)),2), 2)</f>
        <v>75.680000000000007</v>
      </c>
      <c r="T30">
        <f>Source!Y29</f>
        <v>1390.72</v>
      </c>
      <c r="U30">
        <f>ROUND((175/100)*ROUND((ROUND((Source!AE29*Source!AV29*Source!I29),2)),2), 2)</f>
        <v>0</v>
      </c>
      <c r="V30">
        <f>ROUND((160/100)*ROUND(ROUND((ROUND((Source!AE29*Source!AV29*Source!I29),2)*Source!BS29),2), 2), 2)</f>
        <v>0</v>
      </c>
      <c r="AI30">
        <v>0</v>
      </c>
    </row>
    <row r="31" spans="1:42" x14ac:dyDescent="0.2">
      <c r="C31" s="38" t="str">
        <f>"Объем: "&amp;Source!I29&amp;"=12,24*"&amp;"0,3/"&amp;"100"</f>
        <v>Объем: 0,03672=12,24*0,3/100</v>
      </c>
    </row>
    <row r="32" spans="1:42" ht="14.25" x14ac:dyDescent="0.2">
      <c r="A32" s="33"/>
      <c r="B32" s="33"/>
      <c r="C32" s="33" t="s">
        <v>741</v>
      </c>
      <c r="D32" s="35"/>
      <c r="E32" s="34"/>
      <c r="F32" s="37">
        <f>Source!AO29</f>
        <v>2042.62</v>
      </c>
      <c r="G32" s="36" t="str">
        <f>Source!DG29</f>
        <v>*1,05</v>
      </c>
      <c r="H32" s="34">
        <f>Source!AV29</f>
        <v>1.248</v>
      </c>
      <c r="I32" s="37">
        <f>ROUND((ROUND((Source!AF29*Source!AV29*Source!I29),2)),2)</f>
        <v>98.29</v>
      </c>
      <c r="J32" s="34">
        <f>IF(Source!BA29&lt;&gt; 0, Source!BA29, 1)</f>
        <v>34.51</v>
      </c>
      <c r="K32" s="37">
        <f>Source!S29</f>
        <v>3391.99</v>
      </c>
      <c r="W32">
        <f>I32</f>
        <v>98.29</v>
      </c>
    </row>
    <row r="33" spans="1:35" ht="14.25" x14ac:dyDescent="0.2">
      <c r="A33" s="33"/>
      <c r="B33" s="33"/>
      <c r="C33" s="33" t="s">
        <v>742</v>
      </c>
      <c r="D33" s="35" t="s">
        <v>743</v>
      </c>
      <c r="E33" s="34">
        <f>Source!DN29</f>
        <v>105</v>
      </c>
      <c r="F33" s="37"/>
      <c r="G33" s="36"/>
      <c r="H33" s="34"/>
      <c r="I33" s="37">
        <f>SUM(Q30:Q32)</f>
        <v>103.2</v>
      </c>
      <c r="J33" s="34">
        <f>Source!BZ29</f>
        <v>87</v>
      </c>
      <c r="K33" s="37">
        <f>SUM(R30:R32)</f>
        <v>2951.03</v>
      </c>
    </row>
    <row r="34" spans="1:35" ht="14.25" x14ac:dyDescent="0.2">
      <c r="A34" s="33"/>
      <c r="B34" s="33"/>
      <c r="C34" s="33" t="s">
        <v>744</v>
      </c>
      <c r="D34" s="35" t="s">
        <v>743</v>
      </c>
      <c r="E34" s="34">
        <f>Source!DO29</f>
        <v>77</v>
      </c>
      <c r="F34" s="37"/>
      <c r="G34" s="36"/>
      <c r="H34" s="34"/>
      <c r="I34" s="37">
        <f>SUM(S30:S33)</f>
        <v>75.680000000000007</v>
      </c>
      <c r="J34" s="34">
        <f>Source!CA29</f>
        <v>41</v>
      </c>
      <c r="K34" s="37">
        <f>SUM(T30:T33)</f>
        <v>1390.72</v>
      </c>
    </row>
    <row r="35" spans="1:35" ht="14.25" x14ac:dyDescent="0.2">
      <c r="A35" s="40"/>
      <c r="B35" s="40"/>
      <c r="C35" s="40" t="s">
        <v>745</v>
      </c>
      <c r="D35" s="41" t="s">
        <v>746</v>
      </c>
      <c r="E35" s="42">
        <f>Source!AQ29</f>
        <v>192.7</v>
      </c>
      <c r="F35" s="43"/>
      <c r="G35" s="44" t="str">
        <f>Source!DI29</f>
        <v>*1,05</v>
      </c>
      <c r="H35" s="42">
        <f>Source!AV29</f>
        <v>1.248</v>
      </c>
      <c r="I35" s="43">
        <f>Source!U29</f>
        <v>9.2723170176000007</v>
      </c>
      <c r="J35" s="42"/>
      <c r="K35" s="43"/>
      <c r="AB35" s="39">
        <f>I35</f>
        <v>9.2723170176000007</v>
      </c>
    </row>
    <row r="36" spans="1:35" ht="15" x14ac:dyDescent="0.25">
      <c r="C36" s="23" t="s">
        <v>747</v>
      </c>
      <c r="H36" s="45">
        <f>I32+I33+I34+0</f>
        <v>277.17</v>
      </c>
      <c r="I36" s="45"/>
      <c r="J36" s="45">
        <f>K32+K33+K34+0</f>
        <v>7733.7400000000007</v>
      </c>
      <c r="K36" s="45"/>
      <c r="O36" s="39">
        <f>I32+I33+I34+0</f>
        <v>277.17</v>
      </c>
      <c r="P36" s="39">
        <f>K32+K33+K34+0</f>
        <v>7733.7400000000007</v>
      </c>
      <c r="X36">
        <f>IF(Source!BI29&lt;=1,I32+I33+I34-0, 0)</f>
        <v>277.17</v>
      </c>
      <c r="Y36">
        <f>IF(Source!BI29=2,I32+I33+I34-0, 0)</f>
        <v>0</v>
      </c>
      <c r="Z36">
        <f>IF(Source!BI29=3,I32+I33+I34-0, 0)</f>
        <v>0</v>
      </c>
      <c r="AA36">
        <f>IF(Source!BI29=4,I32+I33+I34,0)</f>
        <v>0</v>
      </c>
    </row>
    <row r="38" spans="1:35" ht="57" x14ac:dyDescent="0.2">
      <c r="A38" s="33">
        <v>2</v>
      </c>
      <c r="B38" s="33" t="s">
        <v>748</v>
      </c>
      <c r="C38" s="33" t="s">
        <v>29</v>
      </c>
      <c r="D38" s="35" t="str">
        <f>Source!DW31</f>
        <v>100 м3 грунта</v>
      </c>
      <c r="E38" s="34">
        <f>Source!I31</f>
        <v>4.8099999999999997E-2</v>
      </c>
      <c r="F38" s="37"/>
      <c r="G38" s="36"/>
      <c r="H38" s="34"/>
      <c r="I38" s="37"/>
      <c r="J38" s="34"/>
      <c r="K38" s="37"/>
      <c r="Q38">
        <f>ROUND((Source!DN31/100)*ROUND((ROUND((Source!AF31*Source!AV31*Source!I31),2)),2), 2)</f>
        <v>1.78</v>
      </c>
      <c r="R38">
        <f>Source!X31</f>
        <v>59.04</v>
      </c>
      <c r="S38">
        <f>ROUND((Source!DO31/100)*ROUND((ROUND((Source!AF31*Source!AV31*Source!I31),2)),2), 2)</f>
        <v>1.4</v>
      </c>
      <c r="T38">
        <f>Source!Y31</f>
        <v>32.03</v>
      </c>
      <c r="U38">
        <f>ROUND((175/100)*ROUND((ROUND((Source!AE31*Source!AV31*Source!I31),2)),2), 2)</f>
        <v>13.97</v>
      </c>
      <c r="V38">
        <f>ROUND((160/100)*ROUND(ROUND((ROUND((Source!AE31*Source!AV31*Source!I31),2)*Source!BS31),2), 2), 2)</f>
        <v>440.62</v>
      </c>
      <c r="AI38">
        <v>0</v>
      </c>
    </row>
    <row r="39" spans="1:35" x14ac:dyDescent="0.2">
      <c r="C39" s="38" t="str">
        <f>"Объем: "&amp;Source!I31&amp;"=4,81/"&amp;"100"</f>
        <v>Объем: 0,0481=4,81/100</v>
      </c>
    </row>
    <row r="40" spans="1:35" ht="14.25" x14ac:dyDescent="0.2">
      <c r="A40" s="33"/>
      <c r="B40" s="33"/>
      <c r="C40" s="33" t="s">
        <v>741</v>
      </c>
      <c r="D40" s="35"/>
      <c r="E40" s="34"/>
      <c r="F40" s="37">
        <f>Source!AO31</f>
        <v>30.15</v>
      </c>
      <c r="G40" s="36" t="str">
        <f>Source!DG31</f>
        <v>*1,05</v>
      </c>
      <c r="H40" s="34">
        <f>Source!AV31</f>
        <v>1.1919999999999999</v>
      </c>
      <c r="I40" s="37">
        <f>ROUND((ROUND((Source!AF31*Source!AV31*Source!I31),2)),2)</f>
        <v>1.82</v>
      </c>
      <c r="J40" s="34">
        <f>IF(Source!BA31&lt;&gt; 0, Source!BA31, 1)</f>
        <v>34.51</v>
      </c>
      <c r="K40" s="37">
        <f>Source!S31</f>
        <v>62.81</v>
      </c>
      <c r="W40">
        <f>I40</f>
        <v>1.82</v>
      </c>
    </row>
    <row r="41" spans="1:35" ht="14.25" x14ac:dyDescent="0.2">
      <c r="A41" s="33"/>
      <c r="B41" s="33"/>
      <c r="C41" s="33" t="s">
        <v>749</v>
      </c>
      <c r="D41" s="35"/>
      <c r="E41" s="34"/>
      <c r="F41" s="37">
        <f>Source!AM31</f>
        <v>1340.63</v>
      </c>
      <c r="G41" s="36" t="str">
        <f>Source!DE31</f>
        <v>*1,05</v>
      </c>
      <c r="H41" s="34">
        <f>Source!AV31</f>
        <v>1.1919999999999999</v>
      </c>
      <c r="I41" s="37">
        <f>(ROUND((ROUND((((Source!ET31*1.05))*Source!AV31*Source!I31),2)),2)+ROUND((ROUND(((Source!AE31-((Source!EU31*1.05)))*Source!AV31*Source!I31),2)),2))</f>
        <v>80.709999999999994</v>
      </c>
      <c r="J41" s="34">
        <f>IF(Source!BB31&lt;&gt; 0, Source!BB31, 1)</f>
        <v>12.15</v>
      </c>
      <c r="K41" s="37">
        <f>Source!Q31</f>
        <v>980.63</v>
      </c>
    </row>
    <row r="42" spans="1:35" ht="14.25" x14ac:dyDescent="0.2">
      <c r="A42" s="33"/>
      <c r="B42" s="33"/>
      <c r="C42" s="33" t="s">
        <v>750</v>
      </c>
      <c r="D42" s="35"/>
      <c r="E42" s="34"/>
      <c r="F42" s="37">
        <f>Source!AN31</f>
        <v>132.47999999999999</v>
      </c>
      <c r="G42" s="36" t="str">
        <f>Source!DF31</f>
        <v>*1,05</v>
      </c>
      <c r="H42" s="34">
        <f>Source!AV31</f>
        <v>1.1919999999999999</v>
      </c>
      <c r="I42" s="46">
        <f>ROUND((ROUND((Source!AE31*Source!AV31*Source!I31),2)),2)</f>
        <v>7.98</v>
      </c>
      <c r="J42" s="34">
        <f>IF(Source!BS31&lt;&gt; 0, Source!BS31, 1)</f>
        <v>34.51</v>
      </c>
      <c r="K42" s="46">
        <f>Source!R31</f>
        <v>275.39</v>
      </c>
      <c r="W42">
        <f>I42</f>
        <v>7.98</v>
      </c>
    </row>
    <row r="43" spans="1:35" ht="14.25" x14ac:dyDescent="0.2">
      <c r="A43" s="33"/>
      <c r="B43" s="33"/>
      <c r="C43" s="33" t="s">
        <v>742</v>
      </c>
      <c r="D43" s="35" t="s">
        <v>743</v>
      </c>
      <c r="E43" s="34">
        <f>Source!DN31</f>
        <v>98</v>
      </c>
      <c r="F43" s="37"/>
      <c r="G43" s="36"/>
      <c r="H43" s="34"/>
      <c r="I43" s="37">
        <f>SUM(Q38:Q42)</f>
        <v>1.78</v>
      </c>
      <c r="J43" s="34">
        <f>Source!BZ31</f>
        <v>94</v>
      </c>
      <c r="K43" s="37">
        <f>SUM(R38:R42)</f>
        <v>59.04</v>
      </c>
    </row>
    <row r="44" spans="1:35" ht="14.25" x14ac:dyDescent="0.2">
      <c r="A44" s="33"/>
      <c r="B44" s="33"/>
      <c r="C44" s="33" t="s">
        <v>744</v>
      </c>
      <c r="D44" s="35" t="s">
        <v>743</v>
      </c>
      <c r="E44" s="34">
        <f>Source!DO31</f>
        <v>77</v>
      </c>
      <c r="F44" s="37"/>
      <c r="G44" s="36"/>
      <c r="H44" s="34"/>
      <c r="I44" s="37">
        <f>SUM(S38:S43)</f>
        <v>1.4</v>
      </c>
      <c r="J44" s="34">
        <f>Source!CA31</f>
        <v>51</v>
      </c>
      <c r="K44" s="37">
        <f>SUM(T38:T43)</f>
        <v>32.03</v>
      </c>
    </row>
    <row r="45" spans="1:35" ht="14.25" x14ac:dyDescent="0.2">
      <c r="A45" s="33"/>
      <c r="B45" s="33"/>
      <c r="C45" s="33" t="s">
        <v>751</v>
      </c>
      <c r="D45" s="35" t="s">
        <v>743</v>
      </c>
      <c r="E45" s="34">
        <f>175</f>
        <v>175</v>
      </c>
      <c r="F45" s="37"/>
      <c r="G45" s="36"/>
      <c r="H45" s="34"/>
      <c r="I45" s="37">
        <f>SUM(U38:U44)</f>
        <v>13.97</v>
      </c>
      <c r="J45" s="34">
        <f>160</f>
        <v>160</v>
      </c>
      <c r="K45" s="37">
        <f>SUM(V38:V44)</f>
        <v>440.62</v>
      </c>
    </row>
    <row r="46" spans="1:35" ht="14.25" x14ac:dyDescent="0.2">
      <c r="A46" s="40"/>
      <c r="B46" s="40"/>
      <c r="C46" s="40" t="s">
        <v>745</v>
      </c>
      <c r="D46" s="41" t="s">
        <v>746</v>
      </c>
      <c r="E46" s="42">
        <f>Source!AQ31</f>
        <v>2.95</v>
      </c>
      <c r="F46" s="43"/>
      <c r="G46" s="44" t="str">
        <f>Source!DI31</f>
        <v>*1,05</v>
      </c>
      <c r="H46" s="42">
        <f>Source!AV31</f>
        <v>1.1919999999999999</v>
      </c>
      <c r="I46" s="43">
        <f>Source!U31</f>
        <v>0.17759578199999998</v>
      </c>
      <c r="J46" s="42"/>
      <c r="K46" s="43"/>
      <c r="AB46" s="39">
        <f>I46</f>
        <v>0.17759578199999998</v>
      </c>
    </row>
    <row r="47" spans="1:35" ht="15" x14ac:dyDescent="0.25">
      <c r="C47" s="23" t="s">
        <v>747</v>
      </c>
      <c r="H47" s="45">
        <f>I40+I41+I43+I44+I45+0</f>
        <v>99.679999999999993</v>
      </c>
      <c r="I47" s="45"/>
      <c r="J47" s="45">
        <f>K40+K41+K43+K44+K45+0</f>
        <v>1575.13</v>
      </c>
      <c r="K47" s="45"/>
      <c r="O47" s="39">
        <f>I40+I41+I43+I44+I45+0</f>
        <v>99.679999999999993</v>
      </c>
      <c r="P47" s="39">
        <f>K40+K41+K43+K44+K45+0</f>
        <v>1575.13</v>
      </c>
      <c r="X47">
        <f>IF(Source!BI31&lt;=1,I40+I41+I43+I44+I45-0, 0)</f>
        <v>99.679999999999993</v>
      </c>
      <c r="Y47">
        <f>IF(Source!BI31=2,I40+I41+I43+I44+I45-0, 0)</f>
        <v>0</v>
      </c>
      <c r="Z47">
        <f>IF(Source!BI31=3,I40+I41+I43+I44+I45-0, 0)</f>
        <v>0</v>
      </c>
      <c r="AA47">
        <f>IF(Source!BI31=4,I40+I41+I43+I44+I45,0)</f>
        <v>0</v>
      </c>
    </row>
    <row r="49" spans="1:35" ht="57" x14ac:dyDescent="0.2">
      <c r="A49" s="33">
        <v>3</v>
      </c>
      <c r="B49" s="33" t="s">
        <v>752</v>
      </c>
      <c r="C49" s="33" t="s">
        <v>35</v>
      </c>
      <c r="D49" s="35" t="str">
        <f>Source!DW33</f>
        <v>100 м3 грунта</v>
      </c>
      <c r="E49" s="34">
        <f>Source!I33</f>
        <v>3.7580000000000002E-2</v>
      </c>
      <c r="F49" s="37"/>
      <c r="G49" s="36"/>
      <c r="H49" s="34"/>
      <c r="I49" s="37"/>
      <c r="J49" s="34"/>
      <c r="K49" s="37"/>
      <c r="Q49">
        <f>ROUND((Source!DN33/100)*ROUND((ROUND((Source!AF33*Source!AV33*Source!I33),2)),2), 2)</f>
        <v>0.56000000000000005</v>
      </c>
      <c r="R49">
        <f>Source!X33</f>
        <v>18.489999999999998</v>
      </c>
      <c r="S49">
        <f>ROUND((Source!DO33/100)*ROUND((ROUND((Source!AF33*Source!AV33*Source!I33),2)),2), 2)</f>
        <v>0.44</v>
      </c>
      <c r="T49">
        <f>Source!Y33</f>
        <v>10.029999999999999</v>
      </c>
      <c r="U49">
        <f>ROUND((175/100)*ROUND((ROUND((Source!AE33*Source!AV33*Source!I33),2)),2), 2)</f>
        <v>7.56</v>
      </c>
      <c r="V49">
        <f>ROUND((160/100)*ROUND(ROUND((ROUND((Source!AE33*Source!AV33*Source!I33),2)*Source!BS33),2), 2), 2)</f>
        <v>238.53</v>
      </c>
      <c r="AI49">
        <v>0</v>
      </c>
    </row>
    <row r="50" spans="1:35" x14ac:dyDescent="0.2">
      <c r="C50" s="38" t="str">
        <f>"Объем: "&amp;Source!I33&amp;"=12,24/"&amp;"100-"&amp;""&amp;Source!I29&amp;"-"&amp;""&amp;Source!I31&amp;""</f>
        <v>Объем: 0,03758=12,24/100-0,03672-0,0481</v>
      </c>
    </row>
    <row r="51" spans="1:35" ht="14.25" x14ac:dyDescent="0.2">
      <c r="A51" s="33"/>
      <c r="B51" s="33"/>
      <c r="C51" s="33" t="s">
        <v>741</v>
      </c>
      <c r="D51" s="35"/>
      <c r="E51" s="34"/>
      <c r="F51" s="37">
        <f>Source!AO33</f>
        <v>12.16</v>
      </c>
      <c r="G51" s="36" t="str">
        <f>Source!DG33</f>
        <v>*1,05</v>
      </c>
      <c r="H51" s="34">
        <f>Source!AV33</f>
        <v>1.1919999999999999</v>
      </c>
      <c r="I51" s="37">
        <f>ROUND((ROUND((Source!AF33*Source!AV33*Source!I33),2)),2)</f>
        <v>0.56999999999999995</v>
      </c>
      <c r="J51" s="34">
        <f>IF(Source!BA33&lt;&gt; 0, Source!BA33, 1)</f>
        <v>34.51</v>
      </c>
      <c r="K51" s="37">
        <f>Source!S33</f>
        <v>19.670000000000002</v>
      </c>
      <c r="W51">
        <f>I51</f>
        <v>0.56999999999999995</v>
      </c>
    </row>
    <row r="52" spans="1:35" ht="14.25" x14ac:dyDescent="0.2">
      <c r="A52" s="33"/>
      <c r="B52" s="33"/>
      <c r="C52" s="33" t="s">
        <v>749</v>
      </c>
      <c r="D52" s="35"/>
      <c r="E52" s="34"/>
      <c r="F52" s="37">
        <f>Source!AM33</f>
        <v>932.06</v>
      </c>
      <c r="G52" s="36" t="str">
        <f>Source!DE33</f>
        <v>*1,05</v>
      </c>
      <c r="H52" s="34">
        <f>Source!AV33</f>
        <v>1.1919999999999999</v>
      </c>
      <c r="I52" s="37">
        <f>(ROUND((ROUND((((Source!ET33*1.05))*Source!AV33*Source!I33),2)),2)+ROUND((ROUND(((Source!AE33-((Source!EU33*1.05)))*Source!AV33*Source!I33),2)),2))</f>
        <v>43.84</v>
      </c>
      <c r="J52" s="34">
        <f>IF(Source!BB33&lt;&gt; 0, Source!BB33, 1)</f>
        <v>12.17</v>
      </c>
      <c r="K52" s="37">
        <f>Source!Q33</f>
        <v>533.53</v>
      </c>
    </row>
    <row r="53" spans="1:35" ht="14.25" x14ac:dyDescent="0.2">
      <c r="A53" s="33"/>
      <c r="B53" s="33"/>
      <c r="C53" s="33" t="s">
        <v>750</v>
      </c>
      <c r="D53" s="35"/>
      <c r="E53" s="34"/>
      <c r="F53" s="37">
        <f>Source!AN33</f>
        <v>91.89</v>
      </c>
      <c r="G53" s="36" t="str">
        <f>Source!DF33</f>
        <v>*1,05</v>
      </c>
      <c r="H53" s="34">
        <f>Source!AV33</f>
        <v>1.1919999999999999</v>
      </c>
      <c r="I53" s="46">
        <f>ROUND((ROUND((Source!AE33*Source!AV33*Source!I33),2)),2)</f>
        <v>4.32</v>
      </c>
      <c r="J53" s="34">
        <f>IF(Source!BS33&lt;&gt; 0, Source!BS33, 1)</f>
        <v>34.51</v>
      </c>
      <c r="K53" s="46">
        <f>Source!R33</f>
        <v>149.08000000000001</v>
      </c>
      <c r="W53">
        <f>I53</f>
        <v>4.32</v>
      </c>
    </row>
    <row r="54" spans="1:35" ht="14.25" x14ac:dyDescent="0.2">
      <c r="A54" s="33"/>
      <c r="B54" s="33"/>
      <c r="C54" s="33" t="s">
        <v>742</v>
      </c>
      <c r="D54" s="35" t="s">
        <v>743</v>
      </c>
      <c r="E54" s="34">
        <f>Source!DN33</f>
        <v>98</v>
      </c>
      <c r="F54" s="37"/>
      <c r="G54" s="36"/>
      <c r="H54" s="34"/>
      <c r="I54" s="37">
        <f>SUM(Q49:Q53)</f>
        <v>0.56000000000000005</v>
      </c>
      <c r="J54" s="34">
        <f>Source!BZ33</f>
        <v>94</v>
      </c>
      <c r="K54" s="37">
        <f>SUM(R49:R53)</f>
        <v>18.489999999999998</v>
      </c>
    </row>
    <row r="55" spans="1:35" ht="14.25" x14ac:dyDescent="0.2">
      <c r="A55" s="33"/>
      <c r="B55" s="33"/>
      <c r="C55" s="33" t="s">
        <v>744</v>
      </c>
      <c r="D55" s="35" t="s">
        <v>743</v>
      </c>
      <c r="E55" s="34">
        <f>Source!DO33</f>
        <v>77</v>
      </c>
      <c r="F55" s="37"/>
      <c r="G55" s="36"/>
      <c r="H55" s="34"/>
      <c r="I55" s="37">
        <f>SUM(S49:S54)</f>
        <v>0.44</v>
      </c>
      <c r="J55" s="34">
        <f>Source!CA33</f>
        <v>51</v>
      </c>
      <c r="K55" s="37">
        <f>SUM(T49:T54)</f>
        <v>10.029999999999999</v>
      </c>
    </row>
    <row r="56" spans="1:35" ht="14.25" x14ac:dyDescent="0.2">
      <c r="A56" s="33"/>
      <c r="B56" s="33"/>
      <c r="C56" s="33" t="s">
        <v>751</v>
      </c>
      <c r="D56" s="35" t="s">
        <v>743</v>
      </c>
      <c r="E56" s="34">
        <f>175</f>
        <v>175</v>
      </c>
      <c r="F56" s="37"/>
      <c r="G56" s="36"/>
      <c r="H56" s="34"/>
      <c r="I56" s="37">
        <f>SUM(U49:U55)</f>
        <v>7.56</v>
      </c>
      <c r="J56" s="34">
        <f>160</f>
        <v>160</v>
      </c>
      <c r="K56" s="37">
        <f>SUM(V49:V55)</f>
        <v>238.53</v>
      </c>
    </row>
    <row r="57" spans="1:35" ht="14.25" x14ac:dyDescent="0.2">
      <c r="A57" s="40"/>
      <c r="B57" s="40"/>
      <c r="C57" s="40" t="s">
        <v>745</v>
      </c>
      <c r="D57" s="41" t="s">
        <v>746</v>
      </c>
      <c r="E57" s="42">
        <f>Source!AQ33</f>
        <v>1.19</v>
      </c>
      <c r="F57" s="43"/>
      <c r="G57" s="44" t="str">
        <f>Source!DI33</f>
        <v>*1,05</v>
      </c>
      <c r="H57" s="42">
        <f>Source!AV33</f>
        <v>1.1919999999999999</v>
      </c>
      <c r="I57" s="43">
        <f>Source!U33</f>
        <v>5.597180232E-2</v>
      </c>
      <c r="J57" s="42"/>
      <c r="K57" s="43"/>
      <c r="AB57" s="39">
        <f>I57</f>
        <v>5.597180232E-2</v>
      </c>
    </row>
    <row r="58" spans="1:35" ht="15" x14ac:dyDescent="0.25">
      <c r="C58" s="23" t="s">
        <v>747</v>
      </c>
      <c r="H58" s="45">
        <f>I51+I52+I54+I55+I56+0</f>
        <v>52.970000000000006</v>
      </c>
      <c r="I58" s="45"/>
      <c r="J58" s="45">
        <f>K51+K52+K54+K55+K56+0</f>
        <v>820.24999999999989</v>
      </c>
      <c r="K58" s="45"/>
      <c r="O58" s="39">
        <f>I51+I52+I54+I55+I56+0</f>
        <v>52.970000000000006</v>
      </c>
      <c r="P58" s="39">
        <f>K51+K52+K54+K55+K56+0</f>
        <v>820.24999999999989</v>
      </c>
      <c r="X58">
        <f>IF(Source!BI33&lt;=1,I51+I52+I54+I55+I56-0, 0)</f>
        <v>52.970000000000006</v>
      </c>
      <c r="Y58">
        <f>IF(Source!BI33=2,I51+I52+I54+I55+I56-0, 0)</f>
        <v>0</v>
      </c>
      <c r="Z58">
        <f>IF(Source!BI33=3,I51+I52+I54+I55+I56-0, 0)</f>
        <v>0</v>
      </c>
      <c r="AA58">
        <f>IF(Source!BI33=4,I51+I52+I54+I55+I56,0)</f>
        <v>0</v>
      </c>
    </row>
    <row r="60" spans="1:35" ht="52.5" x14ac:dyDescent="0.2">
      <c r="A60" s="33">
        <v>4</v>
      </c>
      <c r="B60" s="33" t="s">
        <v>753</v>
      </c>
      <c r="C60" s="33" t="s">
        <v>39</v>
      </c>
      <c r="D60" s="35" t="str">
        <f>Source!DW35</f>
        <v>100 м3 грунта</v>
      </c>
      <c r="E60" s="34">
        <f>Source!I35</f>
        <v>2.4060000000000002E-2</v>
      </c>
      <c r="F60" s="37"/>
      <c r="G60" s="36"/>
      <c r="H60" s="34"/>
      <c r="I60" s="37"/>
      <c r="J60" s="34"/>
      <c r="K60" s="37"/>
      <c r="Q60">
        <f>ROUND((Source!DN35/100)*ROUND((ROUND((Source!AF35*Source!AV35*Source!I35),2)),2), 2)</f>
        <v>34.799999999999997</v>
      </c>
      <c r="R60">
        <f>Source!X35</f>
        <v>994.98</v>
      </c>
      <c r="S60">
        <f>ROUND((Source!DO35/100)*ROUND((ROUND((Source!AF35*Source!AV35*Source!I35),2)),2), 2)</f>
        <v>25.52</v>
      </c>
      <c r="T60">
        <f>Source!Y35</f>
        <v>468.9</v>
      </c>
      <c r="U60">
        <f>ROUND((175/100)*ROUND((ROUND((Source!AE35*Source!AV35*Source!I35),2)),2), 2)</f>
        <v>0</v>
      </c>
      <c r="V60">
        <f>ROUND((160/100)*ROUND(ROUND((ROUND((Source!AE35*Source!AV35*Source!I35),2)*Source!BS35),2), 2), 2)</f>
        <v>0</v>
      </c>
      <c r="AI60">
        <v>0</v>
      </c>
    </row>
    <row r="61" spans="1:35" x14ac:dyDescent="0.2">
      <c r="C61" s="38" t="str">
        <f>"Объем: "&amp;Source!I35&amp;"=8,02*"&amp;"0,3/"&amp;"100"</f>
        <v>Объем: 0,02406=8,02*0,3/100</v>
      </c>
    </row>
    <row r="62" spans="1:35" ht="14.25" x14ac:dyDescent="0.2">
      <c r="A62" s="33"/>
      <c r="B62" s="33"/>
      <c r="C62" s="33" t="s">
        <v>741</v>
      </c>
      <c r="D62" s="35"/>
      <c r="E62" s="34"/>
      <c r="F62" s="37">
        <f>Source!AO35</f>
        <v>1051.1300000000001</v>
      </c>
      <c r="G62" s="36" t="str">
        <f>Source!DG35</f>
        <v>*1,05</v>
      </c>
      <c r="H62" s="34">
        <f>Source!AV35</f>
        <v>1.248</v>
      </c>
      <c r="I62" s="37">
        <f>ROUND((ROUND((Source!AF35*Source!AV35*Source!I35),2)),2)</f>
        <v>33.14</v>
      </c>
      <c r="J62" s="34">
        <f>IF(Source!BA35&lt;&gt; 0, Source!BA35, 1)</f>
        <v>34.51</v>
      </c>
      <c r="K62" s="37">
        <f>Source!S35</f>
        <v>1143.6600000000001</v>
      </c>
      <c r="W62">
        <f>I62</f>
        <v>33.14</v>
      </c>
    </row>
    <row r="63" spans="1:35" ht="14.25" x14ac:dyDescent="0.2">
      <c r="A63" s="33"/>
      <c r="B63" s="33"/>
      <c r="C63" s="33" t="s">
        <v>742</v>
      </c>
      <c r="D63" s="35" t="s">
        <v>743</v>
      </c>
      <c r="E63" s="34">
        <f>Source!DN35</f>
        <v>105</v>
      </c>
      <c r="F63" s="37"/>
      <c r="G63" s="36"/>
      <c r="H63" s="34"/>
      <c r="I63" s="37">
        <f>SUM(Q60:Q62)</f>
        <v>34.799999999999997</v>
      </c>
      <c r="J63" s="34">
        <f>Source!BZ35</f>
        <v>87</v>
      </c>
      <c r="K63" s="37">
        <f>SUM(R60:R62)</f>
        <v>994.98</v>
      </c>
    </row>
    <row r="64" spans="1:35" ht="14.25" x14ac:dyDescent="0.2">
      <c r="A64" s="33"/>
      <c r="B64" s="33"/>
      <c r="C64" s="33" t="s">
        <v>744</v>
      </c>
      <c r="D64" s="35" t="s">
        <v>743</v>
      </c>
      <c r="E64" s="34">
        <f>Source!DO35</f>
        <v>77</v>
      </c>
      <c r="F64" s="37"/>
      <c r="G64" s="36"/>
      <c r="H64" s="34"/>
      <c r="I64" s="37">
        <f>SUM(S60:S63)</f>
        <v>25.52</v>
      </c>
      <c r="J64" s="34">
        <f>Source!CA35</f>
        <v>41</v>
      </c>
      <c r="K64" s="37">
        <f>SUM(T60:T63)</f>
        <v>468.9</v>
      </c>
    </row>
    <row r="65" spans="1:35" ht="14.25" x14ac:dyDescent="0.2">
      <c r="A65" s="40"/>
      <c r="B65" s="40"/>
      <c r="C65" s="40" t="s">
        <v>745</v>
      </c>
      <c r="D65" s="41" t="s">
        <v>746</v>
      </c>
      <c r="E65" s="42">
        <f>Source!AQ35</f>
        <v>107.04</v>
      </c>
      <c r="F65" s="43"/>
      <c r="G65" s="44" t="str">
        <f>Source!DI35</f>
        <v>*1,05</v>
      </c>
      <c r="H65" s="42">
        <f>Source!AV35</f>
        <v>1.248</v>
      </c>
      <c r="I65" s="43">
        <f>Source!U35</f>
        <v>3.3747810969600005</v>
      </c>
      <c r="J65" s="42"/>
      <c r="K65" s="43"/>
      <c r="AB65" s="39">
        <f>I65</f>
        <v>3.3747810969600005</v>
      </c>
    </row>
    <row r="66" spans="1:35" ht="15" x14ac:dyDescent="0.25">
      <c r="C66" s="23" t="s">
        <v>747</v>
      </c>
      <c r="H66" s="45">
        <f>I62+I63+I64+0</f>
        <v>93.46</v>
      </c>
      <c r="I66" s="45"/>
      <c r="J66" s="45">
        <f>K62+K63+K64+0</f>
        <v>2607.5400000000004</v>
      </c>
      <c r="K66" s="45"/>
      <c r="O66" s="39">
        <f>I62+I63+I64+0</f>
        <v>93.46</v>
      </c>
      <c r="P66" s="39">
        <f>K62+K63+K64+0</f>
        <v>2607.5400000000004</v>
      </c>
      <c r="X66">
        <f>IF(Source!BI35&lt;=1,I62+I63+I64-0, 0)</f>
        <v>93.46</v>
      </c>
      <c r="Y66">
        <f>IF(Source!BI35=2,I62+I63+I64-0, 0)</f>
        <v>0</v>
      </c>
      <c r="Z66">
        <f>IF(Source!BI35=3,I62+I63+I64-0, 0)</f>
        <v>0</v>
      </c>
      <c r="AA66">
        <f>IF(Source!BI35=4,I62+I63+I64,0)</f>
        <v>0</v>
      </c>
    </row>
    <row r="68" spans="1:35" ht="57" x14ac:dyDescent="0.2">
      <c r="A68" s="33">
        <v>5</v>
      </c>
      <c r="B68" s="33" t="s">
        <v>754</v>
      </c>
      <c r="C68" s="33" t="s">
        <v>43</v>
      </c>
      <c r="D68" s="35" t="str">
        <f>Source!DW37</f>
        <v>100 м3 грунта</v>
      </c>
      <c r="E68" s="34">
        <f>Source!I37</f>
        <v>5.6140000000000002E-2</v>
      </c>
      <c r="F68" s="37"/>
      <c r="G68" s="36"/>
      <c r="H68" s="34"/>
      <c r="I68" s="37"/>
      <c r="J68" s="34"/>
      <c r="K68" s="37"/>
      <c r="Q68">
        <f>ROUND((Source!DN37/100)*ROUND((ROUND((Source!AF37*Source!AV37*Source!I37),2)),2), 2)</f>
        <v>0</v>
      </c>
      <c r="R68">
        <f>Source!X37</f>
        <v>0</v>
      </c>
      <c r="S68">
        <f>ROUND((Source!DO37/100)*ROUND((ROUND((Source!AF37*Source!AV37*Source!I37),2)),2), 2)</f>
        <v>0</v>
      </c>
      <c r="T68">
        <f>Source!Y37</f>
        <v>0</v>
      </c>
      <c r="U68">
        <f>ROUND((175/100)*ROUND((ROUND((Source!AE37*Source!AV37*Source!I37),2)),2), 2)</f>
        <v>1.37</v>
      </c>
      <c r="V68">
        <f>ROUND((160/100)*ROUND(ROUND((ROUND((Source!AE37*Source!AV37*Source!I37),2)*Source!BS37),2), 2), 2)</f>
        <v>43.07</v>
      </c>
      <c r="AI68">
        <v>0</v>
      </c>
    </row>
    <row r="69" spans="1:35" x14ac:dyDescent="0.2">
      <c r="C69" s="38" t="str">
        <f>"Объем: "&amp;Source!I37&amp;"=8,02*"&amp;"0,7/"&amp;"100"</f>
        <v>Объем: 0,05614=8,02*0,7/100</v>
      </c>
    </row>
    <row r="70" spans="1:35" ht="14.25" x14ac:dyDescent="0.2">
      <c r="A70" s="33"/>
      <c r="B70" s="33"/>
      <c r="C70" s="33" t="s">
        <v>749</v>
      </c>
      <c r="D70" s="35"/>
      <c r="E70" s="34"/>
      <c r="F70" s="37">
        <f>Source!AM37</f>
        <v>130.01</v>
      </c>
      <c r="G70" s="36" t="str">
        <f>Source!DE37</f>
        <v>*1,05</v>
      </c>
      <c r="H70" s="34">
        <f>Source!AV37</f>
        <v>1.014</v>
      </c>
      <c r="I70" s="37">
        <f>(ROUND((ROUND((((Source!ET37*1.05))*Source!AV37*Source!I37),2)),2)+ROUND((ROUND(((Source!AE37-((Source!EU37*1.05)))*Source!AV37*Source!I37),2)),2))</f>
        <v>7.77</v>
      </c>
      <c r="J70" s="34">
        <f>IF(Source!BB37&lt;&gt; 0, Source!BB37, 1)</f>
        <v>12.08</v>
      </c>
      <c r="K70" s="37">
        <f>Source!Q37</f>
        <v>93.86</v>
      </c>
    </row>
    <row r="71" spans="1:35" ht="14.25" x14ac:dyDescent="0.2">
      <c r="A71" s="33"/>
      <c r="B71" s="33"/>
      <c r="C71" s="33" t="s">
        <v>750</v>
      </c>
      <c r="D71" s="35"/>
      <c r="E71" s="34"/>
      <c r="F71" s="37">
        <f>Source!AN37</f>
        <v>12.98</v>
      </c>
      <c r="G71" s="36" t="str">
        <f>Source!DF37</f>
        <v>*1,05</v>
      </c>
      <c r="H71" s="34">
        <f>Source!AV37</f>
        <v>1.014</v>
      </c>
      <c r="I71" s="46">
        <f>ROUND((ROUND((Source!AE37*Source!AV37*Source!I37),2)),2)</f>
        <v>0.78</v>
      </c>
      <c r="J71" s="34">
        <f>IF(Source!BS37&lt;&gt; 0, Source!BS37, 1)</f>
        <v>34.51</v>
      </c>
      <c r="K71" s="46">
        <f>Source!R37</f>
        <v>26.92</v>
      </c>
      <c r="W71">
        <f>I71</f>
        <v>0.78</v>
      </c>
    </row>
    <row r="72" spans="1:35" ht="14.25" x14ac:dyDescent="0.2">
      <c r="A72" s="40"/>
      <c r="B72" s="40"/>
      <c r="C72" s="40" t="s">
        <v>751</v>
      </c>
      <c r="D72" s="41" t="s">
        <v>743</v>
      </c>
      <c r="E72" s="42">
        <f>175</f>
        <v>175</v>
      </c>
      <c r="F72" s="43"/>
      <c r="G72" s="44"/>
      <c r="H72" s="42"/>
      <c r="I72" s="43">
        <f>SUM(U68:U71)</f>
        <v>1.37</v>
      </c>
      <c r="J72" s="42">
        <f>160</f>
        <v>160</v>
      </c>
      <c r="K72" s="43">
        <f>SUM(V68:V71)</f>
        <v>43.07</v>
      </c>
    </row>
    <row r="73" spans="1:35" ht="15" x14ac:dyDescent="0.25">
      <c r="C73" s="23" t="s">
        <v>747</v>
      </c>
      <c r="H73" s="45">
        <f>I70+I72+0</f>
        <v>9.14</v>
      </c>
      <c r="I73" s="45"/>
      <c r="J73" s="45">
        <f>K70+K72+0</f>
        <v>136.93</v>
      </c>
      <c r="K73" s="45"/>
      <c r="O73" s="39">
        <f>I70+I72+0</f>
        <v>9.14</v>
      </c>
      <c r="P73" s="39">
        <f>K70+K72+0</f>
        <v>136.93</v>
      </c>
      <c r="X73">
        <f>IF(Source!BI37&lt;=1,I70+I72-0, 0)</f>
        <v>9.14</v>
      </c>
      <c r="Y73">
        <f>IF(Source!BI37=2,I70+I72-0, 0)</f>
        <v>0</v>
      </c>
      <c r="Z73">
        <f>IF(Source!BI37=3,I70+I72-0, 0)</f>
        <v>0</v>
      </c>
      <c r="AA73">
        <f>IF(Source!BI37=4,I70+I72,0)</f>
        <v>0</v>
      </c>
    </row>
    <row r="76" spans="1:35" ht="15" x14ac:dyDescent="0.25">
      <c r="A76" s="49" t="str">
        <f>CONCATENATE("Итого по разделу: ",IF(Source!G59&lt;&gt;"Новый раздел", Source!G59, ""))</f>
        <v>Итого по разделу: Земляные работы</v>
      </c>
      <c r="B76" s="49"/>
      <c r="C76" s="49"/>
      <c r="D76" s="49"/>
      <c r="E76" s="49"/>
      <c r="F76" s="49"/>
      <c r="G76" s="49"/>
      <c r="H76" s="48">
        <f>SUM(O29:O75)</f>
        <v>532.42000000000007</v>
      </c>
      <c r="I76" s="47"/>
      <c r="J76" s="48">
        <f>SUM(P29:P75)</f>
        <v>12873.590000000002</v>
      </c>
      <c r="K76" s="47"/>
    </row>
    <row r="77" spans="1:35" hidden="1" x14ac:dyDescent="0.2">
      <c r="A77" t="s">
        <v>755</v>
      </c>
      <c r="H77">
        <f>SUM(AC29:AC76)</f>
        <v>0</v>
      </c>
      <c r="J77">
        <f>SUM(AD29:AD76)</f>
        <v>0</v>
      </c>
    </row>
    <row r="78" spans="1:35" hidden="1" x14ac:dyDescent="0.2">
      <c r="A78" t="s">
        <v>756</v>
      </c>
      <c r="H78">
        <f>SUM(AE29:AE77)</f>
        <v>0</v>
      </c>
      <c r="J78">
        <f>SUM(AF29:AF77)</f>
        <v>0</v>
      </c>
    </row>
    <row r="80" spans="1:35" ht="16.5" x14ac:dyDescent="0.25">
      <c r="A80" s="32" t="str">
        <f>CONCATENATE("Раздел: ",IF(Source!G89&lt;&gt;"Новый раздел", Source!G89, ""))</f>
        <v>Раздел: Монтажные работы</v>
      </c>
      <c r="B80" s="32"/>
      <c r="C80" s="32"/>
      <c r="D80" s="32"/>
      <c r="E80" s="32"/>
      <c r="F80" s="32"/>
      <c r="G80" s="32"/>
      <c r="H80" s="32"/>
      <c r="I80" s="32"/>
      <c r="J80" s="32"/>
      <c r="K80" s="32"/>
    </row>
    <row r="81" spans="1:35" ht="116.25" x14ac:dyDescent="0.2">
      <c r="A81" s="33">
        <v>16</v>
      </c>
      <c r="B81" s="33" t="s">
        <v>757</v>
      </c>
      <c r="C81" s="33" t="s">
        <v>160</v>
      </c>
      <c r="D81" s="35" t="str">
        <f>Source!DW94</f>
        <v>100 М КАБЕЛЯ</v>
      </c>
      <c r="E81" s="34">
        <f>Source!I94</f>
        <v>7.6499999999999999E-2</v>
      </c>
      <c r="F81" s="37"/>
      <c r="G81" s="36"/>
      <c r="H81" s="34"/>
      <c r="I81" s="37"/>
      <c r="J81" s="34"/>
      <c r="K81" s="37"/>
      <c r="Q81">
        <f>ROUND((Source!DN94/100)*ROUND((ROUND((Source!AF94*Source!AV94*Source!I94),2)),2), 2)</f>
        <v>8.6199999999999992</v>
      </c>
      <c r="R81">
        <f>Source!X94</f>
        <v>244.47</v>
      </c>
      <c r="S81">
        <f>ROUND((Source!DO94/100)*ROUND((ROUND((Source!AF94*Source!AV94*Source!I94),2)),2), 2)</f>
        <v>5.39</v>
      </c>
      <c r="T81">
        <f>Source!Y94</f>
        <v>114.26</v>
      </c>
      <c r="U81">
        <f>ROUND((175/100)*ROUND((ROUND((Source!AE94*Source!AV94*Source!I94),2)),2), 2)</f>
        <v>10.38</v>
      </c>
      <c r="V81">
        <f>ROUND((160/100)*ROUND(ROUND((ROUND((Source!AE94*Source!AV94*Source!I94),2)*Source!BS94),2), 2), 2)</f>
        <v>327.42</v>
      </c>
      <c r="AI81">
        <v>0</v>
      </c>
    </row>
    <row r="82" spans="1:35" x14ac:dyDescent="0.2">
      <c r="C82" s="38" t="str">
        <f>"Объем: "&amp;Source!I94&amp;"=25,5/"&amp;"100*"&amp;"0,3"</f>
        <v>Объем: 0,0765=25,5/100*0,3</v>
      </c>
    </row>
    <row r="83" spans="1:35" ht="28.5" x14ac:dyDescent="0.2">
      <c r="A83" s="33"/>
      <c r="B83" s="33"/>
      <c r="C83" s="33" t="s">
        <v>741</v>
      </c>
      <c r="D83" s="35"/>
      <c r="E83" s="34"/>
      <c r="F83" s="37">
        <f>Source!AO94</f>
        <v>74.91</v>
      </c>
      <c r="G83" s="36" t="str">
        <f>Source!DG94</f>
        <v>*1,05)*1,2</v>
      </c>
      <c r="H83" s="34">
        <f>Source!AV94</f>
        <v>1.0669999999999999</v>
      </c>
      <c r="I83" s="37">
        <f>ROUND((ROUND((Source!AF94*Source!AV94*Source!I94),2)),2)</f>
        <v>7.7</v>
      </c>
      <c r="J83" s="34">
        <f>IF(Source!BA94&lt;&gt; 0, Source!BA94, 1)</f>
        <v>34.51</v>
      </c>
      <c r="K83" s="37">
        <f>Source!S94</f>
        <v>265.73</v>
      </c>
      <c r="W83">
        <f>I83</f>
        <v>7.7</v>
      </c>
    </row>
    <row r="84" spans="1:35" ht="28.5" x14ac:dyDescent="0.2">
      <c r="A84" s="33"/>
      <c r="B84" s="33"/>
      <c r="C84" s="33" t="s">
        <v>749</v>
      </c>
      <c r="D84" s="35"/>
      <c r="E84" s="34"/>
      <c r="F84" s="37">
        <f>Source!AM94</f>
        <v>379.77</v>
      </c>
      <c r="G84" s="36" t="str">
        <f>Source!DE94</f>
        <v>*1,05)*1,2</v>
      </c>
      <c r="H84" s="34">
        <f>Source!AV94</f>
        <v>1.0669999999999999</v>
      </c>
      <c r="I84" s="37">
        <f>(ROUND((ROUND(((((Source!ET94*1.05)*1.2))*Source!AV94*Source!I94),2)),2)+ROUND((ROUND(((Source!AE94-(((Source!EU94*1.05)*1.2)))*Source!AV94*Source!I94),2)),2))</f>
        <v>39.06</v>
      </c>
      <c r="J84" s="34">
        <f>IF(Source!BB94&lt;&gt; 0, Source!BB94, 1)</f>
        <v>12.86</v>
      </c>
      <c r="K84" s="37">
        <f>Source!Q94</f>
        <v>502.31</v>
      </c>
    </row>
    <row r="85" spans="1:35" ht="28.5" x14ac:dyDescent="0.2">
      <c r="A85" s="33"/>
      <c r="B85" s="33"/>
      <c r="C85" s="33" t="s">
        <v>750</v>
      </c>
      <c r="D85" s="35"/>
      <c r="E85" s="34"/>
      <c r="F85" s="37">
        <f>Source!AN94</f>
        <v>57.67</v>
      </c>
      <c r="G85" s="36" t="str">
        <f>Source!DF94</f>
        <v>*1,05)*1,2</v>
      </c>
      <c r="H85" s="34">
        <f>Source!AV94</f>
        <v>1.0669999999999999</v>
      </c>
      <c r="I85" s="46">
        <f>ROUND((ROUND((Source!AE94*Source!AV94*Source!I94),2)),2)</f>
        <v>5.93</v>
      </c>
      <c r="J85" s="34">
        <f>IF(Source!BS94&lt;&gt; 0, Source!BS94, 1)</f>
        <v>34.51</v>
      </c>
      <c r="K85" s="46">
        <f>Source!R94</f>
        <v>204.64</v>
      </c>
      <c r="W85">
        <f>I85</f>
        <v>5.93</v>
      </c>
    </row>
    <row r="86" spans="1:35" ht="14.25" x14ac:dyDescent="0.2">
      <c r="A86" s="33"/>
      <c r="B86" s="33"/>
      <c r="C86" s="33" t="s">
        <v>742</v>
      </c>
      <c r="D86" s="35" t="s">
        <v>743</v>
      </c>
      <c r="E86" s="34">
        <f>Source!DN94</f>
        <v>112</v>
      </c>
      <c r="F86" s="37"/>
      <c r="G86" s="36"/>
      <c r="H86" s="34"/>
      <c r="I86" s="37">
        <f>SUM(Q81:Q85)</f>
        <v>8.6199999999999992</v>
      </c>
      <c r="J86" s="34">
        <f>Source!BZ94</f>
        <v>92</v>
      </c>
      <c r="K86" s="37">
        <f>SUM(R81:R85)</f>
        <v>244.47</v>
      </c>
    </row>
    <row r="87" spans="1:35" ht="14.25" x14ac:dyDescent="0.2">
      <c r="A87" s="33"/>
      <c r="B87" s="33"/>
      <c r="C87" s="33" t="s">
        <v>744</v>
      </c>
      <c r="D87" s="35" t="s">
        <v>743</v>
      </c>
      <c r="E87" s="34">
        <f>Source!DO94</f>
        <v>70</v>
      </c>
      <c r="F87" s="37"/>
      <c r="G87" s="36"/>
      <c r="H87" s="34"/>
      <c r="I87" s="37">
        <f>SUM(S81:S86)</f>
        <v>5.39</v>
      </c>
      <c r="J87" s="34">
        <f>Source!CA94</f>
        <v>43</v>
      </c>
      <c r="K87" s="37">
        <f>SUM(T81:T86)</f>
        <v>114.26</v>
      </c>
    </row>
    <row r="88" spans="1:35" ht="14.25" x14ac:dyDescent="0.2">
      <c r="A88" s="33"/>
      <c r="B88" s="33"/>
      <c r="C88" s="33" t="s">
        <v>751</v>
      </c>
      <c r="D88" s="35" t="s">
        <v>743</v>
      </c>
      <c r="E88" s="34">
        <f>175</f>
        <v>175</v>
      </c>
      <c r="F88" s="37"/>
      <c r="G88" s="36"/>
      <c r="H88" s="34"/>
      <c r="I88" s="37">
        <f>SUM(U81:U87)</f>
        <v>10.38</v>
      </c>
      <c r="J88" s="34">
        <f>160</f>
        <v>160</v>
      </c>
      <c r="K88" s="37">
        <f>SUM(V81:V87)</f>
        <v>327.42</v>
      </c>
    </row>
    <row r="89" spans="1:35" ht="28.5" x14ac:dyDescent="0.2">
      <c r="A89" s="40"/>
      <c r="B89" s="40"/>
      <c r="C89" s="40" t="s">
        <v>745</v>
      </c>
      <c r="D89" s="41" t="s">
        <v>746</v>
      </c>
      <c r="E89" s="42">
        <f>Source!AQ94</f>
        <v>6.08</v>
      </c>
      <c r="F89" s="43"/>
      <c r="G89" s="44" t="str">
        <f>Source!DI94</f>
        <v>*1,05)*1,2</v>
      </c>
      <c r="H89" s="42">
        <f>Source!AV94</f>
        <v>1.0669999999999999</v>
      </c>
      <c r="I89" s="43">
        <f>Source!U94</f>
        <v>0.62531663039999996</v>
      </c>
      <c r="J89" s="42"/>
      <c r="K89" s="43"/>
      <c r="AB89" s="39">
        <f>I89</f>
        <v>0.62531663039999996</v>
      </c>
    </row>
    <row r="90" spans="1:35" ht="15" x14ac:dyDescent="0.25">
      <c r="C90" s="23" t="s">
        <v>747</v>
      </c>
      <c r="H90" s="45">
        <f>I83+I84+I86+I87+I88+0</f>
        <v>71.150000000000006</v>
      </c>
      <c r="I90" s="45"/>
      <c r="J90" s="45">
        <f>K83+K84+K86+K87+K88+0</f>
        <v>1454.19</v>
      </c>
      <c r="K90" s="45"/>
      <c r="O90" s="39">
        <f>I83+I84+I86+I87+I88+0</f>
        <v>71.150000000000006</v>
      </c>
      <c r="P90" s="39">
        <f>K83+K84+K86+K87+K88+0</f>
        <v>1454.19</v>
      </c>
      <c r="X90">
        <f>IF(Source!BI94&lt;=1,I83+I84+I86+I87+I88-0, 0)</f>
        <v>0</v>
      </c>
      <c r="Y90">
        <f>IF(Source!BI94=2,I83+I84+I86+I87+I88-0, 0)</f>
        <v>71.150000000000006</v>
      </c>
      <c r="Z90">
        <f>IF(Source!BI94=3,I83+I84+I86+I87+I88-0, 0)</f>
        <v>0</v>
      </c>
      <c r="AA90">
        <f>IF(Source!BI94=4,I83+I84+I86+I87+I88,0)</f>
        <v>0</v>
      </c>
    </row>
    <row r="92" spans="1:35" ht="52.5" x14ac:dyDescent="0.2">
      <c r="A92" s="33">
        <v>17</v>
      </c>
      <c r="B92" s="33" t="s">
        <v>758</v>
      </c>
      <c r="C92" s="33" t="s">
        <v>160</v>
      </c>
      <c r="D92" s="35" t="str">
        <f>Source!DW96</f>
        <v>100 М КАБЕЛЯ</v>
      </c>
      <c r="E92" s="34">
        <f>Source!I96</f>
        <v>0.17849999999999999</v>
      </c>
      <c r="F92" s="37"/>
      <c r="G92" s="36"/>
      <c r="H92" s="34"/>
      <c r="I92" s="37"/>
      <c r="J92" s="34"/>
      <c r="K92" s="37"/>
      <c r="Q92">
        <f>ROUND((Source!DN96/100)*ROUND((ROUND((Source!AF96*Source!AV96*Source!I96),2)),2), 2)</f>
        <v>16.78</v>
      </c>
      <c r="R92">
        <f>Source!X96</f>
        <v>475.6</v>
      </c>
      <c r="S92">
        <f>ROUND((Source!DO96/100)*ROUND((ROUND((Source!AF96*Source!AV96*Source!I96),2)),2), 2)</f>
        <v>10.49</v>
      </c>
      <c r="T92">
        <f>Source!Y96</f>
        <v>222.29</v>
      </c>
      <c r="U92">
        <f>ROUND((175/100)*ROUND((ROUND((Source!AE96*Source!AV96*Source!I96),2)),2), 2)</f>
        <v>20.18</v>
      </c>
      <c r="V92">
        <f>ROUND((160/100)*ROUND(ROUND((ROUND((Source!AE96*Source!AV96*Source!I96),2)*Source!BS96),2), 2), 2)</f>
        <v>636.64</v>
      </c>
      <c r="AI92">
        <v>0</v>
      </c>
    </row>
    <row r="93" spans="1:35" x14ac:dyDescent="0.2">
      <c r="C93" s="38" t="str">
        <f>"Объем: "&amp;Source!I96&amp;"=(25,5*"&amp;"0,7)/"&amp;"100"</f>
        <v>Объем: 0,1785=(25,5*0,7)/100</v>
      </c>
    </row>
    <row r="94" spans="1:35" ht="14.25" x14ac:dyDescent="0.2">
      <c r="A94" s="33"/>
      <c r="B94" s="33"/>
      <c r="C94" s="33" t="s">
        <v>741</v>
      </c>
      <c r="D94" s="35"/>
      <c r="E94" s="34"/>
      <c r="F94" s="37">
        <f>Source!AO96</f>
        <v>74.91</v>
      </c>
      <c r="G94" s="36" t="str">
        <f>Source!DG96</f>
        <v>*1,05</v>
      </c>
      <c r="H94" s="34">
        <f>Source!AV96</f>
        <v>1.0669999999999999</v>
      </c>
      <c r="I94" s="37">
        <f>ROUND((ROUND((Source!AF96*Source!AV96*Source!I96),2)),2)</f>
        <v>14.98</v>
      </c>
      <c r="J94" s="34">
        <f>IF(Source!BA96&lt;&gt; 0, Source!BA96, 1)</f>
        <v>34.51</v>
      </c>
      <c r="K94" s="37">
        <f>Source!S96</f>
        <v>516.96</v>
      </c>
      <c r="W94">
        <f>I94</f>
        <v>14.98</v>
      </c>
    </row>
    <row r="95" spans="1:35" ht="14.25" x14ac:dyDescent="0.2">
      <c r="A95" s="33"/>
      <c r="B95" s="33"/>
      <c r="C95" s="33" t="s">
        <v>749</v>
      </c>
      <c r="D95" s="35"/>
      <c r="E95" s="34"/>
      <c r="F95" s="37">
        <f>Source!AM96</f>
        <v>379.77</v>
      </c>
      <c r="G95" s="36" t="str">
        <f>Source!DE96</f>
        <v>*1,05</v>
      </c>
      <c r="H95" s="34">
        <f>Source!AV96</f>
        <v>1.0669999999999999</v>
      </c>
      <c r="I95" s="37">
        <f>(ROUND((ROUND((((Source!ET96*1.05))*Source!AV96*Source!I96),2)),2)+ROUND((ROUND(((Source!AE96-((Source!EU96*1.05)))*Source!AV96*Source!I96),2)),2))</f>
        <v>75.95</v>
      </c>
      <c r="J95" s="34">
        <f>IF(Source!BB96&lt;&gt; 0, Source!BB96, 1)</f>
        <v>12.86</v>
      </c>
      <c r="K95" s="37">
        <f>Source!Q96</f>
        <v>976.72</v>
      </c>
    </row>
    <row r="96" spans="1:35" ht="14.25" x14ac:dyDescent="0.2">
      <c r="A96" s="33"/>
      <c r="B96" s="33"/>
      <c r="C96" s="33" t="s">
        <v>750</v>
      </c>
      <c r="D96" s="35"/>
      <c r="E96" s="34"/>
      <c r="F96" s="37">
        <f>Source!AN96</f>
        <v>57.67</v>
      </c>
      <c r="G96" s="36" t="str">
        <f>Source!DF96</f>
        <v>*1,05</v>
      </c>
      <c r="H96" s="34">
        <f>Source!AV96</f>
        <v>1.0669999999999999</v>
      </c>
      <c r="I96" s="46">
        <f>ROUND((ROUND((Source!AE96*Source!AV96*Source!I96),2)),2)</f>
        <v>11.53</v>
      </c>
      <c r="J96" s="34">
        <f>IF(Source!BS96&lt;&gt; 0, Source!BS96, 1)</f>
        <v>34.51</v>
      </c>
      <c r="K96" s="46">
        <f>Source!R96</f>
        <v>397.9</v>
      </c>
      <c r="W96">
        <f>I96</f>
        <v>11.53</v>
      </c>
    </row>
    <row r="97" spans="1:35" ht="14.25" x14ac:dyDescent="0.2">
      <c r="A97" s="33"/>
      <c r="B97" s="33"/>
      <c r="C97" s="33" t="s">
        <v>742</v>
      </c>
      <c r="D97" s="35" t="s">
        <v>743</v>
      </c>
      <c r="E97" s="34">
        <f>Source!DN96</f>
        <v>112</v>
      </c>
      <c r="F97" s="37"/>
      <c r="G97" s="36"/>
      <c r="H97" s="34"/>
      <c r="I97" s="37">
        <f>SUM(Q92:Q96)</f>
        <v>16.78</v>
      </c>
      <c r="J97" s="34">
        <f>Source!BZ96</f>
        <v>92</v>
      </c>
      <c r="K97" s="37">
        <f>SUM(R92:R96)</f>
        <v>475.6</v>
      </c>
    </row>
    <row r="98" spans="1:35" ht="14.25" x14ac:dyDescent="0.2">
      <c r="A98" s="33"/>
      <c r="B98" s="33"/>
      <c r="C98" s="33" t="s">
        <v>744</v>
      </c>
      <c r="D98" s="35" t="s">
        <v>743</v>
      </c>
      <c r="E98" s="34">
        <f>Source!DO96</f>
        <v>70</v>
      </c>
      <c r="F98" s="37"/>
      <c r="G98" s="36"/>
      <c r="H98" s="34"/>
      <c r="I98" s="37">
        <f>SUM(S92:S97)</f>
        <v>10.49</v>
      </c>
      <c r="J98" s="34">
        <f>Source!CA96</f>
        <v>43</v>
      </c>
      <c r="K98" s="37">
        <f>SUM(T92:T97)</f>
        <v>222.29</v>
      </c>
    </row>
    <row r="99" spans="1:35" ht="14.25" x14ac:dyDescent="0.2">
      <c r="A99" s="33"/>
      <c r="B99" s="33"/>
      <c r="C99" s="33" t="s">
        <v>751</v>
      </c>
      <c r="D99" s="35" t="s">
        <v>743</v>
      </c>
      <c r="E99" s="34">
        <f>175</f>
        <v>175</v>
      </c>
      <c r="F99" s="37"/>
      <c r="G99" s="36"/>
      <c r="H99" s="34"/>
      <c r="I99" s="37">
        <f>SUM(U92:U98)</f>
        <v>20.18</v>
      </c>
      <c r="J99" s="34">
        <f>160</f>
        <v>160</v>
      </c>
      <c r="K99" s="37">
        <f>SUM(V92:V98)</f>
        <v>636.64</v>
      </c>
    </row>
    <row r="100" spans="1:35" ht="14.25" x14ac:dyDescent="0.2">
      <c r="A100" s="40"/>
      <c r="B100" s="40"/>
      <c r="C100" s="40" t="s">
        <v>745</v>
      </c>
      <c r="D100" s="41" t="s">
        <v>746</v>
      </c>
      <c r="E100" s="42">
        <f>Source!AQ96</f>
        <v>6.08</v>
      </c>
      <c r="F100" s="43"/>
      <c r="G100" s="44" t="str">
        <f>Source!DI96</f>
        <v>*1,05</v>
      </c>
      <c r="H100" s="42">
        <f>Source!AV96</f>
        <v>1.0669999999999999</v>
      </c>
      <c r="I100" s="43">
        <f>Source!U96</f>
        <v>1.2158934480000001</v>
      </c>
      <c r="J100" s="42"/>
      <c r="K100" s="43"/>
      <c r="AB100" s="39">
        <f>I100</f>
        <v>1.2158934480000001</v>
      </c>
    </row>
    <row r="101" spans="1:35" ht="15" x14ac:dyDescent="0.25">
      <c r="C101" s="23" t="s">
        <v>747</v>
      </c>
      <c r="H101" s="45">
        <f>I94+I95+I97+I98+I99+0</f>
        <v>138.38</v>
      </c>
      <c r="I101" s="45"/>
      <c r="J101" s="45">
        <f>K94+K95+K97+K98+K99+0</f>
        <v>2828.21</v>
      </c>
      <c r="K101" s="45"/>
      <c r="O101" s="39">
        <f>I94+I95+I97+I98+I99+0</f>
        <v>138.38</v>
      </c>
      <c r="P101" s="39">
        <f>K94+K95+K97+K98+K99+0</f>
        <v>2828.21</v>
      </c>
      <c r="X101">
        <f>IF(Source!BI96&lt;=1,I94+I95+I97+I98+I99-0, 0)</f>
        <v>0</v>
      </c>
      <c r="Y101">
        <f>IF(Source!BI96=2,I94+I95+I97+I98+I99-0, 0)</f>
        <v>138.38</v>
      </c>
      <c r="Z101">
        <f>IF(Source!BI96=3,I94+I95+I97+I98+I99-0, 0)</f>
        <v>0</v>
      </c>
      <c r="AA101">
        <f>IF(Source!BI96=4,I94+I95+I97+I98+I99,0)</f>
        <v>0</v>
      </c>
    </row>
    <row r="103" spans="1:35" ht="90.75" x14ac:dyDescent="0.2">
      <c r="A103" s="33">
        <v>18</v>
      </c>
      <c r="B103" s="33" t="s">
        <v>759</v>
      </c>
      <c r="C103" s="33" t="s">
        <v>172</v>
      </c>
      <c r="D103" s="35" t="str">
        <f>Source!DW98</f>
        <v>100 М КАБЕЛЯ</v>
      </c>
      <c r="E103" s="34">
        <f>Source!I98</f>
        <v>0.20849999999999999</v>
      </c>
      <c r="F103" s="37"/>
      <c r="G103" s="36"/>
      <c r="H103" s="34"/>
      <c r="I103" s="37"/>
      <c r="J103" s="34"/>
      <c r="K103" s="37"/>
      <c r="Q103">
        <f>ROUND((Source!DN98/100)*ROUND((ROUND((Source!AF98*Source!AV98*Source!I98),2)),2), 2)</f>
        <v>8.81</v>
      </c>
      <c r="R103">
        <f>Source!X98</f>
        <v>249.86</v>
      </c>
      <c r="S103">
        <f>ROUND((Source!DO98/100)*ROUND((ROUND((Source!AF98*Source!AV98*Source!I98),2)),2), 2)</f>
        <v>5.51</v>
      </c>
      <c r="T103">
        <f>Source!Y98</f>
        <v>116.78</v>
      </c>
      <c r="U103">
        <f>ROUND((175/100)*ROUND((ROUND((Source!AE98*Source!AV98*Source!I98),2)),2), 2)</f>
        <v>8.1</v>
      </c>
      <c r="V103">
        <f>ROUND((160/100)*ROUND(ROUND((ROUND((Source!AE98*Source!AV98*Source!I98),2)*Source!BS98),2), 2), 2)</f>
        <v>255.65</v>
      </c>
      <c r="AI103">
        <v>0</v>
      </c>
    </row>
    <row r="104" spans="1:35" x14ac:dyDescent="0.2">
      <c r="C104" s="38" t="str">
        <f>"Объем: "&amp;Source!I98&amp;"=69,5*"&amp;"0,3/"&amp;"100"</f>
        <v>Объем: 0,2085=69,5*0,3/100</v>
      </c>
    </row>
    <row r="105" spans="1:35" ht="28.5" x14ac:dyDescent="0.2">
      <c r="A105" s="33"/>
      <c r="B105" s="33"/>
      <c r="C105" s="33" t="s">
        <v>741</v>
      </c>
      <c r="D105" s="35"/>
      <c r="E105" s="34"/>
      <c r="F105" s="37">
        <f>Source!AO98</f>
        <v>28.09</v>
      </c>
      <c r="G105" s="36" t="str">
        <f>Source!DG98</f>
        <v>*1,05)*1,2</v>
      </c>
      <c r="H105" s="34">
        <f>Source!AV98</f>
        <v>1.0669999999999999</v>
      </c>
      <c r="I105" s="37">
        <f>ROUND((ROUND((Source!AF98*Source!AV98*Source!I98),2)),2)</f>
        <v>7.87</v>
      </c>
      <c r="J105" s="34">
        <f>IF(Source!BA98&lt;&gt; 0, Source!BA98, 1)</f>
        <v>34.51</v>
      </c>
      <c r="K105" s="37">
        <f>Source!S98</f>
        <v>271.58999999999997</v>
      </c>
      <c r="W105">
        <f>I105</f>
        <v>7.87</v>
      </c>
    </row>
    <row r="106" spans="1:35" ht="28.5" x14ac:dyDescent="0.2">
      <c r="A106" s="33"/>
      <c r="B106" s="33"/>
      <c r="C106" s="33" t="s">
        <v>749</v>
      </c>
      <c r="D106" s="35"/>
      <c r="E106" s="34"/>
      <c r="F106" s="37">
        <f>Source!AM98</f>
        <v>108.86</v>
      </c>
      <c r="G106" s="36" t="str">
        <f>Source!DE98</f>
        <v>*1,05)*1,2</v>
      </c>
      <c r="H106" s="34">
        <f>Source!AV98</f>
        <v>1.0669999999999999</v>
      </c>
      <c r="I106" s="37">
        <f>(ROUND((ROUND(((((Source!ET98*1.05)*1.2))*Source!AV98*Source!I98),2)),2)+ROUND((ROUND(((Source!AE98-(((Source!EU98*1.05)*1.2)))*Source!AV98*Source!I98),2)),2))</f>
        <v>30.51</v>
      </c>
      <c r="J106" s="34">
        <f>IF(Source!BB98&lt;&gt; 0, Source!BB98, 1)</f>
        <v>12.86</v>
      </c>
      <c r="K106" s="37">
        <f>Source!Q98</f>
        <v>392.36</v>
      </c>
    </row>
    <row r="107" spans="1:35" ht="28.5" x14ac:dyDescent="0.2">
      <c r="A107" s="33"/>
      <c r="B107" s="33"/>
      <c r="C107" s="33" t="s">
        <v>750</v>
      </c>
      <c r="D107" s="35"/>
      <c r="E107" s="34"/>
      <c r="F107" s="37">
        <f>Source!AN98</f>
        <v>16.53</v>
      </c>
      <c r="G107" s="36" t="str">
        <f>Source!DF98</f>
        <v>*1,05)*1,2</v>
      </c>
      <c r="H107" s="34">
        <f>Source!AV98</f>
        <v>1.0669999999999999</v>
      </c>
      <c r="I107" s="46">
        <f>ROUND((ROUND((Source!AE98*Source!AV98*Source!I98),2)),2)</f>
        <v>4.63</v>
      </c>
      <c r="J107" s="34">
        <f>IF(Source!BS98&lt;&gt; 0, Source!BS98, 1)</f>
        <v>34.51</v>
      </c>
      <c r="K107" s="46">
        <f>Source!R98</f>
        <v>159.78</v>
      </c>
      <c r="W107">
        <f>I107</f>
        <v>4.63</v>
      </c>
    </row>
    <row r="108" spans="1:35" ht="14.25" x14ac:dyDescent="0.2">
      <c r="A108" s="33"/>
      <c r="B108" s="33"/>
      <c r="C108" s="33" t="s">
        <v>742</v>
      </c>
      <c r="D108" s="35" t="s">
        <v>743</v>
      </c>
      <c r="E108" s="34">
        <f>Source!DN98</f>
        <v>112</v>
      </c>
      <c r="F108" s="37"/>
      <c r="G108" s="36"/>
      <c r="H108" s="34"/>
      <c r="I108" s="37">
        <f>SUM(Q103:Q107)</f>
        <v>8.81</v>
      </c>
      <c r="J108" s="34">
        <f>Source!BZ98</f>
        <v>92</v>
      </c>
      <c r="K108" s="37">
        <f>SUM(R103:R107)</f>
        <v>249.86</v>
      </c>
    </row>
    <row r="109" spans="1:35" ht="14.25" x14ac:dyDescent="0.2">
      <c r="A109" s="33"/>
      <c r="B109" s="33"/>
      <c r="C109" s="33" t="s">
        <v>744</v>
      </c>
      <c r="D109" s="35" t="s">
        <v>743</v>
      </c>
      <c r="E109" s="34">
        <f>Source!DO98</f>
        <v>70</v>
      </c>
      <c r="F109" s="37"/>
      <c r="G109" s="36"/>
      <c r="H109" s="34"/>
      <c r="I109" s="37">
        <f>SUM(S103:S108)</f>
        <v>5.51</v>
      </c>
      <c r="J109" s="34">
        <f>Source!CA98</f>
        <v>43</v>
      </c>
      <c r="K109" s="37">
        <f>SUM(T103:T108)</f>
        <v>116.78</v>
      </c>
    </row>
    <row r="110" spans="1:35" ht="14.25" x14ac:dyDescent="0.2">
      <c r="A110" s="33"/>
      <c r="B110" s="33"/>
      <c r="C110" s="33" t="s">
        <v>751</v>
      </c>
      <c r="D110" s="35" t="s">
        <v>743</v>
      </c>
      <c r="E110" s="34">
        <f>175</f>
        <v>175</v>
      </c>
      <c r="F110" s="37"/>
      <c r="G110" s="36"/>
      <c r="H110" s="34"/>
      <c r="I110" s="37">
        <f>SUM(U103:U109)</f>
        <v>8.1</v>
      </c>
      <c r="J110" s="34">
        <f>160</f>
        <v>160</v>
      </c>
      <c r="K110" s="37">
        <f>SUM(V103:V109)</f>
        <v>255.65</v>
      </c>
    </row>
    <row r="111" spans="1:35" ht="28.5" x14ac:dyDescent="0.2">
      <c r="A111" s="40"/>
      <c r="B111" s="40"/>
      <c r="C111" s="40" t="s">
        <v>745</v>
      </c>
      <c r="D111" s="41" t="s">
        <v>746</v>
      </c>
      <c r="E111" s="42">
        <f>Source!AQ98</f>
        <v>2.2799999999999998</v>
      </c>
      <c r="F111" s="43"/>
      <c r="G111" s="44" t="str">
        <f>Source!DI98</f>
        <v>*1,05)*1,2</v>
      </c>
      <c r="H111" s="42">
        <f>Source!AV98</f>
        <v>1.0669999999999999</v>
      </c>
      <c r="I111" s="43">
        <f>Source!U98</f>
        <v>0.63911037959999972</v>
      </c>
      <c r="J111" s="42"/>
      <c r="K111" s="43"/>
      <c r="AB111" s="39">
        <f>I111</f>
        <v>0.63911037959999972</v>
      </c>
    </row>
    <row r="112" spans="1:35" ht="15" x14ac:dyDescent="0.25">
      <c r="C112" s="23" t="s">
        <v>747</v>
      </c>
      <c r="H112" s="45">
        <f>I105+I106+I108+I109+I110+0</f>
        <v>60.800000000000004</v>
      </c>
      <c r="I112" s="45"/>
      <c r="J112" s="45">
        <f>K105+K106+K108+K109+K110+0</f>
        <v>1286.2400000000002</v>
      </c>
      <c r="K112" s="45"/>
      <c r="O112" s="39">
        <f>I105+I106+I108+I109+I110+0</f>
        <v>60.800000000000004</v>
      </c>
      <c r="P112" s="39">
        <f>K105+K106+K108+K109+K110+0</f>
        <v>1286.2400000000002</v>
      </c>
      <c r="X112">
        <f>IF(Source!BI98&lt;=1,I105+I106+I108+I109+I110-0, 0)</f>
        <v>0</v>
      </c>
      <c r="Y112">
        <f>IF(Source!BI98=2,I105+I106+I108+I109+I110-0, 0)</f>
        <v>60.800000000000004</v>
      </c>
      <c r="Z112">
        <f>IF(Source!BI98=3,I105+I106+I108+I109+I110-0, 0)</f>
        <v>0</v>
      </c>
      <c r="AA112">
        <f>IF(Source!BI98=4,I105+I106+I108+I109+I110,0)</f>
        <v>0</v>
      </c>
    </row>
    <row r="114" spans="1:35" ht="52.5" x14ac:dyDescent="0.2">
      <c r="A114" s="33">
        <v>19</v>
      </c>
      <c r="B114" s="33" t="s">
        <v>760</v>
      </c>
      <c r="C114" s="33" t="s">
        <v>172</v>
      </c>
      <c r="D114" s="35" t="str">
        <f>Source!DW100</f>
        <v>100 М КАБЕЛЯ</v>
      </c>
      <c r="E114" s="34">
        <f>Source!I100</f>
        <v>0.48649999999999999</v>
      </c>
      <c r="F114" s="37"/>
      <c r="G114" s="36"/>
      <c r="H114" s="34"/>
      <c r="I114" s="37"/>
      <c r="J114" s="34"/>
      <c r="K114" s="37"/>
      <c r="Q114">
        <f>ROUND((Source!DN100/100)*ROUND((ROUND((Source!AF100*Source!AV100*Source!I100),2)),2), 2)</f>
        <v>17.149999999999999</v>
      </c>
      <c r="R114">
        <f>Source!X100</f>
        <v>486.08</v>
      </c>
      <c r="S114">
        <f>ROUND((Source!DO100/100)*ROUND((ROUND((Source!AF100*Source!AV100*Source!I100),2)),2), 2)</f>
        <v>10.72</v>
      </c>
      <c r="T114">
        <f>Source!Y100</f>
        <v>227.19</v>
      </c>
      <c r="U114">
        <f>ROUND((175/100)*ROUND((ROUND((Source!AE100*Source!AV100*Source!I100),2)),2), 2)</f>
        <v>15.77</v>
      </c>
      <c r="V114">
        <f>ROUND((160/100)*ROUND(ROUND((ROUND((Source!AE100*Source!AV100*Source!I100),2)*Source!BS100),2), 2), 2)</f>
        <v>497.5</v>
      </c>
      <c r="AI114">
        <v>0</v>
      </c>
    </row>
    <row r="115" spans="1:35" x14ac:dyDescent="0.2">
      <c r="C115" s="38" t="str">
        <f>"Объем: "&amp;Source!I100&amp;"=(69,5*"&amp;"0,7)/"&amp;"100"</f>
        <v>Объем: 0,4865=(69,5*0,7)/100</v>
      </c>
    </row>
    <row r="116" spans="1:35" ht="14.25" x14ac:dyDescent="0.2">
      <c r="A116" s="33"/>
      <c r="B116" s="33"/>
      <c r="C116" s="33" t="s">
        <v>741</v>
      </c>
      <c r="D116" s="35"/>
      <c r="E116" s="34"/>
      <c r="F116" s="37">
        <f>Source!AO100</f>
        <v>28.09</v>
      </c>
      <c r="G116" s="36" t="str">
        <f>Source!DG100</f>
        <v>*1,05</v>
      </c>
      <c r="H116" s="34">
        <f>Source!AV100</f>
        <v>1.0669999999999999</v>
      </c>
      <c r="I116" s="37">
        <f>ROUND((ROUND((Source!AF100*Source!AV100*Source!I100),2)),2)</f>
        <v>15.31</v>
      </c>
      <c r="J116" s="34">
        <f>IF(Source!BA100&lt;&gt; 0, Source!BA100, 1)</f>
        <v>34.51</v>
      </c>
      <c r="K116" s="37">
        <f>Source!S100</f>
        <v>528.35</v>
      </c>
      <c r="W116">
        <f>I116</f>
        <v>15.31</v>
      </c>
    </row>
    <row r="117" spans="1:35" ht="14.25" x14ac:dyDescent="0.2">
      <c r="A117" s="33"/>
      <c r="B117" s="33"/>
      <c r="C117" s="33" t="s">
        <v>749</v>
      </c>
      <c r="D117" s="35"/>
      <c r="E117" s="34"/>
      <c r="F117" s="37">
        <f>Source!AM100</f>
        <v>108.86</v>
      </c>
      <c r="G117" s="36" t="str">
        <f>Source!DE100</f>
        <v>*1,05</v>
      </c>
      <c r="H117" s="34">
        <f>Source!AV100</f>
        <v>1.0669999999999999</v>
      </c>
      <c r="I117" s="37">
        <f>(ROUND((ROUND((((Source!ET100*1.05))*Source!AV100*Source!I100),2)),2)+ROUND((ROUND(((Source!AE100-((Source!EU100*1.05)))*Source!AV100*Source!I100),2)),2))</f>
        <v>59.33</v>
      </c>
      <c r="J117" s="34">
        <f>IF(Source!BB100&lt;&gt; 0, Source!BB100, 1)</f>
        <v>12.86</v>
      </c>
      <c r="K117" s="37">
        <f>Source!Q100</f>
        <v>762.98</v>
      </c>
    </row>
    <row r="118" spans="1:35" ht="14.25" x14ac:dyDescent="0.2">
      <c r="A118" s="33"/>
      <c r="B118" s="33"/>
      <c r="C118" s="33" t="s">
        <v>750</v>
      </c>
      <c r="D118" s="35"/>
      <c r="E118" s="34"/>
      <c r="F118" s="37">
        <f>Source!AN100</f>
        <v>16.53</v>
      </c>
      <c r="G118" s="36" t="str">
        <f>Source!DF100</f>
        <v>*1,05</v>
      </c>
      <c r="H118" s="34">
        <f>Source!AV100</f>
        <v>1.0669999999999999</v>
      </c>
      <c r="I118" s="46">
        <f>ROUND((ROUND((Source!AE100*Source!AV100*Source!I100),2)),2)</f>
        <v>9.01</v>
      </c>
      <c r="J118" s="34">
        <f>IF(Source!BS100&lt;&gt; 0, Source!BS100, 1)</f>
        <v>34.51</v>
      </c>
      <c r="K118" s="46">
        <f>Source!R100</f>
        <v>310.94</v>
      </c>
      <c r="W118">
        <f>I118</f>
        <v>9.01</v>
      </c>
    </row>
    <row r="119" spans="1:35" ht="14.25" x14ac:dyDescent="0.2">
      <c r="A119" s="33"/>
      <c r="B119" s="33"/>
      <c r="C119" s="33" t="s">
        <v>742</v>
      </c>
      <c r="D119" s="35" t="s">
        <v>743</v>
      </c>
      <c r="E119" s="34">
        <f>Source!DN100</f>
        <v>112</v>
      </c>
      <c r="F119" s="37"/>
      <c r="G119" s="36"/>
      <c r="H119" s="34"/>
      <c r="I119" s="37">
        <f>SUM(Q114:Q118)</f>
        <v>17.149999999999999</v>
      </c>
      <c r="J119" s="34">
        <f>Source!BZ100</f>
        <v>92</v>
      </c>
      <c r="K119" s="37">
        <f>SUM(R114:R118)</f>
        <v>486.08</v>
      </c>
    </row>
    <row r="120" spans="1:35" ht="14.25" x14ac:dyDescent="0.2">
      <c r="A120" s="33"/>
      <c r="B120" s="33"/>
      <c r="C120" s="33" t="s">
        <v>744</v>
      </c>
      <c r="D120" s="35" t="s">
        <v>743</v>
      </c>
      <c r="E120" s="34">
        <f>Source!DO100</f>
        <v>70</v>
      </c>
      <c r="F120" s="37"/>
      <c r="G120" s="36"/>
      <c r="H120" s="34"/>
      <c r="I120" s="37">
        <f>SUM(S114:S119)</f>
        <v>10.72</v>
      </c>
      <c r="J120" s="34">
        <f>Source!CA100</f>
        <v>43</v>
      </c>
      <c r="K120" s="37">
        <f>SUM(T114:T119)</f>
        <v>227.19</v>
      </c>
    </row>
    <row r="121" spans="1:35" ht="14.25" x14ac:dyDescent="0.2">
      <c r="A121" s="33"/>
      <c r="B121" s="33"/>
      <c r="C121" s="33" t="s">
        <v>751</v>
      </c>
      <c r="D121" s="35" t="s">
        <v>743</v>
      </c>
      <c r="E121" s="34">
        <f>175</f>
        <v>175</v>
      </c>
      <c r="F121" s="37"/>
      <c r="G121" s="36"/>
      <c r="H121" s="34"/>
      <c r="I121" s="37">
        <f>SUM(U114:U120)</f>
        <v>15.77</v>
      </c>
      <c r="J121" s="34">
        <f>160</f>
        <v>160</v>
      </c>
      <c r="K121" s="37">
        <f>SUM(V114:V120)</f>
        <v>497.5</v>
      </c>
    </row>
    <row r="122" spans="1:35" ht="14.25" x14ac:dyDescent="0.2">
      <c r="A122" s="40"/>
      <c r="B122" s="40"/>
      <c r="C122" s="40" t="s">
        <v>745</v>
      </c>
      <c r="D122" s="41" t="s">
        <v>746</v>
      </c>
      <c r="E122" s="42">
        <f>Source!AQ100</f>
        <v>2.2799999999999998</v>
      </c>
      <c r="F122" s="43"/>
      <c r="G122" s="44" t="str">
        <f>Source!DI100</f>
        <v>*1,05</v>
      </c>
      <c r="H122" s="42">
        <f>Source!AV100</f>
        <v>1.0669999999999999</v>
      </c>
      <c r="I122" s="43">
        <f>Source!U100</f>
        <v>1.2427146269999998</v>
      </c>
      <c r="J122" s="42"/>
      <c r="K122" s="43"/>
      <c r="AB122" s="39">
        <f>I122</f>
        <v>1.2427146269999998</v>
      </c>
    </row>
    <row r="123" spans="1:35" ht="15" x14ac:dyDescent="0.25">
      <c r="C123" s="23" t="s">
        <v>747</v>
      </c>
      <c r="H123" s="45">
        <f>I116+I117+I119+I120+I121+0</f>
        <v>118.27999999999999</v>
      </c>
      <c r="I123" s="45"/>
      <c r="J123" s="45">
        <f>K116+K117+K119+K120+K121+0</f>
        <v>2502.1</v>
      </c>
      <c r="K123" s="45"/>
      <c r="O123" s="39">
        <f>I116+I117+I119+I120+I121+0</f>
        <v>118.27999999999999</v>
      </c>
      <c r="P123" s="39">
        <f>K116+K117+K119+K120+K121+0</f>
        <v>2502.1</v>
      </c>
      <c r="X123">
        <f>IF(Source!BI100&lt;=1,I116+I117+I119+I120+I121-0, 0)</f>
        <v>0</v>
      </c>
      <c r="Y123">
        <f>IF(Source!BI100=2,I116+I117+I119+I120+I121-0, 0)</f>
        <v>118.27999999999999</v>
      </c>
      <c r="Z123">
        <f>IF(Source!BI100=3,I116+I117+I119+I120+I121-0, 0)</f>
        <v>0</v>
      </c>
      <c r="AA123">
        <f>IF(Source!BI100=4,I116+I117+I119+I120+I121,0)</f>
        <v>0</v>
      </c>
    </row>
    <row r="125" spans="1:35" ht="52.5" x14ac:dyDescent="0.2">
      <c r="A125" s="40">
        <v>20</v>
      </c>
      <c r="B125" s="40" t="s">
        <v>761</v>
      </c>
      <c r="C125" s="40" t="s">
        <v>84</v>
      </c>
      <c r="D125" s="41" t="str">
        <f>Source!DW102</f>
        <v>м3</v>
      </c>
      <c r="E125" s="42">
        <f>Source!I102</f>
        <v>4.22</v>
      </c>
      <c r="F125" s="43">
        <f>Source!AL102</f>
        <v>104.99</v>
      </c>
      <c r="G125" s="44" t="str">
        <f>Source!DD102</f>
        <v/>
      </c>
      <c r="H125" s="42">
        <f>Source!AW102</f>
        <v>1</v>
      </c>
      <c r="I125" s="43">
        <f>ROUND((ROUND((Source!AC102*Source!AW102*Source!I102),2)),2)</f>
        <v>443.06</v>
      </c>
      <c r="J125" s="42">
        <f>IF(Source!BC102&lt;&gt; 0, Source!BC102, 1)</f>
        <v>7.69</v>
      </c>
      <c r="K125" s="43">
        <f>Source!P102</f>
        <v>3407.13</v>
      </c>
      <c r="Q125">
        <f>ROUND((Source!DN102/100)*ROUND((ROUND((Source!AF102*Source!AV102*Source!I102),2)),2), 2)</f>
        <v>0</v>
      </c>
      <c r="R125">
        <f>Source!X102</f>
        <v>0</v>
      </c>
      <c r="S125">
        <f>ROUND((Source!DO102/100)*ROUND((ROUND((Source!AF102*Source!AV102*Source!I102),2)),2), 2)</f>
        <v>0</v>
      </c>
      <c r="T125">
        <f>Source!Y102</f>
        <v>0</v>
      </c>
      <c r="U125">
        <f>ROUND((175/100)*ROUND((ROUND((Source!AE102*Source!AV102*Source!I102),2)),2), 2)</f>
        <v>0</v>
      </c>
      <c r="V125">
        <f>ROUND((160/100)*ROUND(ROUND((ROUND((Source!AE102*Source!AV102*Source!I102),2)*Source!BS102),2), 2), 2)</f>
        <v>0</v>
      </c>
      <c r="AI125">
        <v>3</v>
      </c>
    </row>
    <row r="126" spans="1:35" ht="15" x14ac:dyDescent="0.25">
      <c r="C126" s="23" t="s">
        <v>747</v>
      </c>
      <c r="H126" s="45">
        <f>I125+0</f>
        <v>443.06</v>
      </c>
      <c r="I126" s="45"/>
      <c r="J126" s="45">
        <f>K125+0</f>
        <v>3407.13</v>
      </c>
      <c r="K126" s="45"/>
      <c r="O126" s="39">
        <f>I125+0</f>
        <v>443.06</v>
      </c>
      <c r="P126" s="39">
        <f>K125+0</f>
        <v>3407.13</v>
      </c>
      <c r="X126">
        <f>IF(Source!BI102&lt;=1,I125-0, 0)</f>
        <v>443.06</v>
      </c>
      <c r="Y126">
        <f>IF(Source!BI102=2,I125-0, 0)</f>
        <v>0</v>
      </c>
      <c r="Z126">
        <f>IF(Source!BI102=3,I125-0, 0)</f>
        <v>0</v>
      </c>
      <c r="AA126">
        <f>IF(Source!BI102=4,I125,0)</f>
        <v>0</v>
      </c>
    </row>
    <row r="128" spans="1:35" ht="116.25" x14ac:dyDescent="0.2">
      <c r="A128" s="33">
        <v>21</v>
      </c>
      <c r="B128" s="33" t="s">
        <v>762</v>
      </c>
      <c r="C128" s="33" t="s">
        <v>179</v>
      </c>
      <c r="D128" s="35" t="str">
        <f>Source!DW104</f>
        <v>100 М КАБЕЛЯ</v>
      </c>
      <c r="E128" s="34">
        <f>Source!I104</f>
        <v>0.87209999999999999</v>
      </c>
      <c r="F128" s="37"/>
      <c r="G128" s="36"/>
      <c r="H128" s="34"/>
      <c r="I128" s="37"/>
      <c r="J128" s="34"/>
      <c r="K128" s="37"/>
      <c r="Q128">
        <f>ROUND((Source!DN104/100)*ROUND((ROUND((Source!AF104*Source!AV104*Source!I104),2)),2), 2)</f>
        <v>190.9</v>
      </c>
      <c r="R128">
        <f>Source!X104</f>
        <v>5411.65</v>
      </c>
      <c r="S128">
        <f>ROUND((Source!DO104/100)*ROUND((ROUND((Source!AF104*Source!AV104*Source!I104),2)),2), 2)</f>
        <v>119.32</v>
      </c>
      <c r="T128">
        <f>Source!Y104</f>
        <v>2529.36</v>
      </c>
      <c r="U128">
        <f>ROUND((175/100)*ROUND((ROUND((Source!AE104*Source!AV104*Source!I104),2)),2), 2)</f>
        <v>13.21</v>
      </c>
      <c r="V128">
        <f>ROUND((160/100)*ROUND(ROUND((ROUND((Source!AE104*Source!AV104*Source!I104),2)*Source!BS104),2), 2), 2)</f>
        <v>416.88</v>
      </c>
      <c r="AI128">
        <v>0</v>
      </c>
    </row>
    <row r="129" spans="1:35" x14ac:dyDescent="0.2">
      <c r="C129" s="38" t="str">
        <f>"Объем: "&amp;Source!I104&amp;"=290,7/"&amp;"100*"&amp;"0,3"</f>
        <v>Объем: 0,8721=290,7/100*0,3</v>
      </c>
    </row>
    <row r="130" spans="1:35" ht="28.5" x14ac:dyDescent="0.2">
      <c r="A130" s="33"/>
      <c r="B130" s="33"/>
      <c r="C130" s="33" t="s">
        <v>741</v>
      </c>
      <c r="D130" s="35"/>
      <c r="E130" s="34"/>
      <c r="F130" s="37">
        <f>Source!AO104</f>
        <v>145.38</v>
      </c>
      <c r="G130" s="36" t="str">
        <f>Source!DG104</f>
        <v>*1,05)*1,2</v>
      </c>
      <c r="H130" s="34">
        <f>Source!AV104</f>
        <v>1.0669999999999999</v>
      </c>
      <c r="I130" s="37">
        <f>ROUND((ROUND((Source!AF104*Source!AV104*Source!I104),2)),2)</f>
        <v>170.45</v>
      </c>
      <c r="J130" s="34">
        <f>IF(Source!BA104&lt;&gt; 0, Source!BA104, 1)</f>
        <v>34.51</v>
      </c>
      <c r="K130" s="37">
        <f>Source!S104</f>
        <v>5882.23</v>
      </c>
      <c r="W130">
        <f>I130</f>
        <v>170.45</v>
      </c>
    </row>
    <row r="131" spans="1:35" ht="28.5" x14ac:dyDescent="0.2">
      <c r="A131" s="33"/>
      <c r="B131" s="33"/>
      <c r="C131" s="33" t="s">
        <v>749</v>
      </c>
      <c r="D131" s="35"/>
      <c r="E131" s="34"/>
      <c r="F131" s="37">
        <f>Source!AM104</f>
        <v>50.69</v>
      </c>
      <c r="G131" s="36" t="str">
        <f>Source!DE104</f>
        <v>*1,05)*1,2</v>
      </c>
      <c r="H131" s="34">
        <f>Source!AV104</f>
        <v>1.0669999999999999</v>
      </c>
      <c r="I131" s="37">
        <f>(ROUND((ROUND(((((Source!ET104*1.05)*1.2))*Source!AV104*Source!I104),2)),2)+ROUND((ROUND(((Source!AE104-(((Source!EU104*1.05)*1.2)))*Source!AV104*Source!I104),2)),2))</f>
        <v>59.43</v>
      </c>
      <c r="J131" s="34">
        <f>IF(Source!BB104&lt;&gt; 0, Source!BB104, 1)</f>
        <v>12.18</v>
      </c>
      <c r="K131" s="37">
        <f>Source!Q104</f>
        <v>723.86</v>
      </c>
    </row>
    <row r="132" spans="1:35" ht="28.5" x14ac:dyDescent="0.2">
      <c r="A132" s="33"/>
      <c r="B132" s="33"/>
      <c r="C132" s="33" t="s">
        <v>750</v>
      </c>
      <c r="D132" s="35"/>
      <c r="E132" s="34"/>
      <c r="F132" s="37">
        <f>Source!AN104</f>
        <v>6.44</v>
      </c>
      <c r="G132" s="36" t="str">
        <f>Source!DF104</f>
        <v>*1,05)*1,2</v>
      </c>
      <c r="H132" s="34">
        <f>Source!AV104</f>
        <v>1.0669999999999999</v>
      </c>
      <c r="I132" s="46">
        <f>ROUND((ROUND((Source!AE104*Source!AV104*Source!I104),2)),2)</f>
        <v>7.55</v>
      </c>
      <c r="J132" s="34">
        <f>IF(Source!BS104&lt;&gt; 0, Source!BS104, 1)</f>
        <v>34.51</v>
      </c>
      <c r="K132" s="46">
        <f>Source!R104</f>
        <v>260.55</v>
      </c>
      <c r="W132">
        <f>I132</f>
        <v>7.55</v>
      </c>
    </row>
    <row r="133" spans="1:35" ht="14.25" x14ac:dyDescent="0.2">
      <c r="A133" s="33"/>
      <c r="B133" s="33"/>
      <c r="C133" s="33" t="s">
        <v>763</v>
      </c>
      <c r="D133" s="35"/>
      <c r="E133" s="34"/>
      <c r="F133" s="37">
        <f>Source!AL104</f>
        <v>133.13</v>
      </c>
      <c r="G133" s="36" t="str">
        <f>Source!DD104</f>
        <v>*1</v>
      </c>
      <c r="H133" s="34">
        <f>Source!AW104</f>
        <v>1.081</v>
      </c>
      <c r="I133" s="37">
        <f>ROUND((ROUND((Source!AC104*Source!AW104*Source!I104),2)),2)</f>
        <v>125.51</v>
      </c>
      <c r="J133" s="34">
        <f>IF(Source!BC104&lt;&gt; 0, Source!BC104, 1)</f>
        <v>6.47</v>
      </c>
      <c r="K133" s="37">
        <f>Source!P104</f>
        <v>812.05</v>
      </c>
    </row>
    <row r="134" spans="1:35" ht="14.25" x14ac:dyDescent="0.2">
      <c r="A134" s="33"/>
      <c r="B134" s="33"/>
      <c r="C134" s="33" t="s">
        <v>742</v>
      </c>
      <c r="D134" s="35" t="s">
        <v>743</v>
      </c>
      <c r="E134" s="34">
        <f>Source!DN104</f>
        <v>112</v>
      </c>
      <c r="F134" s="37"/>
      <c r="G134" s="36"/>
      <c r="H134" s="34"/>
      <c r="I134" s="37">
        <f>SUM(Q128:Q133)</f>
        <v>190.9</v>
      </c>
      <c r="J134" s="34">
        <f>Source!BZ104</f>
        <v>92</v>
      </c>
      <c r="K134" s="37">
        <f>SUM(R128:R133)</f>
        <v>5411.65</v>
      </c>
    </row>
    <row r="135" spans="1:35" ht="14.25" x14ac:dyDescent="0.2">
      <c r="A135" s="33"/>
      <c r="B135" s="33"/>
      <c r="C135" s="33" t="s">
        <v>744</v>
      </c>
      <c r="D135" s="35" t="s">
        <v>743</v>
      </c>
      <c r="E135" s="34">
        <f>Source!DO104</f>
        <v>70</v>
      </c>
      <c r="F135" s="37"/>
      <c r="G135" s="36"/>
      <c r="H135" s="34"/>
      <c r="I135" s="37">
        <f>SUM(S128:S134)</f>
        <v>119.32</v>
      </c>
      <c r="J135" s="34">
        <f>Source!CA104</f>
        <v>43</v>
      </c>
      <c r="K135" s="37">
        <f>SUM(T128:T134)</f>
        <v>2529.36</v>
      </c>
    </row>
    <row r="136" spans="1:35" ht="14.25" x14ac:dyDescent="0.2">
      <c r="A136" s="33"/>
      <c r="B136" s="33"/>
      <c r="C136" s="33" t="s">
        <v>751</v>
      </c>
      <c r="D136" s="35" t="s">
        <v>743</v>
      </c>
      <c r="E136" s="34">
        <f>175</f>
        <v>175</v>
      </c>
      <c r="F136" s="37"/>
      <c r="G136" s="36"/>
      <c r="H136" s="34"/>
      <c r="I136" s="37">
        <f>SUM(U128:U135)</f>
        <v>13.21</v>
      </c>
      <c r="J136" s="34">
        <f>160</f>
        <v>160</v>
      </c>
      <c r="K136" s="37">
        <f>SUM(V128:V135)</f>
        <v>416.88</v>
      </c>
    </row>
    <row r="137" spans="1:35" ht="28.5" x14ac:dyDescent="0.2">
      <c r="A137" s="40"/>
      <c r="B137" s="40"/>
      <c r="C137" s="40" t="s">
        <v>745</v>
      </c>
      <c r="D137" s="41" t="s">
        <v>746</v>
      </c>
      <c r="E137" s="42">
        <f>Source!AQ104</f>
        <v>11.8</v>
      </c>
      <c r="F137" s="43"/>
      <c r="G137" s="44" t="str">
        <f>Source!DI104</f>
        <v>*1,05)*1,2</v>
      </c>
      <c r="H137" s="42">
        <f>Source!AV104</f>
        <v>1.0669999999999999</v>
      </c>
      <c r="I137" s="43">
        <f>Source!U104</f>
        <v>13.835130447599999</v>
      </c>
      <c r="J137" s="42"/>
      <c r="K137" s="43"/>
      <c r="AB137" s="39">
        <f>I137</f>
        <v>13.835130447599999</v>
      </c>
    </row>
    <row r="138" spans="1:35" ht="15" x14ac:dyDescent="0.25">
      <c r="C138" s="23" t="s">
        <v>747</v>
      </c>
      <c r="H138" s="45">
        <f>I130+I131+I133+I134+I135+I136+0</f>
        <v>678.81999999999994</v>
      </c>
      <c r="I138" s="45"/>
      <c r="J138" s="45">
        <f>K130+K131+K133+K134+K135+K136+0</f>
        <v>15776.029999999999</v>
      </c>
      <c r="K138" s="45"/>
      <c r="O138" s="39">
        <f>I130+I131+I133+I134+I135+I136+0</f>
        <v>678.81999999999994</v>
      </c>
      <c r="P138" s="39">
        <f>K130+K131+K133+K134+K135+K136+0</f>
        <v>15776.029999999999</v>
      </c>
      <c r="X138">
        <f>IF(Source!BI104&lt;=1,I130+I131+I133+I134+I135+I136-0, 0)</f>
        <v>0</v>
      </c>
      <c r="Y138">
        <f>IF(Source!BI104=2,I130+I131+I133+I134+I135+I136-0, 0)</f>
        <v>678.81999999999994</v>
      </c>
      <c r="Z138">
        <f>IF(Source!BI104=3,I130+I131+I133+I134+I135+I136-0, 0)</f>
        <v>0</v>
      </c>
      <c r="AA138">
        <f>IF(Source!BI104=4,I130+I131+I133+I134+I135+I136,0)</f>
        <v>0</v>
      </c>
    </row>
    <row r="140" spans="1:35" ht="52.5" x14ac:dyDescent="0.2">
      <c r="A140" s="33">
        <v>22</v>
      </c>
      <c r="B140" s="33" t="s">
        <v>764</v>
      </c>
      <c r="C140" s="33" t="s">
        <v>179</v>
      </c>
      <c r="D140" s="35" t="str">
        <f>Source!DW106</f>
        <v>100 М КАБЕЛЯ</v>
      </c>
      <c r="E140" s="34">
        <f>Source!I106</f>
        <v>2.0348999999999999</v>
      </c>
      <c r="F140" s="37"/>
      <c r="G140" s="36"/>
      <c r="H140" s="34"/>
      <c r="I140" s="37"/>
      <c r="J140" s="34"/>
      <c r="K140" s="37"/>
      <c r="Q140">
        <f>ROUND((Source!DN106/100)*ROUND((ROUND((Source!AF106*Source!AV106*Source!I106),2)),2), 2)</f>
        <v>371.21</v>
      </c>
      <c r="R140">
        <f>Source!X106</f>
        <v>10522.95</v>
      </c>
      <c r="S140">
        <f>ROUND((Source!DO106/100)*ROUND((ROUND((Source!AF106*Source!AV106*Source!I106),2)),2), 2)</f>
        <v>232.01</v>
      </c>
      <c r="T140">
        <f>Source!Y106</f>
        <v>4918.34</v>
      </c>
      <c r="U140">
        <f>ROUND((175/100)*ROUND((ROUND((Source!AE106*Source!AV106*Source!I106),2)),2), 2)</f>
        <v>25.69</v>
      </c>
      <c r="V140">
        <f>ROUND((160/100)*ROUND(ROUND((ROUND((Source!AE106*Source!AV106*Source!I106),2)*Source!BS106),2), 2), 2)</f>
        <v>810.58</v>
      </c>
      <c r="AI140">
        <v>0</v>
      </c>
    </row>
    <row r="141" spans="1:35" x14ac:dyDescent="0.2">
      <c r="C141" s="38" t="str">
        <f>"Объем: "&amp;Source!I106&amp;"=290,7/"&amp;"100*"&amp;"0,7"</f>
        <v>Объем: 2,0349=290,7/100*0,7</v>
      </c>
    </row>
    <row r="142" spans="1:35" ht="14.25" x14ac:dyDescent="0.2">
      <c r="A142" s="33"/>
      <c r="B142" s="33"/>
      <c r="C142" s="33" t="s">
        <v>741</v>
      </c>
      <c r="D142" s="35"/>
      <c r="E142" s="34"/>
      <c r="F142" s="37">
        <f>Source!AO106</f>
        <v>145.38</v>
      </c>
      <c r="G142" s="36" t="str">
        <f>Source!DG106</f>
        <v>*1,05</v>
      </c>
      <c r="H142" s="34">
        <f>Source!AV106</f>
        <v>1.0669999999999999</v>
      </c>
      <c r="I142" s="37">
        <f>ROUND((ROUND((Source!AF106*Source!AV106*Source!I106),2)),2)</f>
        <v>331.44</v>
      </c>
      <c r="J142" s="34">
        <f>IF(Source!BA106&lt;&gt; 0, Source!BA106, 1)</f>
        <v>34.51</v>
      </c>
      <c r="K142" s="37">
        <f>Source!S106</f>
        <v>11437.99</v>
      </c>
      <c r="W142">
        <f>I142</f>
        <v>331.44</v>
      </c>
    </row>
    <row r="143" spans="1:35" ht="14.25" x14ac:dyDescent="0.2">
      <c r="A143" s="33"/>
      <c r="B143" s="33"/>
      <c r="C143" s="33" t="s">
        <v>749</v>
      </c>
      <c r="D143" s="35"/>
      <c r="E143" s="34"/>
      <c r="F143" s="37">
        <f>Source!AM106</f>
        <v>50.69</v>
      </c>
      <c r="G143" s="36" t="str">
        <f>Source!DE106</f>
        <v>*1,05</v>
      </c>
      <c r="H143" s="34">
        <f>Source!AV106</f>
        <v>1.0669999999999999</v>
      </c>
      <c r="I143" s="37">
        <f>(ROUND((ROUND((((Source!ET106*1.05))*Source!AV106*Source!I106),2)),2)+ROUND((ROUND(((Source!AE106-((Source!EU106*1.05)))*Source!AV106*Source!I106),2)),2))</f>
        <v>115.56</v>
      </c>
      <c r="J143" s="34">
        <f>IF(Source!BB106&lt;&gt; 0, Source!BB106, 1)</f>
        <v>12.18</v>
      </c>
      <c r="K143" s="37">
        <f>Source!Q106</f>
        <v>1407.52</v>
      </c>
    </row>
    <row r="144" spans="1:35" ht="14.25" x14ac:dyDescent="0.2">
      <c r="A144" s="33"/>
      <c r="B144" s="33"/>
      <c r="C144" s="33" t="s">
        <v>750</v>
      </c>
      <c r="D144" s="35"/>
      <c r="E144" s="34"/>
      <c r="F144" s="37">
        <f>Source!AN106</f>
        <v>6.44</v>
      </c>
      <c r="G144" s="36" t="str">
        <f>Source!DF106</f>
        <v>*1,05</v>
      </c>
      <c r="H144" s="34">
        <f>Source!AV106</f>
        <v>1.0669999999999999</v>
      </c>
      <c r="I144" s="46">
        <f>ROUND((ROUND((Source!AE106*Source!AV106*Source!I106),2)),2)</f>
        <v>14.68</v>
      </c>
      <c r="J144" s="34">
        <f>IF(Source!BS106&lt;&gt; 0, Source!BS106, 1)</f>
        <v>34.51</v>
      </c>
      <c r="K144" s="46">
        <f>Source!R106</f>
        <v>506.61</v>
      </c>
      <c r="W144">
        <f>I144</f>
        <v>14.68</v>
      </c>
    </row>
    <row r="145" spans="1:35" ht="14.25" x14ac:dyDescent="0.2">
      <c r="A145" s="33"/>
      <c r="B145" s="33"/>
      <c r="C145" s="33" t="s">
        <v>763</v>
      </c>
      <c r="D145" s="35"/>
      <c r="E145" s="34"/>
      <c r="F145" s="37">
        <f>Source!AL106</f>
        <v>133.13</v>
      </c>
      <c r="G145" s="36" t="str">
        <f>Source!DD106</f>
        <v/>
      </c>
      <c r="H145" s="34">
        <f>Source!AW106</f>
        <v>1.081</v>
      </c>
      <c r="I145" s="37">
        <f>ROUND((ROUND((Source!AC106*Source!AW106*Source!I106),2)),2)</f>
        <v>292.85000000000002</v>
      </c>
      <c r="J145" s="34">
        <f>IF(Source!BC106&lt;&gt; 0, Source!BC106, 1)</f>
        <v>6.47</v>
      </c>
      <c r="K145" s="37">
        <f>Source!P106</f>
        <v>1894.74</v>
      </c>
    </row>
    <row r="146" spans="1:35" ht="14.25" x14ac:dyDescent="0.2">
      <c r="A146" s="33"/>
      <c r="B146" s="33"/>
      <c r="C146" s="33" t="s">
        <v>742</v>
      </c>
      <c r="D146" s="35" t="s">
        <v>743</v>
      </c>
      <c r="E146" s="34">
        <f>Source!DN106</f>
        <v>112</v>
      </c>
      <c r="F146" s="37"/>
      <c r="G146" s="36"/>
      <c r="H146" s="34"/>
      <c r="I146" s="37">
        <f>SUM(Q140:Q145)</f>
        <v>371.21</v>
      </c>
      <c r="J146" s="34">
        <f>Source!BZ106</f>
        <v>92</v>
      </c>
      <c r="K146" s="37">
        <f>SUM(R140:R145)</f>
        <v>10522.95</v>
      </c>
    </row>
    <row r="147" spans="1:35" ht="14.25" x14ac:dyDescent="0.2">
      <c r="A147" s="33"/>
      <c r="B147" s="33"/>
      <c r="C147" s="33" t="s">
        <v>744</v>
      </c>
      <c r="D147" s="35" t="s">
        <v>743</v>
      </c>
      <c r="E147" s="34">
        <f>Source!DO106</f>
        <v>70</v>
      </c>
      <c r="F147" s="37"/>
      <c r="G147" s="36"/>
      <c r="H147" s="34"/>
      <c r="I147" s="37">
        <f>SUM(S140:S146)</f>
        <v>232.01</v>
      </c>
      <c r="J147" s="34">
        <f>Source!CA106</f>
        <v>43</v>
      </c>
      <c r="K147" s="37">
        <f>SUM(T140:T146)</f>
        <v>4918.34</v>
      </c>
    </row>
    <row r="148" spans="1:35" ht="14.25" x14ac:dyDescent="0.2">
      <c r="A148" s="33"/>
      <c r="B148" s="33"/>
      <c r="C148" s="33" t="s">
        <v>751</v>
      </c>
      <c r="D148" s="35" t="s">
        <v>743</v>
      </c>
      <c r="E148" s="34">
        <f>175</f>
        <v>175</v>
      </c>
      <c r="F148" s="37"/>
      <c r="G148" s="36"/>
      <c r="H148" s="34"/>
      <c r="I148" s="37">
        <f>SUM(U140:U147)</f>
        <v>25.69</v>
      </c>
      <c r="J148" s="34">
        <f>160</f>
        <v>160</v>
      </c>
      <c r="K148" s="37">
        <f>SUM(V140:V147)</f>
        <v>810.58</v>
      </c>
    </row>
    <row r="149" spans="1:35" ht="14.25" x14ac:dyDescent="0.2">
      <c r="A149" s="40"/>
      <c r="B149" s="40"/>
      <c r="C149" s="40" t="s">
        <v>745</v>
      </c>
      <c r="D149" s="41" t="s">
        <v>746</v>
      </c>
      <c r="E149" s="42">
        <f>Source!AQ106</f>
        <v>11.8</v>
      </c>
      <c r="F149" s="43"/>
      <c r="G149" s="44" t="str">
        <f>Source!DI106</f>
        <v>*1,05</v>
      </c>
      <c r="H149" s="42">
        <f>Source!AV106</f>
        <v>1.0669999999999999</v>
      </c>
      <c r="I149" s="43">
        <f>Source!U106</f>
        <v>26.901642536999997</v>
      </c>
      <c r="J149" s="42"/>
      <c r="K149" s="43"/>
      <c r="AB149" s="39">
        <f>I149</f>
        <v>26.901642536999997</v>
      </c>
    </row>
    <row r="150" spans="1:35" ht="15" x14ac:dyDescent="0.25">
      <c r="C150" s="23" t="s">
        <v>747</v>
      </c>
      <c r="H150" s="45">
        <f>I142+I143+I145+I146+I147+I148+0</f>
        <v>1368.76</v>
      </c>
      <c r="I150" s="45"/>
      <c r="J150" s="45">
        <f>K142+K143+K145+K146+K147+K148+0</f>
        <v>30992.120000000003</v>
      </c>
      <c r="K150" s="45"/>
      <c r="O150" s="39">
        <f>I142+I143+I145+I146+I147+I148+0</f>
        <v>1368.76</v>
      </c>
      <c r="P150" s="39">
        <f>K142+K143+K145+K146+K147+K148+0</f>
        <v>30992.120000000003</v>
      </c>
      <c r="X150">
        <f>IF(Source!BI106&lt;=1,I142+I143+I145+I146+I147+I148-0, 0)</f>
        <v>0</v>
      </c>
      <c r="Y150">
        <f>IF(Source!BI106=2,I142+I143+I145+I146+I147+I148-0, 0)</f>
        <v>1368.76</v>
      </c>
      <c r="Z150">
        <f>IF(Source!BI106=3,I142+I143+I145+I146+I147+I148-0, 0)</f>
        <v>0</v>
      </c>
      <c r="AA150">
        <f>IF(Source!BI106=4,I142+I143+I145+I146+I147+I148,0)</f>
        <v>0</v>
      </c>
    </row>
    <row r="152" spans="1:35" ht="99.75" x14ac:dyDescent="0.2">
      <c r="A152" s="33">
        <v>26</v>
      </c>
      <c r="B152" s="33" t="s">
        <v>765</v>
      </c>
      <c r="C152" s="33" t="s">
        <v>193</v>
      </c>
      <c r="D152" s="35" t="str">
        <f>Source!DW114</f>
        <v>км</v>
      </c>
      <c r="E152" s="34">
        <f>Source!I114</f>
        <v>0.29651</v>
      </c>
      <c r="F152" s="37">
        <f>Source!AL114</f>
        <v>81534.37</v>
      </c>
      <c r="G152" s="36" t="str">
        <f>Source!DD114</f>
        <v/>
      </c>
      <c r="H152" s="34">
        <f>Source!AW114</f>
        <v>1</v>
      </c>
      <c r="I152" s="37">
        <f>ROUND((ROUND((Source!AC114*Source!AW114*Source!I114),2)),2)</f>
        <v>24175.759999999998</v>
      </c>
      <c r="J152" s="34">
        <f>IF(Source!BC114&lt;&gt; 0, Source!BC114, 1)</f>
        <v>7.94</v>
      </c>
      <c r="K152" s="37">
        <f>Source!P114</f>
        <v>191955.53</v>
      </c>
      <c r="Q152">
        <f>ROUND((Source!DN114/100)*ROUND((ROUND((Source!AF114*Source!AV114*Source!I114),2)),2), 2)</f>
        <v>0</v>
      </c>
      <c r="R152">
        <f>Source!X114</f>
        <v>0</v>
      </c>
      <c r="S152">
        <f>ROUND((Source!DO114/100)*ROUND((ROUND((Source!AF114*Source!AV114*Source!I114),2)),2), 2)</f>
        <v>0</v>
      </c>
      <c r="T152">
        <f>Source!Y114</f>
        <v>0</v>
      </c>
      <c r="U152">
        <f>ROUND((175/100)*ROUND((ROUND((Source!AE114*Source!AV114*Source!I114),2)),2), 2)</f>
        <v>0</v>
      </c>
      <c r="V152">
        <f>ROUND((160/100)*ROUND(ROUND((ROUND((Source!AE114*Source!AV114*Source!I114),2)*Source!BS114),2), 2), 2)</f>
        <v>0</v>
      </c>
      <c r="AI152">
        <v>3</v>
      </c>
    </row>
    <row r="153" spans="1:35" x14ac:dyDescent="0.2">
      <c r="A153" s="50"/>
      <c r="B153" s="50"/>
      <c r="C153" s="51" t="str">
        <f>"Объем: "&amp;Source!I114&amp;"=296,51/"&amp;"1000"</f>
        <v>Объем: 0,29651=296,51/1000</v>
      </c>
      <c r="D153" s="50"/>
      <c r="E153" s="50"/>
      <c r="F153" s="50"/>
      <c r="G153" s="50"/>
      <c r="H153" s="50"/>
      <c r="I153" s="50"/>
      <c r="J153" s="50"/>
      <c r="K153" s="50"/>
    </row>
    <row r="154" spans="1:35" ht="15" x14ac:dyDescent="0.25">
      <c r="C154" s="23" t="s">
        <v>747</v>
      </c>
      <c r="H154" s="45">
        <f>I152+0</f>
        <v>24175.759999999998</v>
      </c>
      <c r="I154" s="45"/>
      <c r="J154" s="45">
        <f>K152+0</f>
        <v>191955.53</v>
      </c>
      <c r="K154" s="45"/>
      <c r="O154" s="39">
        <f>I152+0</f>
        <v>24175.759999999998</v>
      </c>
      <c r="P154" s="39">
        <f>K152+0</f>
        <v>191955.53</v>
      </c>
      <c r="X154">
        <f>IF(Source!BI114&lt;=1,I152-0, 0)</f>
        <v>0</v>
      </c>
      <c r="Y154">
        <f>IF(Source!BI114=2,I152-0, 0)</f>
        <v>24175.759999999998</v>
      </c>
      <c r="Z154">
        <f>IF(Source!BI114=3,I152-0, 0)</f>
        <v>0</v>
      </c>
      <c r="AA154">
        <f>IF(Source!BI114=4,I152,0)</f>
        <v>0</v>
      </c>
    </row>
    <row r="156" spans="1:35" ht="85.5" x14ac:dyDescent="0.2">
      <c r="A156" s="33">
        <v>30</v>
      </c>
      <c r="B156" s="33" t="str">
        <f>Source!F122</f>
        <v>4.8-75-6</v>
      </c>
      <c r="C156" s="33" t="s">
        <v>209</v>
      </c>
      <c r="D156" s="35" t="str">
        <f>Source!DW122</f>
        <v>100 М КАБЕЛЯ</v>
      </c>
      <c r="E156" s="34">
        <f>Source!I122</f>
        <v>7.6499999999999999E-2</v>
      </c>
      <c r="F156" s="37"/>
      <c r="G156" s="36"/>
      <c r="H156" s="34"/>
      <c r="I156" s="37"/>
      <c r="J156" s="34"/>
      <c r="K156" s="37"/>
      <c r="Q156">
        <f>ROUND((Source!DN122/100)*ROUND((ROUND((Source!AF122*Source!AV122*Source!I122),2)),2), 2)</f>
        <v>3.93</v>
      </c>
      <c r="R156">
        <f>Source!X122</f>
        <v>111.44</v>
      </c>
      <c r="S156">
        <f>ROUND((Source!DO122/100)*ROUND((ROUND((Source!AF122*Source!AV122*Source!I122),2)),2), 2)</f>
        <v>2.46</v>
      </c>
      <c r="T156">
        <f>Source!Y122</f>
        <v>52.09</v>
      </c>
      <c r="U156">
        <f>ROUND((175/100)*ROUND((ROUND((Source!AE122*Source!AV122*Source!I122),2)),2), 2)</f>
        <v>0.91</v>
      </c>
      <c r="V156">
        <f>ROUND((160/100)*ROUND(ROUND((ROUND((Source!AE122*Source!AV122*Source!I122),2)*Source!BS122),2), 2), 2)</f>
        <v>28.72</v>
      </c>
      <c r="AI156">
        <v>0</v>
      </c>
    </row>
    <row r="157" spans="1:35" x14ac:dyDescent="0.2">
      <c r="C157" s="38" t="str">
        <f>"Объем: "&amp;Source!I122&amp;"=(25,5*"&amp;"0,3)/"&amp;"100"</f>
        <v>Объем: 0,0765=(25,5*0,3)/100</v>
      </c>
    </row>
    <row r="158" spans="1:35" ht="14.25" x14ac:dyDescent="0.2">
      <c r="A158" s="33"/>
      <c r="B158" s="33"/>
      <c r="C158" s="33" t="s">
        <v>741</v>
      </c>
      <c r="D158" s="35"/>
      <c r="E158" s="34"/>
      <c r="F158" s="37">
        <f>Source!AO122</f>
        <v>43.02</v>
      </c>
      <c r="G158" s="36" t="str">
        <f>Source!DG122</f>
        <v/>
      </c>
      <c r="H158" s="34">
        <f>Source!AV122</f>
        <v>1.0669999999999999</v>
      </c>
      <c r="I158" s="37">
        <f>ROUND((ROUND((Source!AF122*Source!AV122*Source!I122),2)),2)</f>
        <v>3.51</v>
      </c>
      <c r="J158" s="34">
        <f>IF(Source!BA122&lt;&gt; 0, Source!BA122, 1)</f>
        <v>34.51</v>
      </c>
      <c r="K158" s="37">
        <f>Source!S122</f>
        <v>121.13</v>
      </c>
      <c r="W158">
        <f>I158</f>
        <v>3.51</v>
      </c>
    </row>
    <row r="159" spans="1:35" ht="14.25" x14ac:dyDescent="0.2">
      <c r="A159" s="33"/>
      <c r="B159" s="33"/>
      <c r="C159" s="33" t="s">
        <v>749</v>
      </c>
      <c r="D159" s="35"/>
      <c r="E159" s="34"/>
      <c r="F159" s="37">
        <f>Source!AM122</f>
        <v>41.55</v>
      </c>
      <c r="G159" s="36" t="str">
        <f>Source!DE122</f>
        <v/>
      </c>
      <c r="H159" s="34">
        <f>Source!AV122</f>
        <v>1.0669999999999999</v>
      </c>
      <c r="I159" s="37">
        <f>(ROUND((ROUND(((Source!ET122)*Source!AV122*Source!I122),2)),2)+ROUND((ROUND(((Source!AE122-(Source!EU122))*Source!AV122*Source!I122),2)),2))</f>
        <v>3.39</v>
      </c>
      <c r="J159" s="34">
        <f>IF(Source!BB122&lt;&gt; 0, Source!BB122, 1)</f>
        <v>12.86</v>
      </c>
      <c r="K159" s="37">
        <f>Source!Q122</f>
        <v>43.6</v>
      </c>
    </row>
    <row r="160" spans="1:35" ht="14.25" x14ac:dyDescent="0.2">
      <c r="A160" s="33"/>
      <c r="B160" s="33"/>
      <c r="C160" s="33" t="s">
        <v>750</v>
      </c>
      <c r="D160" s="35"/>
      <c r="E160" s="34"/>
      <c r="F160" s="37">
        <f>Source!AN122</f>
        <v>6.31</v>
      </c>
      <c r="G160" s="36" t="str">
        <f>Source!DF122</f>
        <v/>
      </c>
      <c r="H160" s="34">
        <f>Source!AV122</f>
        <v>1.0669999999999999</v>
      </c>
      <c r="I160" s="46">
        <f>ROUND((ROUND((Source!AE122*Source!AV122*Source!I122),2)),2)</f>
        <v>0.52</v>
      </c>
      <c r="J160" s="34">
        <f>IF(Source!BS122&lt;&gt; 0, Source!BS122, 1)</f>
        <v>34.51</v>
      </c>
      <c r="K160" s="46">
        <f>Source!R122</f>
        <v>17.95</v>
      </c>
      <c r="W160">
        <f>I160</f>
        <v>0.52</v>
      </c>
    </row>
    <row r="161" spans="1:35" ht="14.25" x14ac:dyDescent="0.2">
      <c r="A161" s="33"/>
      <c r="B161" s="33"/>
      <c r="C161" s="33" t="s">
        <v>763</v>
      </c>
      <c r="D161" s="35"/>
      <c r="E161" s="34"/>
      <c r="F161" s="37">
        <f>Source!AL122</f>
        <v>1834.56</v>
      </c>
      <c r="G161" s="36" t="str">
        <f>Source!DD122</f>
        <v/>
      </c>
      <c r="H161" s="34">
        <f>Source!AW122</f>
        <v>1.081</v>
      </c>
      <c r="I161" s="37">
        <f>ROUND((ROUND((Source!AC122*Source!AW122*Source!I122),2)),2)</f>
        <v>151.71</v>
      </c>
      <c r="J161" s="34">
        <f>IF(Source!BC122&lt;&gt; 0, Source!BC122, 1)</f>
        <v>9.2200000000000006</v>
      </c>
      <c r="K161" s="37">
        <f>Source!P122</f>
        <v>1398.77</v>
      </c>
    </row>
    <row r="162" spans="1:35" ht="14.25" x14ac:dyDescent="0.2">
      <c r="A162" s="33"/>
      <c r="B162" s="33"/>
      <c r="C162" s="33" t="s">
        <v>742</v>
      </c>
      <c r="D162" s="35" t="s">
        <v>743</v>
      </c>
      <c r="E162" s="34">
        <f>Source!DN122</f>
        <v>112</v>
      </c>
      <c r="F162" s="37"/>
      <c r="G162" s="36"/>
      <c r="H162" s="34"/>
      <c r="I162" s="37">
        <f>SUM(Q156:Q161)</f>
        <v>3.93</v>
      </c>
      <c r="J162" s="34">
        <f>Source!BZ122</f>
        <v>92</v>
      </c>
      <c r="K162" s="37">
        <f>SUM(R156:R161)</f>
        <v>111.44</v>
      </c>
    </row>
    <row r="163" spans="1:35" ht="14.25" x14ac:dyDescent="0.2">
      <c r="A163" s="33"/>
      <c r="B163" s="33"/>
      <c r="C163" s="33" t="s">
        <v>744</v>
      </c>
      <c r="D163" s="35" t="s">
        <v>743</v>
      </c>
      <c r="E163" s="34">
        <f>Source!DO122</f>
        <v>70</v>
      </c>
      <c r="F163" s="37"/>
      <c r="G163" s="36"/>
      <c r="H163" s="34"/>
      <c r="I163" s="37">
        <f>SUM(S156:S162)</f>
        <v>2.46</v>
      </c>
      <c r="J163" s="34">
        <f>Source!CA122</f>
        <v>43</v>
      </c>
      <c r="K163" s="37">
        <f>SUM(T156:T162)</f>
        <v>52.09</v>
      </c>
    </row>
    <row r="164" spans="1:35" ht="14.25" x14ac:dyDescent="0.2">
      <c r="A164" s="33"/>
      <c r="B164" s="33"/>
      <c r="C164" s="33" t="s">
        <v>751</v>
      </c>
      <c r="D164" s="35" t="s">
        <v>743</v>
      </c>
      <c r="E164" s="34">
        <f>175</f>
        <v>175</v>
      </c>
      <c r="F164" s="37"/>
      <c r="G164" s="36"/>
      <c r="H164" s="34"/>
      <c r="I164" s="37">
        <f>SUM(U156:U163)</f>
        <v>0.91</v>
      </c>
      <c r="J164" s="34">
        <f>160</f>
        <v>160</v>
      </c>
      <c r="K164" s="37">
        <f>SUM(V156:V163)</f>
        <v>28.72</v>
      </c>
    </row>
    <row r="165" spans="1:35" ht="14.25" x14ac:dyDescent="0.2">
      <c r="A165" s="40"/>
      <c r="B165" s="40"/>
      <c r="C165" s="40" t="s">
        <v>745</v>
      </c>
      <c r="D165" s="41" t="s">
        <v>746</v>
      </c>
      <c r="E165" s="42">
        <f>Source!AQ122</f>
        <v>4.09</v>
      </c>
      <c r="F165" s="43"/>
      <c r="G165" s="44" t="str">
        <f>Source!DI122</f>
        <v/>
      </c>
      <c r="H165" s="42">
        <f>Source!AV122</f>
        <v>1.0669999999999999</v>
      </c>
      <c r="I165" s="43">
        <f>Source!U122</f>
        <v>0.33384829499999996</v>
      </c>
      <c r="J165" s="42"/>
      <c r="K165" s="43"/>
      <c r="AB165" s="39">
        <f>I165</f>
        <v>0.33384829499999996</v>
      </c>
    </row>
    <row r="166" spans="1:35" ht="15" x14ac:dyDescent="0.25">
      <c r="C166" s="23" t="s">
        <v>747</v>
      </c>
      <c r="H166" s="45">
        <f>I158+I159+I161+I162+I163+I164+0</f>
        <v>165.91000000000003</v>
      </c>
      <c r="I166" s="45"/>
      <c r="J166" s="45">
        <f>K158+K159+K161+K162+K163+K164+0</f>
        <v>1755.75</v>
      </c>
      <c r="K166" s="45"/>
      <c r="O166" s="39">
        <f>I158+I159+I161+I162+I163+I164+0</f>
        <v>165.91000000000003</v>
      </c>
      <c r="P166" s="39">
        <f>K158+K159+K161+K162+K163+K164+0</f>
        <v>1755.75</v>
      </c>
      <c r="X166">
        <f>IF(Source!BI122&lt;=1,I158+I159+I161+I162+I163+I164-0, 0)</f>
        <v>0</v>
      </c>
      <c r="Y166">
        <f>IF(Source!BI122=2,I158+I159+I161+I162+I163+I164-0, 0)</f>
        <v>165.91000000000003</v>
      </c>
      <c r="Z166">
        <f>IF(Source!BI122=3,I158+I159+I161+I162+I163+I164-0, 0)</f>
        <v>0</v>
      </c>
      <c r="AA166">
        <f>IF(Source!BI122=4,I158+I159+I161+I162+I163+I164,0)</f>
        <v>0</v>
      </c>
    </row>
    <row r="168" spans="1:35" ht="85.5" x14ac:dyDescent="0.2">
      <c r="A168" s="33">
        <v>31</v>
      </c>
      <c r="B168" s="33" t="str">
        <f>Source!F124</f>
        <v>4.8-75-6</v>
      </c>
      <c r="C168" s="33" t="s">
        <v>209</v>
      </c>
      <c r="D168" s="35" t="str">
        <f>Source!DW124</f>
        <v>100 М КАБЕЛЯ</v>
      </c>
      <c r="E168" s="34">
        <f>Source!I124</f>
        <v>0.17849999999999999</v>
      </c>
      <c r="F168" s="37"/>
      <c r="G168" s="36"/>
      <c r="H168" s="34"/>
      <c r="I168" s="37"/>
      <c r="J168" s="34"/>
      <c r="K168" s="37"/>
      <c r="Q168">
        <f>ROUND((Source!DN124/100)*ROUND((ROUND((Source!AF124*Source!AV124*Source!I124),2)),2), 2)</f>
        <v>9.17</v>
      </c>
      <c r="R168">
        <f>Source!X124</f>
        <v>260.02999999999997</v>
      </c>
      <c r="S168">
        <f>ROUND((Source!DO124/100)*ROUND((ROUND((Source!AF124*Source!AV124*Source!I124),2)),2), 2)</f>
        <v>5.73</v>
      </c>
      <c r="T168">
        <f>Source!Y124</f>
        <v>121.54</v>
      </c>
      <c r="U168">
        <f>ROUND((175/100)*ROUND((ROUND((Source!AE124*Source!AV124*Source!I124),2)),2), 2)</f>
        <v>2.1</v>
      </c>
      <c r="V168">
        <f>ROUND((160/100)*ROUND(ROUND((ROUND((Source!AE124*Source!AV124*Source!I124),2)*Source!BS124),2), 2), 2)</f>
        <v>66.260000000000005</v>
      </c>
      <c r="AI168">
        <v>0</v>
      </c>
    </row>
    <row r="169" spans="1:35" x14ac:dyDescent="0.2">
      <c r="C169" s="38" t="str">
        <f>"Объем: "&amp;Source!I124&amp;"=25,5*"&amp;"0,7/"&amp;"100"</f>
        <v>Объем: 0,1785=25,5*0,7/100</v>
      </c>
    </row>
    <row r="170" spans="1:35" ht="14.25" x14ac:dyDescent="0.2">
      <c r="A170" s="33"/>
      <c r="B170" s="33"/>
      <c r="C170" s="33" t="s">
        <v>741</v>
      </c>
      <c r="D170" s="35"/>
      <c r="E170" s="34"/>
      <c r="F170" s="37">
        <f>Source!AO124</f>
        <v>43.02</v>
      </c>
      <c r="G170" s="36" t="str">
        <f>Source!DG124</f>
        <v/>
      </c>
      <c r="H170" s="34">
        <f>Source!AV124</f>
        <v>1.0669999999999999</v>
      </c>
      <c r="I170" s="37">
        <f>ROUND((ROUND((Source!AF124*Source!AV124*Source!I124),2)),2)</f>
        <v>8.19</v>
      </c>
      <c r="J170" s="34">
        <f>IF(Source!BA124&lt;&gt; 0, Source!BA124, 1)</f>
        <v>34.51</v>
      </c>
      <c r="K170" s="37">
        <f>Source!S124</f>
        <v>282.64</v>
      </c>
      <c r="W170">
        <f>I170</f>
        <v>8.19</v>
      </c>
    </row>
    <row r="171" spans="1:35" ht="14.25" x14ac:dyDescent="0.2">
      <c r="A171" s="33"/>
      <c r="B171" s="33"/>
      <c r="C171" s="33" t="s">
        <v>749</v>
      </c>
      <c r="D171" s="35"/>
      <c r="E171" s="34"/>
      <c r="F171" s="37">
        <f>Source!AM124</f>
        <v>41.55</v>
      </c>
      <c r="G171" s="36" t="str">
        <f>Source!DE124</f>
        <v/>
      </c>
      <c r="H171" s="34">
        <f>Source!AV124</f>
        <v>1.0669999999999999</v>
      </c>
      <c r="I171" s="37">
        <f>(ROUND((ROUND(((Source!ET124)*Source!AV124*Source!I124),2)),2)+ROUND((ROUND(((Source!AE124-(Source!EU124))*Source!AV124*Source!I124),2)),2))</f>
        <v>7.91</v>
      </c>
      <c r="J171" s="34">
        <f>IF(Source!BB124&lt;&gt; 0, Source!BB124, 1)</f>
        <v>12.86</v>
      </c>
      <c r="K171" s="37">
        <f>Source!Q124</f>
        <v>101.72</v>
      </c>
    </row>
    <row r="172" spans="1:35" ht="14.25" x14ac:dyDescent="0.2">
      <c r="A172" s="33"/>
      <c r="B172" s="33"/>
      <c r="C172" s="33" t="s">
        <v>750</v>
      </c>
      <c r="D172" s="35"/>
      <c r="E172" s="34"/>
      <c r="F172" s="37">
        <f>Source!AN124</f>
        <v>6.31</v>
      </c>
      <c r="G172" s="36" t="str">
        <f>Source!DF124</f>
        <v/>
      </c>
      <c r="H172" s="34">
        <f>Source!AV124</f>
        <v>1.0669999999999999</v>
      </c>
      <c r="I172" s="46">
        <f>ROUND((ROUND((Source!AE124*Source!AV124*Source!I124),2)),2)</f>
        <v>1.2</v>
      </c>
      <c r="J172" s="34">
        <f>IF(Source!BS124&lt;&gt; 0, Source!BS124, 1)</f>
        <v>34.51</v>
      </c>
      <c r="K172" s="46">
        <f>Source!R124</f>
        <v>41.41</v>
      </c>
      <c r="W172">
        <f>I172</f>
        <v>1.2</v>
      </c>
    </row>
    <row r="173" spans="1:35" ht="14.25" x14ac:dyDescent="0.2">
      <c r="A173" s="33"/>
      <c r="B173" s="33"/>
      <c r="C173" s="33" t="s">
        <v>763</v>
      </c>
      <c r="D173" s="35"/>
      <c r="E173" s="34"/>
      <c r="F173" s="37">
        <f>Source!AL124</f>
        <v>1834.56</v>
      </c>
      <c r="G173" s="36" t="str">
        <f>Source!DD124</f>
        <v/>
      </c>
      <c r="H173" s="34">
        <f>Source!AW124</f>
        <v>1.081</v>
      </c>
      <c r="I173" s="37">
        <f>ROUND((ROUND((Source!AC124*Source!AW124*Source!I124),2)),2)</f>
        <v>353.99</v>
      </c>
      <c r="J173" s="34">
        <f>IF(Source!BC124&lt;&gt; 0, Source!BC124, 1)</f>
        <v>9.2200000000000006</v>
      </c>
      <c r="K173" s="37">
        <f>Source!P124</f>
        <v>3263.79</v>
      </c>
    </row>
    <row r="174" spans="1:35" ht="14.25" x14ac:dyDescent="0.2">
      <c r="A174" s="33"/>
      <c r="B174" s="33"/>
      <c r="C174" s="33" t="s">
        <v>742</v>
      </c>
      <c r="D174" s="35" t="s">
        <v>743</v>
      </c>
      <c r="E174" s="34">
        <f>Source!DN124</f>
        <v>112</v>
      </c>
      <c r="F174" s="37"/>
      <c r="G174" s="36"/>
      <c r="H174" s="34"/>
      <c r="I174" s="37">
        <f>SUM(Q168:Q173)</f>
        <v>9.17</v>
      </c>
      <c r="J174" s="34">
        <f>Source!BZ124</f>
        <v>92</v>
      </c>
      <c r="K174" s="37">
        <f>SUM(R168:R173)</f>
        <v>260.02999999999997</v>
      </c>
    </row>
    <row r="175" spans="1:35" ht="14.25" x14ac:dyDescent="0.2">
      <c r="A175" s="33"/>
      <c r="B175" s="33"/>
      <c r="C175" s="33" t="s">
        <v>744</v>
      </c>
      <c r="D175" s="35" t="s">
        <v>743</v>
      </c>
      <c r="E175" s="34">
        <f>Source!DO124</f>
        <v>70</v>
      </c>
      <c r="F175" s="37"/>
      <c r="G175" s="36"/>
      <c r="H175" s="34"/>
      <c r="I175" s="37">
        <f>SUM(S168:S174)</f>
        <v>5.73</v>
      </c>
      <c r="J175" s="34">
        <f>Source!CA124</f>
        <v>43</v>
      </c>
      <c r="K175" s="37">
        <f>SUM(T168:T174)</f>
        <v>121.54</v>
      </c>
    </row>
    <row r="176" spans="1:35" ht="14.25" x14ac:dyDescent="0.2">
      <c r="A176" s="33"/>
      <c r="B176" s="33"/>
      <c r="C176" s="33" t="s">
        <v>751</v>
      </c>
      <c r="D176" s="35" t="s">
        <v>743</v>
      </c>
      <c r="E176" s="34">
        <f>175</f>
        <v>175</v>
      </c>
      <c r="F176" s="37"/>
      <c r="G176" s="36"/>
      <c r="H176" s="34"/>
      <c r="I176" s="37">
        <f>SUM(U168:U175)</f>
        <v>2.1</v>
      </c>
      <c r="J176" s="34">
        <f>160</f>
        <v>160</v>
      </c>
      <c r="K176" s="37">
        <f>SUM(V168:V175)</f>
        <v>66.260000000000005</v>
      </c>
    </row>
    <row r="177" spans="1:35" ht="14.25" x14ac:dyDescent="0.2">
      <c r="A177" s="40"/>
      <c r="B177" s="40"/>
      <c r="C177" s="40" t="s">
        <v>745</v>
      </c>
      <c r="D177" s="41" t="s">
        <v>746</v>
      </c>
      <c r="E177" s="42">
        <f>Source!AQ124</f>
        <v>4.09</v>
      </c>
      <c r="F177" s="43"/>
      <c r="G177" s="44" t="str">
        <f>Source!DI124</f>
        <v/>
      </c>
      <c r="H177" s="42">
        <f>Source!AV124</f>
        <v>1.0669999999999999</v>
      </c>
      <c r="I177" s="43">
        <f>Source!U124</f>
        <v>0.77897935499999993</v>
      </c>
      <c r="J177" s="42"/>
      <c r="K177" s="43"/>
      <c r="AB177" s="39">
        <f>I177</f>
        <v>0.77897935499999993</v>
      </c>
    </row>
    <row r="178" spans="1:35" ht="15" x14ac:dyDescent="0.25">
      <c r="C178" s="23" t="s">
        <v>747</v>
      </c>
      <c r="H178" s="45">
        <f>I170+I171+I173+I174+I175+I176+0</f>
        <v>387.09000000000009</v>
      </c>
      <c r="I178" s="45"/>
      <c r="J178" s="45">
        <f>K170+K171+K173+K174+K175+K176+0</f>
        <v>4095.9800000000005</v>
      </c>
      <c r="K178" s="45"/>
      <c r="O178" s="39">
        <f>I170+I171+I173+I174+I175+I176+0</f>
        <v>387.09000000000009</v>
      </c>
      <c r="P178" s="39">
        <f>K170+K171+K173+K174+K175+K176+0</f>
        <v>4095.9800000000005</v>
      </c>
      <c r="X178">
        <f>IF(Source!BI124&lt;=1,I170+I171+I173+I174+I175+I176-0, 0)</f>
        <v>0</v>
      </c>
      <c r="Y178">
        <f>IF(Source!BI124=2,I170+I171+I173+I174+I175+I176-0, 0)</f>
        <v>387.09000000000009</v>
      </c>
      <c r="Z178">
        <f>IF(Source!BI124=3,I170+I171+I173+I174+I175+I176-0, 0)</f>
        <v>0</v>
      </c>
      <c r="AA178">
        <f>IF(Source!BI124=4,I170+I171+I173+I174+I175+I176,0)</f>
        <v>0</v>
      </c>
    </row>
    <row r="180" spans="1:35" ht="99.75" x14ac:dyDescent="0.2">
      <c r="A180" s="33">
        <v>32</v>
      </c>
      <c r="B180" s="33" t="str">
        <f>Source!F126</f>
        <v>4.8-75-10</v>
      </c>
      <c r="C180" s="33" t="s">
        <v>214</v>
      </c>
      <c r="D180" s="35" t="str">
        <f>Source!DW126</f>
        <v>100 М КАБЕЛЯ</v>
      </c>
      <c r="E180" s="34">
        <f>Source!I126</f>
        <v>6.6000000000000003E-2</v>
      </c>
      <c r="F180" s="37"/>
      <c r="G180" s="36"/>
      <c r="H180" s="34"/>
      <c r="I180" s="37"/>
      <c r="J180" s="34"/>
      <c r="K180" s="37"/>
      <c r="Q180">
        <f>ROUND((Source!DN126/100)*ROUND((ROUND((Source!AF126*Source!AV126*Source!I126),2)),2), 2)</f>
        <v>2.82</v>
      </c>
      <c r="R180">
        <f>Source!X126</f>
        <v>80.010000000000005</v>
      </c>
      <c r="S180">
        <f>ROUND((Source!DO126/100)*ROUND((ROUND((Source!AF126*Source!AV126*Source!I126),2)),2), 2)</f>
        <v>1.76</v>
      </c>
      <c r="T180">
        <f>Source!Y126</f>
        <v>37.4</v>
      </c>
      <c r="U180">
        <f>ROUND((175/100)*ROUND((ROUND((Source!AE126*Source!AV126*Source!I126),2)),2), 2)</f>
        <v>0.77</v>
      </c>
      <c r="V180">
        <f>ROUND((160/100)*ROUND(ROUND((ROUND((Source!AE126*Source!AV126*Source!I126),2)*Source!BS126),2), 2), 2)</f>
        <v>24.29</v>
      </c>
      <c r="AI180">
        <v>0</v>
      </c>
    </row>
    <row r="181" spans="1:35" x14ac:dyDescent="0.2">
      <c r="C181" s="38" t="str">
        <f>"Объем: "&amp;Source!I126&amp;"=(22*"&amp;"0,3)/"&amp;"100"</f>
        <v>Объем: 0,066=(22*0,3)/100</v>
      </c>
    </row>
    <row r="182" spans="1:35" ht="14.25" x14ac:dyDescent="0.2">
      <c r="A182" s="33"/>
      <c r="B182" s="33"/>
      <c r="C182" s="33" t="s">
        <v>741</v>
      </c>
      <c r="D182" s="35"/>
      <c r="E182" s="34"/>
      <c r="F182" s="37">
        <f>Source!AO126</f>
        <v>35.75</v>
      </c>
      <c r="G182" s="36" t="str">
        <f>Source!DG126</f>
        <v/>
      </c>
      <c r="H182" s="34">
        <f>Source!AV126</f>
        <v>1.0669999999999999</v>
      </c>
      <c r="I182" s="37">
        <f>ROUND((ROUND((Source!AF126*Source!AV126*Source!I126),2)),2)</f>
        <v>2.52</v>
      </c>
      <c r="J182" s="34">
        <f>IF(Source!BA126&lt;&gt; 0, Source!BA126, 1)</f>
        <v>34.51</v>
      </c>
      <c r="K182" s="37">
        <f>Source!S126</f>
        <v>86.97</v>
      </c>
      <c r="W182">
        <f>I182</f>
        <v>2.52</v>
      </c>
    </row>
    <row r="183" spans="1:35" ht="14.25" x14ac:dyDescent="0.2">
      <c r="A183" s="33"/>
      <c r="B183" s="33"/>
      <c r="C183" s="33" t="s">
        <v>749</v>
      </c>
      <c r="D183" s="35"/>
      <c r="E183" s="34"/>
      <c r="F183" s="37">
        <f>Source!AM126</f>
        <v>41.55</v>
      </c>
      <c r="G183" s="36" t="str">
        <f>Source!DE126</f>
        <v/>
      </c>
      <c r="H183" s="34">
        <f>Source!AV126</f>
        <v>1.0669999999999999</v>
      </c>
      <c r="I183" s="37">
        <f>(ROUND((ROUND(((Source!ET126)*Source!AV126*Source!I126),2)),2)+ROUND((ROUND(((Source!AE126-(Source!EU126))*Source!AV126*Source!I126),2)),2))</f>
        <v>2.93</v>
      </c>
      <c r="J183" s="34">
        <f>IF(Source!BB126&lt;&gt; 0, Source!BB126, 1)</f>
        <v>12.86</v>
      </c>
      <c r="K183" s="37">
        <f>Source!Q126</f>
        <v>37.68</v>
      </c>
    </row>
    <row r="184" spans="1:35" ht="14.25" x14ac:dyDescent="0.2">
      <c r="A184" s="33"/>
      <c r="B184" s="33"/>
      <c r="C184" s="33" t="s">
        <v>750</v>
      </c>
      <c r="D184" s="35"/>
      <c r="E184" s="34"/>
      <c r="F184" s="37">
        <f>Source!AN126</f>
        <v>6.31</v>
      </c>
      <c r="G184" s="36" t="str">
        <f>Source!DF126</f>
        <v/>
      </c>
      <c r="H184" s="34">
        <f>Source!AV126</f>
        <v>1.0669999999999999</v>
      </c>
      <c r="I184" s="46">
        <f>ROUND((ROUND((Source!AE126*Source!AV126*Source!I126),2)),2)</f>
        <v>0.44</v>
      </c>
      <c r="J184" s="34">
        <f>IF(Source!BS126&lt;&gt; 0, Source!BS126, 1)</f>
        <v>34.51</v>
      </c>
      <c r="K184" s="46">
        <f>Source!R126</f>
        <v>15.18</v>
      </c>
      <c r="W184">
        <f>I184</f>
        <v>0.44</v>
      </c>
    </row>
    <row r="185" spans="1:35" ht="14.25" x14ac:dyDescent="0.2">
      <c r="A185" s="33"/>
      <c r="B185" s="33"/>
      <c r="C185" s="33" t="s">
        <v>763</v>
      </c>
      <c r="D185" s="35"/>
      <c r="E185" s="34"/>
      <c r="F185" s="37">
        <f>Source!AL126</f>
        <v>2444</v>
      </c>
      <c r="G185" s="36" t="str">
        <f>Source!DD126</f>
        <v/>
      </c>
      <c r="H185" s="34">
        <f>Source!AW126</f>
        <v>1.081</v>
      </c>
      <c r="I185" s="37">
        <f>ROUND((ROUND((Source!AC126*Source!AW126*Source!I126),2)),2)</f>
        <v>174.37</v>
      </c>
      <c r="J185" s="34">
        <f>IF(Source!BC126&lt;&gt; 0, Source!BC126, 1)</f>
        <v>9.86</v>
      </c>
      <c r="K185" s="37">
        <f>Source!P126</f>
        <v>1719.29</v>
      </c>
    </row>
    <row r="186" spans="1:35" ht="14.25" x14ac:dyDescent="0.2">
      <c r="A186" s="33"/>
      <c r="B186" s="33"/>
      <c r="C186" s="33" t="s">
        <v>742</v>
      </c>
      <c r="D186" s="35" t="s">
        <v>743</v>
      </c>
      <c r="E186" s="34">
        <f>Source!DN126</f>
        <v>112</v>
      </c>
      <c r="F186" s="37"/>
      <c r="G186" s="36"/>
      <c r="H186" s="34"/>
      <c r="I186" s="37">
        <f>SUM(Q180:Q185)</f>
        <v>2.82</v>
      </c>
      <c r="J186" s="34">
        <f>Source!BZ126</f>
        <v>92</v>
      </c>
      <c r="K186" s="37">
        <f>SUM(R180:R185)</f>
        <v>80.010000000000005</v>
      </c>
    </row>
    <row r="187" spans="1:35" ht="14.25" x14ac:dyDescent="0.2">
      <c r="A187" s="33"/>
      <c r="B187" s="33"/>
      <c r="C187" s="33" t="s">
        <v>744</v>
      </c>
      <c r="D187" s="35" t="s">
        <v>743</v>
      </c>
      <c r="E187" s="34">
        <f>Source!DO126</f>
        <v>70</v>
      </c>
      <c r="F187" s="37"/>
      <c r="G187" s="36"/>
      <c r="H187" s="34"/>
      <c r="I187" s="37">
        <f>SUM(S180:S186)</f>
        <v>1.76</v>
      </c>
      <c r="J187" s="34">
        <f>Source!CA126</f>
        <v>43</v>
      </c>
      <c r="K187" s="37">
        <f>SUM(T180:T186)</f>
        <v>37.4</v>
      </c>
    </row>
    <row r="188" spans="1:35" ht="14.25" x14ac:dyDescent="0.2">
      <c r="A188" s="33"/>
      <c r="B188" s="33"/>
      <c r="C188" s="33" t="s">
        <v>751</v>
      </c>
      <c r="D188" s="35" t="s">
        <v>743</v>
      </c>
      <c r="E188" s="34">
        <f>175</f>
        <v>175</v>
      </c>
      <c r="F188" s="37"/>
      <c r="G188" s="36"/>
      <c r="H188" s="34"/>
      <c r="I188" s="37">
        <f>SUM(U180:U187)</f>
        <v>0.77</v>
      </c>
      <c r="J188" s="34">
        <f>160</f>
        <v>160</v>
      </c>
      <c r="K188" s="37">
        <f>SUM(V180:V187)</f>
        <v>24.29</v>
      </c>
    </row>
    <row r="189" spans="1:35" ht="14.25" x14ac:dyDescent="0.2">
      <c r="A189" s="40"/>
      <c r="B189" s="40"/>
      <c r="C189" s="40" t="s">
        <v>745</v>
      </c>
      <c r="D189" s="41" t="s">
        <v>746</v>
      </c>
      <c r="E189" s="42">
        <f>Source!AQ126</f>
        <v>3.41</v>
      </c>
      <c r="F189" s="43"/>
      <c r="G189" s="44" t="str">
        <f>Source!DI126</f>
        <v/>
      </c>
      <c r="H189" s="42">
        <f>Source!AV126</f>
        <v>1.0669999999999999</v>
      </c>
      <c r="I189" s="43">
        <f>Source!U126</f>
        <v>0.24013902000000001</v>
      </c>
      <c r="J189" s="42"/>
      <c r="K189" s="43"/>
      <c r="AB189" s="39">
        <f>I189</f>
        <v>0.24013902000000001</v>
      </c>
    </row>
    <row r="190" spans="1:35" ht="15" x14ac:dyDescent="0.25">
      <c r="C190" s="23" t="s">
        <v>747</v>
      </c>
      <c r="H190" s="45">
        <f>I182+I183+I185+I186+I187+I188+0</f>
        <v>185.17</v>
      </c>
      <c r="I190" s="45"/>
      <c r="J190" s="45">
        <f>K182+K183+K185+K186+K187+K188+0</f>
        <v>1985.64</v>
      </c>
      <c r="K190" s="45"/>
      <c r="O190" s="39">
        <f>I182+I183+I185+I186+I187+I188+0</f>
        <v>185.17</v>
      </c>
      <c r="P190" s="39">
        <f>K182+K183+K185+K186+K187+K188+0</f>
        <v>1985.64</v>
      </c>
      <c r="X190">
        <f>IF(Source!BI126&lt;=1,I182+I183+I185+I186+I187+I188-0, 0)</f>
        <v>0</v>
      </c>
      <c r="Y190">
        <f>IF(Source!BI126=2,I182+I183+I185+I186+I187+I188-0, 0)</f>
        <v>185.17</v>
      </c>
      <c r="Z190">
        <f>IF(Source!BI126=3,I182+I183+I185+I186+I187+I188-0, 0)</f>
        <v>0</v>
      </c>
      <c r="AA190">
        <f>IF(Source!BI126=4,I182+I183+I185+I186+I187+I188,0)</f>
        <v>0</v>
      </c>
    </row>
    <row r="192" spans="1:35" ht="99.75" x14ac:dyDescent="0.2">
      <c r="A192" s="33">
        <v>33</v>
      </c>
      <c r="B192" s="33" t="str">
        <f>Source!F128</f>
        <v>4.8-75-10</v>
      </c>
      <c r="C192" s="33" t="s">
        <v>214</v>
      </c>
      <c r="D192" s="35" t="str">
        <f>Source!DW128</f>
        <v>100 М КАБЕЛЯ</v>
      </c>
      <c r="E192" s="34">
        <f>Source!I128</f>
        <v>0.154</v>
      </c>
      <c r="F192" s="37"/>
      <c r="G192" s="36"/>
      <c r="H192" s="34"/>
      <c r="I192" s="37"/>
      <c r="J192" s="34"/>
      <c r="K192" s="37"/>
      <c r="Q192">
        <f>ROUND((Source!DN128/100)*ROUND((ROUND((Source!AF128*Source!AV128*Source!I128),2)),2), 2)</f>
        <v>6.57</v>
      </c>
      <c r="R192">
        <f>Source!X128</f>
        <v>186.36</v>
      </c>
      <c r="S192">
        <f>ROUND((Source!DO128/100)*ROUND((ROUND((Source!AF128*Source!AV128*Source!I128),2)),2), 2)</f>
        <v>4.1100000000000003</v>
      </c>
      <c r="T192">
        <f>Source!Y128</f>
        <v>87.11</v>
      </c>
      <c r="U192">
        <f>ROUND((175/100)*ROUND((ROUND((Source!AE128*Source!AV128*Source!I128),2)),2), 2)</f>
        <v>1.82</v>
      </c>
      <c r="V192">
        <f>ROUND((160/100)*ROUND(ROUND((ROUND((Source!AE128*Source!AV128*Source!I128),2)*Source!BS128),2), 2), 2)</f>
        <v>57.42</v>
      </c>
      <c r="AI192">
        <v>0</v>
      </c>
    </row>
    <row r="193" spans="1:28" x14ac:dyDescent="0.2">
      <c r="C193" s="38" t="str">
        <f>"Объем: "&amp;Source!I128&amp;"=(22*"&amp;"0,7)/"&amp;"100"</f>
        <v>Объем: 0,154=(22*0,7)/100</v>
      </c>
    </row>
    <row r="194" spans="1:28" ht="14.25" x14ac:dyDescent="0.2">
      <c r="A194" s="33"/>
      <c r="B194" s="33"/>
      <c r="C194" s="33" t="s">
        <v>741</v>
      </c>
      <c r="D194" s="35"/>
      <c r="E194" s="34"/>
      <c r="F194" s="37">
        <f>Source!AO128</f>
        <v>35.75</v>
      </c>
      <c r="G194" s="36" t="str">
        <f>Source!DG128</f>
        <v/>
      </c>
      <c r="H194" s="34">
        <f>Source!AV128</f>
        <v>1.0669999999999999</v>
      </c>
      <c r="I194" s="37">
        <f>ROUND((ROUND((Source!AF128*Source!AV128*Source!I128),2)),2)</f>
        <v>5.87</v>
      </c>
      <c r="J194" s="34">
        <f>IF(Source!BA128&lt;&gt; 0, Source!BA128, 1)</f>
        <v>34.51</v>
      </c>
      <c r="K194" s="37">
        <f>Source!S128</f>
        <v>202.57</v>
      </c>
      <c r="W194">
        <f>I194</f>
        <v>5.87</v>
      </c>
    </row>
    <row r="195" spans="1:28" ht="14.25" x14ac:dyDescent="0.2">
      <c r="A195" s="33"/>
      <c r="B195" s="33"/>
      <c r="C195" s="33" t="s">
        <v>749</v>
      </c>
      <c r="D195" s="35"/>
      <c r="E195" s="34"/>
      <c r="F195" s="37">
        <f>Source!AM128</f>
        <v>41.55</v>
      </c>
      <c r="G195" s="36" t="str">
        <f>Source!DE128</f>
        <v/>
      </c>
      <c r="H195" s="34">
        <f>Source!AV128</f>
        <v>1.0669999999999999</v>
      </c>
      <c r="I195" s="37">
        <f>(ROUND((ROUND(((Source!ET128)*Source!AV128*Source!I128),2)),2)+ROUND((ROUND(((Source!AE128-(Source!EU128))*Source!AV128*Source!I128),2)),2))</f>
        <v>6.83</v>
      </c>
      <c r="J195" s="34">
        <f>IF(Source!BB128&lt;&gt; 0, Source!BB128, 1)</f>
        <v>12.86</v>
      </c>
      <c r="K195" s="37">
        <f>Source!Q128</f>
        <v>87.83</v>
      </c>
    </row>
    <row r="196" spans="1:28" ht="14.25" x14ac:dyDescent="0.2">
      <c r="A196" s="33"/>
      <c r="B196" s="33"/>
      <c r="C196" s="33" t="s">
        <v>750</v>
      </c>
      <c r="D196" s="35"/>
      <c r="E196" s="34"/>
      <c r="F196" s="37">
        <f>Source!AN128</f>
        <v>6.31</v>
      </c>
      <c r="G196" s="36" t="str">
        <f>Source!DF128</f>
        <v/>
      </c>
      <c r="H196" s="34">
        <f>Source!AV128</f>
        <v>1.0669999999999999</v>
      </c>
      <c r="I196" s="46">
        <f>ROUND((ROUND((Source!AE128*Source!AV128*Source!I128),2)),2)</f>
        <v>1.04</v>
      </c>
      <c r="J196" s="34">
        <f>IF(Source!BS128&lt;&gt; 0, Source!BS128, 1)</f>
        <v>34.51</v>
      </c>
      <c r="K196" s="46">
        <f>Source!R128</f>
        <v>35.89</v>
      </c>
      <c r="W196">
        <f>I196</f>
        <v>1.04</v>
      </c>
    </row>
    <row r="197" spans="1:28" ht="14.25" x14ac:dyDescent="0.2">
      <c r="A197" s="33"/>
      <c r="B197" s="33"/>
      <c r="C197" s="33" t="s">
        <v>763</v>
      </c>
      <c r="D197" s="35"/>
      <c r="E197" s="34"/>
      <c r="F197" s="37">
        <f>Source!AL128</f>
        <v>2444</v>
      </c>
      <c r="G197" s="36" t="str">
        <f>Source!DD128</f>
        <v/>
      </c>
      <c r="H197" s="34">
        <f>Source!AW128</f>
        <v>1.081</v>
      </c>
      <c r="I197" s="37">
        <f>ROUND((ROUND((Source!AC128*Source!AW128*Source!I128),2)),2)</f>
        <v>406.86</v>
      </c>
      <c r="J197" s="34">
        <f>IF(Source!BC128&lt;&gt; 0, Source!BC128, 1)</f>
        <v>9.86</v>
      </c>
      <c r="K197" s="37">
        <f>Source!P128</f>
        <v>4011.64</v>
      </c>
    </row>
    <row r="198" spans="1:28" ht="14.25" x14ac:dyDescent="0.2">
      <c r="A198" s="33"/>
      <c r="B198" s="33"/>
      <c r="C198" s="33" t="s">
        <v>742</v>
      </c>
      <c r="D198" s="35" t="s">
        <v>743</v>
      </c>
      <c r="E198" s="34">
        <f>Source!DN128</f>
        <v>112</v>
      </c>
      <c r="F198" s="37"/>
      <c r="G198" s="36"/>
      <c r="H198" s="34"/>
      <c r="I198" s="37">
        <f>SUM(Q192:Q197)</f>
        <v>6.57</v>
      </c>
      <c r="J198" s="34">
        <f>Source!BZ128</f>
        <v>92</v>
      </c>
      <c r="K198" s="37">
        <f>SUM(R192:R197)</f>
        <v>186.36</v>
      </c>
    </row>
    <row r="199" spans="1:28" ht="14.25" x14ac:dyDescent="0.2">
      <c r="A199" s="33"/>
      <c r="B199" s="33"/>
      <c r="C199" s="33" t="s">
        <v>744</v>
      </c>
      <c r="D199" s="35" t="s">
        <v>743</v>
      </c>
      <c r="E199" s="34">
        <f>Source!DO128</f>
        <v>70</v>
      </c>
      <c r="F199" s="37"/>
      <c r="G199" s="36"/>
      <c r="H199" s="34"/>
      <c r="I199" s="37">
        <f>SUM(S192:S198)</f>
        <v>4.1100000000000003</v>
      </c>
      <c r="J199" s="34">
        <f>Source!CA128</f>
        <v>43</v>
      </c>
      <c r="K199" s="37">
        <f>SUM(T192:T198)</f>
        <v>87.11</v>
      </c>
    </row>
    <row r="200" spans="1:28" ht="14.25" x14ac:dyDescent="0.2">
      <c r="A200" s="33"/>
      <c r="B200" s="33"/>
      <c r="C200" s="33" t="s">
        <v>751</v>
      </c>
      <c r="D200" s="35" t="s">
        <v>743</v>
      </c>
      <c r="E200" s="34">
        <f>175</f>
        <v>175</v>
      </c>
      <c r="F200" s="37"/>
      <c r="G200" s="36"/>
      <c r="H200" s="34"/>
      <c r="I200" s="37">
        <f>SUM(U192:U199)</f>
        <v>1.82</v>
      </c>
      <c r="J200" s="34">
        <f>160</f>
        <v>160</v>
      </c>
      <c r="K200" s="37">
        <f>SUM(V192:V199)</f>
        <v>57.42</v>
      </c>
    </row>
    <row r="201" spans="1:28" ht="14.25" x14ac:dyDescent="0.2">
      <c r="A201" s="40"/>
      <c r="B201" s="40"/>
      <c r="C201" s="40" t="s">
        <v>745</v>
      </c>
      <c r="D201" s="41" t="s">
        <v>746</v>
      </c>
      <c r="E201" s="42">
        <f>Source!AQ128</f>
        <v>3.41</v>
      </c>
      <c r="F201" s="43"/>
      <c r="G201" s="44" t="str">
        <f>Source!DI128</f>
        <v/>
      </c>
      <c r="H201" s="42">
        <f>Source!AV128</f>
        <v>1.0669999999999999</v>
      </c>
      <c r="I201" s="43">
        <f>Source!U128</f>
        <v>0.56032437999999996</v>
      </c>
      <c r="J201" s="42"/>
      <c r="K201" s="43"/>
      <c r="AB201" s="39">
        <f>I201</f>
        <v>0.56032437999999996</v>
      </c>
    </row>
    <row r="202" spans="1:28" ht="15" x14ac:dyDescent="0.25">
      <c r="C202" s="23" t="s">
        <v>747</v>
      </c>
      <c r="H202" s="45">
        <f>I194+I195+I197+I198+I199+I200+0</f>
        <v>432.06</v>
      </c>
      <c r="I202" s="45"/>
      <c r="J202" s="45">
        <f>K194+K195+K197+K198+K199+K200+0</f>
        <v>4632.9299999999994</v>
      </c>
      <c r="K202" s="45"/>
      <c r="O202" s="39">
        <f>I194+I195+I197+I198+I199+I200+0</f>
        <v>432.06</v>
      </c>
      <c r="P202" s="39">
        <f>K194+K195+K197+K198+K199+K200+0</f>
        <v>4632.9299999999994</v>
      </c>
      <c r="X202">
        <f>IF(Source!BI128&lt;=1,I194+I195+I197+I198+I199+I200-0, 0)</f>
        <v>0</v>
      </c>
      <c r="Y202">
        <f>IF(Source!BI128=2,I194+I195+I197+I198+I199+I200-0, 0)</f>
        <v>432.06</v>
      </c>
      <c r="Z202">
        <f>IF(Source!BI128=3,I194+I195+I197+I198+I199+I200-0, 0)</f>
        <v>0</v>
      </c>
      <c r="AA202">
        <f>IF(Source!BI128=4,I194+I195+I197+I198+I199+I200,0)</f>
        <v>0</v>
      </c>
    </row>
    <row r="205" spans="1:28" ht="15" x14ac:dyDescent="0.25">
      <c r="A205" s="49" t="str">
        <f>CONCATENATE("Итого по разделу: ",IF(Source!G148&lt;&gt;"Новый раздел", Source!G148, ""))</f>
        <v>Итого по разделу: Монтажные работы</v>
      </c>
      <c r="B205" s="49"/>
      <c r="C205" s="49"/>
      <c r="D205" s="49"/>
      <c r="E205" s="49"/>
      <c r="F205" s="49"/>
      <c r="G205" s="49"/>
      <c r="H205" s="48">
        <f>SUM(O80:O204)</f>
        <v>28225.239999999998</v>
      </c>
      <c r="I205" s="47"/>
      <c r="J205" s="48">
        <f>SUM(P80:P204)</f>
        <v>262671.85000000003</v>
      </c>
      <c r="K205" s="47"/>
    </row>
    <row r="206" spans="1:28" hidden="1" x14ac:dyDescent="0.2">
      <c r="A206" t="s">
        <v>755</v>
      </c>
      <c r="H206">
        <f>SUM(AC80:AC205)</f>
        <v>0</v>
      </c>
      <c r="J206">
        <f>SUM(AD80:AD205)</f>
        <v>0</v>
      </c>
    </row>
    <row r="207" spans="1:28" hidden="1" x14ac:dyDescent="0.2">
      <c r="A207" t="s">
        <v>756</v>
      </c>
      <c r="H207">
        <f>SUM(AE80:AE206)</f>
        <v>0</v>
      </c>
      <c r="J207">
        <f>SUM(AF80:AF206)</f>
        <v>0</v>
      </c>
    </row>
    <row r="209" spans="1:35" ht="16.5" x14ac:dyDescent="0.25">
      <c r="A209" s="32" t="str">
        <f>CONCATENATE("Раздел: ",IF(Source!G178&lt;&gt;"Новый раздел", Source!G178, ""))</f>
        <v>Раздел: Благоустройство</v>
      </c>
      <c r="B209" s="32"/>
      <c r="C209" s="32"/>
      <c r="D209" s="32"/>
      <c r="E209" s="32"/>
      <c r="F209" s="32"/>
      <c r="G209" s="32"/>
      <c r="H209" s="32"/>
      <c r="I209" s="32"/>
      <c r="J209" s="32"/>
      <c r="K209" s="32"/>
    </row>
    <row r="211" spans="1:35" ht="16.5" x14ac:dyDescent="0.25">
      <c r="A211" s="32" t="str">
        <f>CONCATENATE("Подраздел: ",IF(Source!G182&lt;&gt;"Новый подраздел", Source!G182, ""))</f>
        <v>Подраздел: Дорога</v>
      </c>
      <c r="B211" s="32"/>
      <c r="C211" s="32"/>
      <c r="D211" s="32"/>
      <c r="E211" s="32"/>
      <c r="F211" s="32"/>
      <c r="G211" s="32"/>
      <c r="H211" s="32"/>
      <c r="I211" s="32"/>
      <c r="J211" s="32"/>
      <c r="K211" s="32"/>
    </row>
    <row r="212" spans="1:35" ht="52.5" x14ac:dyDescent="0.2">
      <c r="A212" s="33">
        <v>43</v>
      </c>
      <c r="B212" s="33" t="s">
        <v>766</v>
      </c>
      <c r="C212" s="33" t="s">
        <v>267</v>
      </c>
      <c r="D212" s="35" t="str">
        <f>Source!DW187</f>
        <v>100 м3 конструкций</v>
      </c>
      <c r="E212" s="34">
        <f>Source!I187</f>
        <v>2.3539999999999998E-2</v>
      </c>
      <c r="F212" s="37"/>
      <c r="G212" s="36"/>
      <c r="H212" s="34"/>
      <c r="I212" s="37"/>
      <c r="J212" s="34"/>
      <c r="K212" s="37"/>
      <c r="Q212">
        <f>ROUND((Source!DN187/100)*ROUND((ROUND((Source!AF187*Source!AV187*Source!I187),2)),2), 2)</f>
        <v>34.94</v>
      </c>
      <c r="R212">
        <f>Source!X187</f>
        <v>1055.18</v>
      </c>
      <c r="S212">
        <f>ROUND((Source!DO187/100)*ROUND((ROUND((Source!AF187*Source!AV187*Source!I187),2)),2), 2)</f>
        <v>24.02</v>
      </c>
      <c r="T212">
        <f>Source!Y187</f>
        <v>618.03</v>
      </c>
      <c r="U212">
        <f>ROUND((175/100)*ROUND((ROUND((Source!AE187*Source!AV187*Source!I187),2)),2), 2)</f>
        <v>22.79</v>
      </c>
      <c r="V212">
        <f>ROUND((160/100)*ROUND(ROUND((ROUND((Source!AE187*Source!AV187*Source!I187),2)*Source!BS187),2), 2), 2)</f>
        <v>718.91</v>
      </c>
      <c r="AI212">
        <v>0</v>
      </c>
    </row>
    <row r="213" spans="1:35" x14ac:dyDescent="0.2">
      <c r="C213" s="38" t="str">
        <f>"Объем: "&amp;Source!I187&amp;"=((27*"&amp;"0,04)+"&amp;"(9,8*"&amp;"0,13))/"&amp;"100"</f>
        <v>Объем: 0,02354=((27*0,04)+(9,8*0,13))/100</v>
      </c>
    </row>
    <row r="214" spans="1:35" ht="14.25" x14ac:dyDescent="0.2">
      <c r="A214" s="33"/>
      <c r="B214" s="33"/>
      <c r="C214" s="33" t="s">
        <v>741</v>
      </c>
      <c r="D214" s="35"/>
      <c r="E214" s="34"/>
      <c r="F214" s="37">
        <f>Source!AO187</f>
        <v>1687.95</v>
      </c>
      <c r="G214" s="36" t="str">
        <f>Source!DG187</f>
        <v>*1,05</v>
      </c>
      <c r="H214" s="34">
        <f>Source!AV187</f>
        <v>1.0469999999999999</v>
      </c>
      <c r="I214" s="37">
        <f>ROUND((ROUND((Source!AF187*Source!AV187*Source!I187),2)),2)</f>
        <v>43.68</v>
      </c>
      <c r="J214" s="34">
        <f>IF(Source!BA187&lt;&gt; 0, Source!BA187, 1)</f>
        <v>34.51</v>
      </c>
      <c r="K214" s="37">
        <f>Source!S187</f>
        <v>1507.4</v>
      </c>
      <c r="W214">
        <f>I214</f>
        <v>43.68</v>
      </c>
    </row>
    <row r="215" spans="1:35" ht="14.25" x14ac:dyDescent="0.2">
      <c r="A215" s="33"/>
      <c r="B215" s="33"/>
      <c r="C215" s="33" t="s">
        <v>749</v>
      </c>
      <c r="D215" s="35"/>
      <c r="E215" s="34"/>
      <c r="F215" s="37">
        <f>Source!AM187</f>
        <v>1935.93</v>
      </c>
      <c r="G215" s="36" t="str">
        <f>Source!DE187</f>
        <v>*1,05</v>
      </c>
      <c r="H215" s="34">
        <f>Source!AV187</f>
        <v>1.0469999999999999</v>
      </c>
      <c r="I215" s="37">
        <f>(ROUND((ROUND((((Source!ET187*1.05))*Source!AV187*Source!I187),2)),2)+ROUND((ROUND(((Source!AE187-((Source!EU187*1.05)))*Source!AV187*Source!I187),2)),2))</f>
        <v>50.1</v>
      </c>
      <c r="J215" s="34">
        <f>IF(Source!BB187&lt;&gt; 0, Source!BB187, 1)</f>
        <v>16.46</v>
      </c>
      <c r="K215" s="37">
        <f>Source!Q187</f>
        <v>824.65</v>
      </c>
    </row>
    <row r="216" spans="1:35" ht="14.25" x14ac:dyDescent="0.2">
      <c r="A216" s="33"/>
      <c r="B216" s="33"/>
      <c r="C216" s="33" t="s">
        <v>750</v>
      </c>
      <c r="D216" s="35"/>
      <c r="E216" s="34"/>
      <c r="F216" s="37">
        <f>Source!AN187</f>
        <v>502.99</v>
      </c>
      <c r="G216" s="36" t="str">
        <f>Source!DF187</f>
        <v>*1,05</v>
      </c>
      <c r="H216" s="34">
        <f>Source!AV187</f>
        <v>1.0469999999999999</v>
      </c>
      <c r="I216" s="46">
        <f>ROUND((ROUND((Source!AE187*Source!AV187*Source!I187),2)),2)</f>
        <v>13.02</v>
      </c>
      <c r="J216" s="34">
        <f>IF(Source!BS187&lt;&gt; 0, Source!BS187, 1)</f>
        <v>34.51</v>
      </c>
      <c r="K216" s="46">
        <f>Source!R187</f>
        <v>449.32</v>
      </c>
      <c r="W216">
        <f>I216</f>
        <v>13.02</v>
      </c>
    </row>
    <row r="217" spans="1:35" ht="14.25" x14ac:dyDescent="0.2">
      <c r="A217" s="33"/>
      <c r="B217" s="33"/>
      <c r="C217" s="33" t="s">
        <v>742</v>
      </c>
      <c r="D217" s="35" t="s">
        <v>743</v>
      </c>
      <c r="E217" s="34">
        <f>Source!DN187</f>
        <v>80</v>
      </c>
      <c r="F217" s="37"/>
      <c r="G217" s="36"/>
      <c r="H217" s="34"/>
      <c r="I217" s="37">
        <f>SUM(Q212:Q216)</f>
        <v>34.94</v>
      </c>
      <c r="J217" s="34">
        <f>Source!BZ187</f>
        <v>70</v>
      </c>
      <c r="K217" s="37">
        <f>SUM(R212:R216)</f>
        <v>1055.18</v>
      </c>
    </row>
    <row r="218" spans="1:35" ht="14.25" x14ac:dyDescent="0.2">
      <c r="A218" s="33"/>
      <c r="B218" s="33"/>
      <c r="C218" s="33" t="s">
        <v>744</v>
      </c>
      <c r="D218" s="35" t="s">
        <v>743</v>
      </c>
      <c r="E218" s="34">
        <f>Source!DO187</f>
        <v>55</v>
      </c>
      <c r="F218" s="37"/>
      <c r="G218" s="36"/>
      <c r="H218" s="34"/>
      <c r="I218" s="37">
        <f>SUM(S212:S217)</f>
        <v>24.02</v>
      </c>
      <c r="J218" s="34">
        <f>Source!CA187</f>
        <v>41</v>
      </c>
      <c r="K218" s="37">
        <f>SUM(T212:T217)</f>
        <v>618.03</v>
      </c>
    </row>
    <row r="219" spans="1:35" ht="14.25" x14ac:dyDescent="0.2">
      <c r="A219" s="33"/>
      <c r="B219" s="33"/>
      <c r="C219" s="33" t="s">
        <v>751</v>
      </c>
      <c r="D219" s="35" t="s">
        <v>743</v>
      </c>
      <c r="E219" s="34">
        <f>175</f>
        <v>175</v>
      </c>
      <c r="F219" s="37"/>
      <c r="G219" s="36"/>
      <c r="H219" s="34"/>
      <c r="I219" s="37">
        <f>SUM(U212:U218)</f>
        <v>22.79</v>
      </c>
      <c r="J219" s="34">
        <f>160</f>
        <v>160</v>
      </c>
      <c r="K219" s="37">
        <f>SUM(V212:V218)</f>
        <v>718.91</v>
      </c>
    </row>
    <row r="220" spans="1:35" ht="14.25" x14ac:dyDescent="0.2">
      <c r="A220" s="40"/>
      <c r="B220" s="40"/>
      <c r="C220" s="40" t="s">
        <v>745</v>
      </c>
      <c r="D220" s="41" t="s">
        <v>746</v>
      </c>
      <c r="E220" s="42">
        <f>Source!AQ187</f>
        <v>155</v>
      </c>
      <c r="F220" s="43"/>
      <c r="G220" s="44" t="str">
        <f>Source!DI187</f>
        <v>*1,05</v>
      </c>
      <c r="H220" s="42">
        <f>Source!AV187</f>
        <v>1.0469999999999999</v>
      </c>
      <c r="I220" s="43">
        <f>Source!U187</f>
        <v>4.0111983449999995</v>
      </c>
      <c r="J220" s="42"/>
      <c r="K220" s="43"/>
      <c r="AB220" s="39">
        <f>I220</f>
        <v>4.0111983449999995</v>
      </c>
    </row>
    <row r="221" spans="1:35" ht="15" x14ac:dyDescent="0.25">
      <c r="C221" s="23" t="s">
        <v>747</v>
      </c>
      <c r="H221" s="45">
        <f>I214+I215+I217+I218+I219+0</f>
        <v>175.53</v>
      </c>
      <c r="I221" s="45"/>
      <c r="J221" s="45">
        <f>K214+K215+K217+K218+K219+0</f>
        <v>4724.17</v>
      </c>
      <c r="K221" s="45"/>
      <c r="O221" s="39">
        <f>I214+I215+I217+I218+I219+0</f>
        <v>175.53</v>
      </c>
      <c r="P221" s="39">
        <f>K214+K215+K217+K218+K219+0</f>
        <v>4724.17</v>
      </c>
      <c r="X221">
        <f>IF(Source!BI187&lt;=1,I214+I215+I217+I218+I219-0, 0)</f>
        <v>175.53</v>
      </c>
      <c r="Y221">
        <f>IF(Source!BI187=2,I214+I215+I217+I218+I219-0, 0)</f>
        <v>0</v>
      </c>
      <c r="Z221">
        <f>IF(Source!BI187=3,I214+I215+I217+I218+I219-0, 0)</f>
        <v>0</v>
      </c>
      <c r="AA221">
        <f>IF(Source!BI187=4,I214+I215+I217+I218+I219,0)</f>
        <v>0</v>
      </c>
    </row>
    <row r="223" spans="1:35" ht="52.5" x14ac:dyDescent="0.2">
      <c r="A223" s="33">
        <v>44</v>
      </c>
      <c r="B223" s="33" t="s">
        <v>767</v>
      </c>
      <c r="C223" s="33" t="s">
        <v>275</v>
      </c>
      <c r="D223" s="35" t="str">
        <f>Source!DW189</f>
        <v>100 м3 конструкций</v>
      </c>
      <c r="E223" s="34">
        <f>Source!I189</f>
        <v>1.6660000000000001E-2</v>
      </c>
      <c r="F223" s="37"/>
      <c r="G223" s="36"/>
      <c r="H223" s="34"/>
      <c r="I223" s="37"/>
      <c r="J223" s="34"/>
      <c r="K223" s="37"/>
      <c r="Q223">
        <f>ROUND((Source!DN189/100)*ROUND((ROUND((Source!AF189*Source!AV189*Source!I189),2)),2), 2)</f>
        <v>9.15</v>
      </c>
      <c r="R223">
        <f>Source!X189</f>
        <v>276.35000000000002</v>
      </c>
      <c r="S223">
        <f>ROUND((Source!DO189/100)*ROUND((ROUND((Source!AF189*Source!AV189*Source!I189),2)),2), 2)</f>
        <v>6.29</v>
      </c>
      <c r="T223">
        <f>Source!Y189</f>
        <v>161.86000000000001</v>
      </c>
      <c r="U223">
        <f>ROUND((175/100)*ROUND((ROUND((Source!AE189*Source!AV189*Source!I189),2)),2), 2)</f>
        <v>5.64</v>
      </c>
      <c r="V223">
        <f>ROUND((160/100)*ROUND(ROUND((ROUND((Source!AE189*Source!AV189*Source!I189),2)*Source!BS189),2), 2), 2)</f>
        <v>177.79</v>
      </c>
      <c r="AI223">
        <v>0</v>
      </c>
    </row>
    <row r="224" spans="1:35" x14ac:dyDescent="0.2">
      <c r="C224" s="38" t="str">
        <f>"Объем: "&amp;Source!I189&amp;"=((9,8*"&amp;"0,17))/"&amp;"100"</f>
        <v>Объем: 0,01666=((9,8*0,17))/100</v>
      </c>
    </row>
    <row r="225" spans="1:35" ht="14.25" x14ac:dyDescent="0.2">
      <c r="A225" s="33"/>
      <c r="B225" s="33"/>
      <c r="C225" s="33" t="s">
        <v>741</v>
      </c>
      <c r="D225" s="35"/>
      <c r="E225" s="34"/>
      <c r="F225" s="37">
        <f>Source!AO189</f>
        <v>624.69000000000005</v>
      </c>
      <c r="G225" s="36" t="str">
        <f>Source!DG189</f>
        <v>*1,05</v>
      </c>
      <c r="H225" s="34">
        <f>Source!AV189</f>
        <v>1.0469999999999999</v>
      </c>
      <c r="I225" s="37">
        <f>ROUND((ROUND((Source!AF189*Source!AV189*Source!I189),2)),2)</f>
        <v>11.44</v>
      </c>
      <c r="J225" s="34">
        <f>IF(Source!BA189&lt;&gt; 0, Source!BA189, 1)</f>
        <v>34.51</v>
      </c>
      <c r="K225" s="37">
        <f>Source!S189</f>
        <v>394.79</v>
      </c>
      <c r="W225">
        <f>I225</f>
        <v>11.44</v>
      </c>
    </row>
    <row r="226" spans="1:35" ht="14.25" x14ac:dyDescent="0.2">
      <c r="A226" s="33"/>
      <c r="B226" s="33"/>
      <c r="C226" s="33" t="s">
        <v>749</v>
      </c>
      <c r="D226" s="35"/>
      <c r="E226" s="34"/>
      <c r="F226" s="37">
        <f>Source!AM189</f>
        <v>2355.04</v>
      </c>
      <c r="G226" s="36" t="str">
        <f>Source!DE189</f>
        <v>*1,05</v>
      </c>
      <c r="H226" s="34">
        <f>Source!AV189</f>
        <v>1.0469999999999999</v>
      </c>
      <c r="I226" s="37">
        <f>(ROUND((ROUND((((Source!ET189*1.05))*Source!AV189*Source!I189),2)),2)+ROUND((ROUND(((Source!AE189-((Source!EU189*1.05)))*Source!AV189*Source!I189),2)),2))</f>
        <v>43.13</v>
      </c>
      <c r="J226" s="34">
        <f>IF(Source!BB189&lt;&gt; 0, Source!BB189, 1)</f>
        <v>11.35</v>
      </c>
      <c r="K226" s="37">
        <f>Source!Q189</f>
        <v>489.53</v>
      </c>
    </row>
    <row r="227" spans="1:35" ht="14.25" x14ac:dyDescent="0.2">
      <c r="A227" s="33"/>
      <c r="B227" s="33"/>
      <c r="C227" s="33" t="s">
        <v>750</v>
      </c>
      <c r="D227" s="35"/>
      <c r="E227" s="34"/>
      <c r="F227" s="37">
        <f>Source!AN189</f>
        <v>176.03</v>
      </c>
      <c r="G227" s="36" t="str">
        <f>Source!DF189</f>
        <v>*1,05</v>
      </c>
      <c r="H227" s="34">
        <f>Source!AV189</f>
        <v>1.0469999999999999</v>
      </c>
      <c r="I227" s="46">
        <f>ROUND((ROUND((Source!AE189*Source!AV189*Source!I189),2)),2)</f>
        <v>3.22</v>
      </c>
      <c r="J227" s="34">
        <f>IF(Source!BS189&lt;&gt; 0, Source!BS189, 1)</f>
        <v>34.51</v>
      </c>
      <c r="K227" s="46">
        <f>Source!R189</f>
        <v>111.12</v>
      </c>
      <c r="W227">
        <f>I227</f>
        <v>3.22</v>
      </c>
    </row>
    <row r="228" spans="1:35" ht="14.25" x14ac:dyDescent="0.2">
      <c r="A228" s="33"/>
      <c r="B228" s="33"/>
      <c r="C228" s="33" t="s">
        <v>742</v>
      </c>
      <c r="D228" s="35" t="s">
        <v>743</v>
      </c>
      <c r="E228" s="34">
        <f>Source!DN189</f>
        <v>80</v>
      </c>
      <c r="F228" s="37"/>
      <c r="G228" s="36"/>
      <c r="H228" s="34"/>
      <c r="I228" s="37">
        <f>SUM(Q223:Q227)</f>
        <v>9.15</v>
      </c>
      <c r="J228" s="34">
        <f>Source!BZ189</f>
        <v>70</v>
      </c>
      <c r="K228" s="37">
        <f>SUM(R223:R227)</f>
        <v>276.35000000000002</v>
      </c>
    </row>
    <row r="229" spans="1:35" ht="14.25" x14ac:dyDescent="0.2">
      <c r="A229" s="33"/>
      <c r="B229" s="33"/>
      <c r="C229" s="33" t="s">
        <v>744</v>
      </c>
      <c r="D229" s="35" t="s">
        <v>743</v>
      </c>
      <c r="E229" s="34">
        <f>Source!DO189</f>
        <v>55</v>
      </c>
      <c r="F229" s="37"/>
      <c r="G229" s="36"/>
      <c r="H229" s="34"/>
      <c r="I229" s="37">
        <f>SUM(S223:S228)</f>
        <v>6.29</v>
      </c>
      <c r="J229" s="34">
        <f>Source!CA189</f>
        <v>41</v>
      </c>
      <c r="K229" s="37">
        <f>SUM(T223:T228)</f>
        <v>161.86000000000001</v>
      </c>
    </row>
    <row r="230" spans="1:35" ht="14.25" x14ac:dyDescent="0.2">
      <c r="A230" s="33"/>
      <c r="B230" s="33"/>
      <c r="C230" s="33" t="s">
        <v>751</v>
      </c>
      <c r="D230" s="35" t="s">
        <v>743</v>
      </c>
      <c r="E230" s="34">
        <f>175</f>
        <v>175</v>
      </c>
      <c r="F230" s="37"/>
      <c r="G230" s="36"/>
      <c r="H230" s="34"/>
      <c r="I230" s="37">
        <f>SUM(U223:U229)</f>
        <v>5.64</v>
      </c>
      <c r="J230" s="34">
        <f>160</f>
        <v>160</v>
      </c>
      <c r="K230" s="37">
        <f>SUM(V223:V229)</f>
        <v>177.79</v>
      </c>
    </row>
    <row r="231" spans="1:35" ht="14.25" x14ac:dyDescent="0.2">
      <c r="A231" s="40"/>
      <c r="B231" s="40"/>
      <c r="C231" s="40" t="s">
        <v>745</v>
      </c>
      <c r="D231" s="41" t="s">
        <v>746</v>
      </c>
      <c r="E231" s="42">
        <f>Source!AQ189</f>
        <v>49.5</v>
      </c>
      <c r="F231" s="43"/>
      <c r="G231" s="44" t="str">
        <f>Source!DI189</f>
        <v>*1,05</v>
      </c>
      <c r="H231" s="42">
        <f>Source!AV189</f>
        <v>1.0469999999999999</v>
      </c>
      <c r="I231" s="43">
        <f>Source!U189</f>
        <v>0.90660096450000005</v>
      </c>
      <c r="J231" s="42"/>
      <c r="K231" s="43"/>
      <c r="AB231" s="39">
        <f>I231</f>
        <v>0.90660096450000005</v>
      </c>
    </row>
    <row r="232" spans="1:35" ht="15" x14ac:dyDescent="0.25">
      <c r="C232" s="23" t="s">
        <v>747</v>
      </c>
      <c r="H232" s="45">
        <f>I225+I226+I228+I229+I230+0</f>
        <v>75.650000000000006</v>
      </c>
      <c r="I232" s="45"/>
      <c r="J232" s="45">
        <f>K225+K226+K228+K229+K230+0</f>
        <v>1500.3200000000002</v>
      </c>
      <c r="K232" s="45"/>
      <c r="O232" s="39">
        <f>I225+I226+I228+I229+I230+0</f>
        <v>75.650000000000006</v>
      </c>
      <c r="P232" s="39">
        <f>K225+K226+K228+K229+K230+0</f>
        <v>1500.3200000000002</v>
      </c>
      <c r="X232">
        <f>IF(Source!BI189&lt;=1,I225+I226+I228+I229+I230-0, 0)</f>
        <v>75.650000000000006</v>
      </c>
      <c r="Y232">
        <f>IF(Source!BI189=2,I225+I226+I228+I229+I230-0, 0)</f>
        <v>0</v>
      </c>
      <c r="Z232">
        <f>IF(Source!BI189=3,I225+I226+I228+I229+I230-0, 0)</f>
        <v>0</v>
      </c>
      <c r="AA232">
        <f>IF(Source!BI189=4,I225+I226+I228+I229+I230,0)</f>
        <v>0</v>
      </c>
    </row>
    <row r="234" spans="1:35" ht="52.5" x14ac:dyDescent="0.2">
      <c r="A234" s="33">
        <v>45</v>
      </c>
      <c r="B234" s="33" t="s">
        <v>768</v>
      </c>
      <c r="C234" s="33" t="s">
        <v>279</v>
      </c>
      <c r="D234" s="35" t="str">
        <f>Source!DW191</f>
        <v>1 Т</v>
      </c>
      <c r="E234" s="34">
        <f>Source!I191</f>
        <v>9.3148</v>
      </c>
      <c r="F234" s="37"/>
      <c r="G234" s="36"/>
      <c r="H234" s="34"/>
      <c r="I234" s="37"/>
      <c r="J234" s="34"/>
      <c r="K234" s="37"/>
      <c r="Q234">
        <f>ROUND((Source!DN191/100)*ROUND((ROUND((Source!AF191*Source!AV191*Source!I191),2)),2), 2)</f>
        <v>0</v>
      </c>
      <c r="R234">
        <f>Source!X191</f>
        <v>0</v>
      </c>
      <c r="S234">
        <f>ROUND((Source!DO191/100)*ROUND((ROUND((Source!AF191*Source!AV191*Source!I191),2)),2), 2)</f>
        <v>0</v>
      </c>
      <c r="T234">
        <f>Source!Y191</f>
        <v>0</v>
      </c>
      <c r="U234">
        <f>ROUND((175/100)*ROUND((ROUND((Source!AE191*Source!AV191*Source!I191),2)),2), 2)</f>
        <v>26.53</v>
      </c>
      <c r="V234">
        <f>ROUND((160/100)*ROUND(ROUND((ROUND((Source!AE191*Source!AV191*Source!I191),2)*Source!BS191),2), 2), 2)</f>
        <v>837.07</v>
      </c>
      <c r="AI234">
        <v>0</v>
      </c>
    </row>
    <row r="235" spans="1:35" ht="25.5" x14ac:dyDescent="0.2">
      <c r="C235" s="38" t="str">
        <f>"Объем: "&amp;Source!I191&amp;"=("&amp;Source!I187&amp;"*"&amp;"2,4+"&amp;""&amp;Source!I189&amp;"*"&amp;"2,2)*"&amp;"100"</f>
        <v>Объем: 9,3148=(0,02354*2,4+0,01666*2,2)*100</v>
      </c>
    </row>
    <row r="236" spans="1:35" ht="14.25" x14ac:dyDescent="0.2">
      <c r="A236" s="33"/>
      <c r="B236" s="33"/>
      <c r="C236" s="33" t="s">
        <v>749</v>
      </c>
      <c r="D236" s="35"/>
      <c r="E236" s="34"/>
      <c r="F236" s="37">
        <f>Source!AM191</f>
        <v>8.86</v>
      </c>
      <c r="G236" s="36" t="str">
        <f>Source!DE191</f>
        <v>*1,05</v>
      </c>
      <c r="H236" s="34">
        <f>Source!AV191</f>
        <v>1.0469999999999999</v>
      </c>
      <c r="I236" s="37">
        <f>(ROUND((ROUND((((Source!ET191*1.05))*Source!AV191*Source!I191),2)),2)+ROUND((ROUND(((Source!AE191-((Source!EU191*1.05)))*Source!AV191*Source!I191),2)),2))</f>
        <v>90.73</v>
      </c>
      <c r="J236" s="34">
        <f>IF(Source!BB191&lt;&gt; 0, Source!BB191, 1)</f>
        <v>13.53</v>
      </c>
      <c r="K236" s="37">
        <f>Source!Q191</f>
        <v>1227.58</v>
      </c>
    </row>
    <row r="237" spans="1:35" ht="14.25" x14ac:dyDescent="0.2">
      <c r="A237" s="33"/>
      <c r="B237" s="33"/>
      <c r="C237" s="33" t="s">
        <v>750</v>
      </c>
      <c r="D237" s="35"/>
      <c r="E237" s="34"/>
      <c r="F237" s="37">
        <f>Source!AN191</f>
        <v>1.48</v>
      </c>
      <c r="G237" s="36" t="str">
        <f>Source!DF191</f>
        <v>*1,05</v>
      </c>
      <c r="H237" s="34">
        <f>Source!AV191</f>
        <v>1.0469999999999999</v>
      </c>
      <c r="I237" s="46">
        <f>ROUND((ROUND((Source!AE191*Source!AV191*Source!I191),2)),2)</f>
        <v>15.16</v>
      </c>
      <c r="J237" s="34">
        <f>IF(Source!BS191&lt;&gt; 0, Source!BS191, 1)</f>
        <v>34.51</v>
      </c>
      <c r="K237" s="46">
        <f>Source!R191</f>
        <v>523.16999999999996</v>
      </c>
      <c r="W237">
        <f>I237</f>
        <v>15.16</v>
      </c>
    </row>
    <row r="238" spans="1:35" ht="14.25" x14ac:dyDescent="0.2">
      <c r="A238" s="40"/>
      <c r="B238" s="40"/>
      <c r="C238" s="40" t="s">
        <v>751</v>
      </c>
      <c r="D238" s="41" t="s">
        <v>743</v>
      </c>
      <c r="E238" s="42">
        <f>175</f>
        <v>175</v>
      </c>
      <c r="F238" s="43"/>
      <c r="G238" s="44"/>
      <c r="H238" s="42"/>
      <c r="I238" s="43">
        <f>SUM(U234:U237)</f>
        <v>26.53</v>
      </c>
      <c r="J238" s="42">
        <f>160</f>
        <v>160</v>
      </c>
      <c r="K238" s="43">
        <f>SUM(V234:V237)</f>
        <v>837.07</v>
      </c>
    </row>
    <row r="239" spans="1:35" ht="15" x14ac:dyDescent="0.25">
      <c r="C239" s="23" t="s">
        <v>747</v>
      </c>
      <c r="H239" s="45">
        <f>I236+I238+0</f>
        <v>117.26</v>
      </c>
      <c r="I239" s="45"/>
      <c r="J239" s="45">
        <f>K236+K238+0</f>
        <v>2064.65</v>
      </c>
      <c r="K239" s="45"/>
      <c r="O239" s="39">
        <f>I236+I238+0</f>
        <v>117.26</v>
      </c>
      <c r="P239" s="39">
        <f>K236+K238+0</f>
        <v>2064.65</v>
      </c>
      <c r="X239">
        <f>IF(Source!BI191&lt;=1,I236+I238-0, 0)</f>
        <v>117.26</v>
      </c>
      <c r="Y239">
        <f>IF(Source!BI191=2,I236+I238-0, 0)</f>
        <v>0</v>
      </c>
      <c r="Z239">
        <f>IF(Source!BI191=3,I236+I238-0, 0)</f>
        <v>0</v>
      </c>
      <c r="AA239">
        <f>IF(Source!BI191=4,I236+I238,0)</f>
        <v>0</v>
      </c>
    </row>
    <row r="241" spans="1:35" ht="99.75" x14ac:dyDescent="0.2">
      <c r="A241" s="33">
        <v>46</v>
      </c>
      <c r="B241" s="33" t="s">
        <v>769</v>
      </c>
      <c r="C241" s="33" t="s">
        <v>286</v>
      </c>
      <c r="D241" s="35" t="str">
        <f>Source!DW193</f>
        <v>100 м3 материала основания (в плотном теле)</v>
      </c>
      <c r="E241" s="34">
        <f>Source!I193</f>
        <v>3.4299999999999997E-2</v>
      </c>
      <c r="F241" s="37"/>
      <c r="G241" s="36"/>
      <c r="H241" s="34"/>
      <c r="I241" s="37"/>
      <c r="J241" s="34"/>
      <c r="K241" s="37"/>
      <c r="Q241">
        <f>ROUND((Source!DN193/100)*ROUND((ROUND((Source!AF193*Source!AV193*Source!I193),2)),2), 2)</f>
        <v>9.19</v>
      </c>
      <c r="R241">
        <f>Source!X193</f>
        <v>264.05</v>
      </c>
      <c r="S241">
        <f>ROUND((Source!DO193/100)*ROUND((ROUND((Source!AF193*Source!AV193*Source!I193),2)),2), 2)</f>
        <v>6.11</v>
      </c>
      <c r="T241">
        <f>Source!Y193</f>
        <v>108.38</v>
      </c>
      <c r="U241">
        <f>ROUND((175/100)*ROUND((ROUND((Source!AE193*Source!AV193*Source!I193),2)),2), 2)</f>
        <v>6.27</v>
      </c>
      <c r="V241">
        <f>ROUND((160/100)*ROUND(ROUND((ROUND((Source!AE193*Source!AV193*Source!I193),2)*Source!BS193),2), 2), 2)</f>
        <v>197.68</v>
      </c>
      <c r="AI241">
        <v>0</v>
      </c>
    </row>
    <row r="242" spans="1:35" x14ac:dyDescent="0.2">
      <c r="C242" s="38" t="str">
        <f>"Объем: "&amp;Source!I193&amp;"=9,8*"&amp;"0,35/"&amp;"100"</f>
        <v>Объем: 0,0343=9,8*0,35/100</v>
      </c>
    </row>
    <row r="243" spans="1:35" ht="14.25" x14ac:dyDescent="0.2">
      <c r="A243" s="33"/>
      <c r="B243" s="33"/>
      <c r="C243" s="33" t="s">
        <v>741</v>
      </c>
      <c r="D243" s="35"/>
      <c r="E243" s="34"/>
      <c r="F243" s="37">
        <f>Source!AO193</f>
        <v>151.49</v>
      </c>
      <c r="G243" s="36" t="str">
        <f>Source!DG193</f>
        <v>*1,05</v>
      </c>
      <c r="H243" s="34">
        <f>Source!AV193</f>
        <v>1.0469999999999999</v>
      </c>
      <c r="I243" s="37">
        <f>ROUND((ROUND((Source!AF193*Source!AV193*Source!I193),2)),2)</f>
        <v>5.71</v>
      </c>
      <c r="J243" s="34">
        <f>IF(Source!BA193&lt;&gt; 0, Source!BA193, 1)</f>
        <v>34.51</v>
      </c>
      <c r="K243" s="37">
        <f>Source!S193</f>
        <v>197.05</v>
      </c>
      <c r="W243">
        <f>I243</f>
        <v>5.71</v>
      </c>
    </row>
    <row r="244" spans="1:35" ht="14.25" x14ac:dyDescent="0.2">
      <c r="A244" s="33"/>
      <c r="B244" s="33"/>
      <c r="C244" s="33" t="s">
        <v>749</v>
      </c>
      <c r="D244" s="35"/>
      <c r="E244" s="34"/>
      <c r="F244" s="37">
        <f>Source!AM193</f>
        <v>1192.07</v>
      </c>
      <c r="G244" s="36" t="str">
        <f>Source!DE193</f>
        <v>*1,05</v>
      </c>
      <c r="H244" s="34">
        <f>Source!AV193</f>
        <v>1.0469999999999999</v>
      </c>
      <c r="I244" s="37">
        <f>(ROUND((ROUND((((Source!ET193*1.05))*Source!AV193*Source!I193),2)),2)+ROUND((ROUND(((Source!AE193-((Source!EU193*1.05)))*Source!AV193*Source!I193),2)),2))</f>
        <v>44.95</v>
      </c>
      <c r="J244" s="34">
        <f>IF(Source!BB193&lt;&gt; 0, Source!BB193, 1)</f>
        <v>11.7</v>
      </c>
      <c r="K244" s="37">
        <f>Source!Q193</f>
        <v>525.91999999999996</v>
      </c>
    </row>
    <row r="245" spans="1:35" ht="14.25" x14ac:dyDescent="0.2">
      <c r="A245" s="33"/>
      <c r="B245" s="33"/>
      <c r="C245" s="33" t="s">
        <v>750</v>
      </c>
      <c r="D245" s="35"/>
      <c r="E245" s="34"/>
      <c r="F245" s="37">
        <f>Source!AN193</f>
        <v>94.92</v>
      </c>
      <c r="G245" s="36" t="str">
        <f>Source!DF193</f>
        <v>*1,05</v>
      </c>
      <c r="H245" s="34">
        <f>Source!AV193</f>
        <v>1.0469999999999999</v>
      </c>
      <c r="I245" s="46">
        <f>ROUND((ROUND((Source!AE193*Source!AV193*Source!I193),2)),2)</f>
        <v>3.58</v>
      </c>
      <c r="J245" s="34">
        <f>IF(Source!BS193&lt;&gt; 0, Source!BS193, 1)</f>
        <v>34.51</v>
      </c>
      <c r="K245" s="46">
        <f>Source!R193</f>
        <v>123.55</v>
      </c>
      <c r="W245">
        <f>I245</f>
        <v>3.58</v>
      </c>
    </row>
    <row r="246" spans="1:35" ht="14.25" x14ac:dyDescent="0.2">
      <c r="A246" s="33"/>
      <c r="B246" s="33"/>
      <c r="C246" s="33" t="s">
        <v>763</v>
      </c>
      <c r="D246" s="35"/>
      <c r="E246" s="34"/>
      <c r="F246" s="37">
        <f>Source!AL193</f>
        <v>35.35</v>
      </c>
      <c r="G246" s="36" t="str">
        <f>Source!DD193</f>
        <v/>
      </c>
      <c r="H246" s="34">
        <f>Source!AW193</f>
        <v>1.002</v>
      </c>
      <c r="I246" s="37">
        <f>ROUND((ROUND((Source!AC193*Source!AW193*Source!I193),2)),2)</f>
        <v>1.21</v>
      </c>
      <c r="J246" s="34">
        <f>IF(Source!BC193&lt;&gt; 0, Source!BC193, 1)</f>
        <v>7.05</v>
      </c>
      <c r="K246" s="37">
        <f>Source!P193</f>
        <v>8.5299999999999994</v>
      </c>
    </row>
    <row r="247" spans="1:35" ht="28.5" x14ac:dyDescent="0.2">
      <c r="A247" s="33" t="s">
        <v>291</v>
      </c>
      <c r="B247" s="33" t="str">
        <f>Source!F195</f>
        <v>1.1-1-766</v>
      </c>
      <c r="C247" s="33" t="s">
        <v>292</v>
      </c>
      <c r="D247" s="35" t="str">
        <f>Source!DW195</f>
        <v>м3</v>
      </c>
      <c r="E247" s="34">
        <f>Source!I195</f>
        <v>3.7730000000000001</v>
      </c>
      <c r="F247" s="37">
        <f>Source!AK195</f>
        <v>104.99</v>
      </c>
      <c r="G247" s="52" t="s">
        <v>3</v>
      </c>
      <c r="H247" s="34">
        <f>Source!AW195</f>
        <v>1.002</v>
      </c>
      <c r="I247" s="37">
        <f>ROUND((ROUND((Source!AC195*Source!AW195*Source!I195),2)),2)+(ROUND((ROUND(((Source!ET195)*Source!AV195*Source!I195),2)),2)+ROUND((ROUND(((Source!AE195-(Source!EU195))*Source!AV195*Source!I195),2)),2))+ROUND((ROUND((Source!AF195*Source!AV195*Source!I195),2)),2)</f>
        <v>396.92</v>
      </c>
      <c r="J247" s="34">
        <f>IF(Source!BC195&lt;&gt; 0, Source!BC195, 1)</f>
        <v>7.69</v>
      </c>
      <c r="K247" s="37">
        <f>Source!O195</f>
        <v>3052.31</v>
      </c>
      <c r="Q247">
        <f>ROUND((Source!DN195/100)*ROUND((ROUND((Source!AF195*Source!AV195*Source!I195),2)),2), 2)</f>
        <v>0</v>
      </c>
      <c r="R247">
        <f>Source!X195</f>
        <v>0</v>
      </c>
      <c r="S247">
        <f>ROUND((Source!DO195/100)*ROUND((ROUND((Source!AF195*Source!AV195*Source!I195),2)),2), 2)</f>
        <v>0</v>
      </c>
      <c r="T247">
        <f>Source!Y195</f>
        <v>0</v>
      </c>
      <c r="U247">
        <f>ROUND((175/100)*ROUND((ROUND((Source!AE195*Source!AV195*Source!I195),2)),2), 2)</f>
        <v>0</v>
      </c>
      <c r="V247">
        <f>ROUND((160/100)*ROUND(ROUND((ROUND((Source!AE195*Source!AV195*Source!I195),2)*Source!BS195),2), 2), 2)</f>
        <v>0</v>
      </c>
      <c r="X247">
        <f>IF(Source!BI195&lt;=1,I247, 0)</f>
        <v>396.92</v>
      </c>
      <c r="Y247">
        <f>IF(Source!BI195=2,I247, 0)</f>
        <v>0</v>
      </c>
      <c r="Z247">
        <f>IF(Source!BI195=3,I247, 0)</f>
        <v>0</v>
      </c>
      <c r="AA247">
        <f>IF(Source!BI195=4,I247, 0)</f>
        <v>0</v>
      </c>
      <c r="AI247">
        <v>3</v>
      </c>
    </row>
    <row r="248" spans="1:35" ht="14.25" x14ac:dyDescent="0.2">
      <c r="A248" s="33"/>
      <c r="B248" s="33"/>
      <c r="C248" s="33" t="s">
        <v>742</v>
      </c>
      <c r="D248" s="35" t="s">
        <v>743</v>
      </c>
      <c r="E248" s="34">
        <f>Source!DN193</f>
        <v>161</v>
      </c>
      <c r="F248" s="37"/>
      <c r="G248" s="36"/>
      <c r="H248" s="34"/>
      <c r="I248" s="37">
        <f>SUM(Q241:Q247)</f>
        <v>9.19</v>
      </c>
      <c r="J248" s="34">
        <f>Source!BZ193</f>
        <v>134</v>
      </c>
      <c r="K248" s="37">
        <f>SUM(R241:R247)</f>
        <v>264.05</v>
      </c>
    </row>
    <row r="249" spans="1:35" ht="14.25" x14ac:dyDescent="0.2">
      <c r="A249" s="33"/>
      <c r="B249" s="33"/>
      <c r="C249" s="33" t="s">
        <v>744</v>
      </c>
      <c r="D249" s="35" t="s">
        <v>743</v>
      </c>
      <c r="E249" s="34">
        <f>Source!DO193</f>
        <v>107</v>
      </c>
      <c r="F249" s="37"/>
      <c r="G249" s="36"/>
      <c r="H249" s="34"/>
      <c r="I249" s="37">
        <f>SUM(S241:S248)</f>
        <v>6.11</v>
      </c>
      <c r="J249" s="34">
        <f>Source!CA193</f>
        <v>55</v>
      </c>
      <c r="K249" s="37">
        <f>SUM(T241:T248)</f>
        <v>108.38</v>
      </c>
    </row>
    <row r="250" spans="1:35" ht="14.25" x14ac:dyDescent="0.2">
      <c r="A250" s="33"/>
      <c r="B250" s="33"/>
      <c r="C250" s="33" t="s">
        <v>751</v>
      </c>
      <c r="D250" s="35" t="s">
        <v>743</v>
      </c>
      <c r="E250" s="34">
        <f>175</f>
        <v>175</v>
      </c>
      <c r="F250" s="37"/>
      <c r="G250" s="36"/>
      <c r="H250" s="34"/>
      <c r="I250" s="37">
        <f>SUM(U241:U249)</f>
        <v>6.27</v>
      </c>
      <c r="J250" s="34">
        <f>160</f>
        <v>160</v>
      </c>
      <c r="K250" s="37">
        <f>SUM(V241:V249)</f>
        <v>197.68</v>
      </c>
    </row>
    <row r="251" spans="1:35" ht="14.25" x14ac:dyDescent="0.2">
      <c r="A251" s="40"/>
      <c r="B251" s="40"/>
      <c r="C251" s="40" t="s">
        <v>745</v>
      </c>
      <c r="D251" s="41" t="s">
        <v>746</v>
      </c>
      <c r="E251" s="42">
        <f>Source!AQ193</f>
        <v>14.4</v>
      </c>
      <c r="F251" s="43"/>
      <c r="G251" s="44" t="str">
        <f>Source!DI193</f>
        <v>*1,05</v>
      </c>
      <c r="H251" s="42">
        <f>Source!AV193</f>
        <v>1.0469999999999999</v>
      </c>
      <c r="I251" s="43">
        <f>Source!U193</f>
        <v>0.54299095200000003</v>
      </c>
      <c r="J251" s="42"/>
      <c r="K251" s="43"/>
      <c r="AB251" s="39">
        <f>I251</f>
        <v>0.54299095200000003</v>
      </c>
    </row>
    <row r="252" spans="1:35" ht="15" x14ac:dyDescent="0.25">
      <c r="C252" s="23" t="s">
        <v>747</v>
      </c>
      <c r="H252" s="45">
        <f>I243+I244+I246+I248+I249+I250+SUM(I247:I247)</f>
        <v>470.36</v>
      </c>
      <c r="I252" s="45"/>
      <c r="J252" s="45">
        <f>K243+K244+K246+K248+K249+K250+SUM(K247:K247)</f>
        <v>4353.92</v>
      </c>
      <c r="K252" s="45"/>
      <c r="O252" s="39">
        <f>I243+I244+I246+I248+I249+I250+SUM(I247:I247)</f>
        <v>470.36</v>
      </c>
      <c r="P252" s="39">
        <f>K243+K244+K246+K248+K249+K250+SUM(K247:K247)</f>
        <v>4353.92</v>
      </c>
      <c r="X252">
        <f>IF(Source!BI193&lt;=1,I243+I244+I246+I248+I249+I250-0, 0)</f>
        <v>73.44</v>
      </c>
      <c r="Y252">
        <f>IF(Source!BI193=2,I243+I244+I246+I248+I249+I250-0, 0)</f>
        <v>0</v>
      </c>
      <c r="Z252">
        <f>IF(Source!BI193=3,I243+I244+I246+I248+I249+I250-0, 0)</f>
        <v>0</v>
      </c>
      <c r="AA252">
        <f>IF(Source!BI193=4,I243+I244+I246+I248+I249+I250,0)</f>
        <v>0</v>
      </c>
    </row>
    <row r="254" spans="1:35" ht="52.5" x14ac:dyDescent="0.2">
      <c r="A254" s="33">
        <v>47</v>
      </c>
      <c r="B254" s="33" t="s">
        <v>770</v>
      </c>
      <c r="C254" s="33" t="s">
        <v>295</v>
      </c>
      <c r="D254" s="35" t="str">
        <f>Source!DW197</f>
        <v>1000 м2 основания</v>
      </c>
      <c r="E254" s="34">
        <f>Source!I197</f>
        <v>9.7999999999999997E-3</v>
      </c>
      <c r="F254" s="37"/>
      <c r="G254" s="36"/>
      <c r="H254" s="34"/>
      <c r="I254" s="37"/>
      <c r="J254" s="34"/>
      <c r="K254" s="37"/>
      <c r="Q254">
        <f>ROUND((Source!DN197/100)*ROUND((ROUND((Source!AF197*Source!AV197*Source!I197),2)),2), 2)</f>
        <v>53.11</v>
      </c>
      <c r="R254">
        <f>Source!X197</f>
        <v>1525.56</v>
      </c>
      <c r="S254">
        <f>ROUND((Source!DO197/100)*ROUND((ROUND((Source!AF197*Source!AV197*Source!I197),2)),2), 2)</f>
        <v>35.299999999999997</v>
      </c>
      <c r="T254">
        <f>Source!Y197</f>
        <v>626.16</v>
      </c>
      <c r="U254">
        <f>ROUND((175/100)*ROUND((ROUND((Source!AE197*Source!AV197*Source!I197),2)),2), 2)</f>
        <v>3.08</v>
      </c>
      <c r="V254">
        <f>ROUND((160/100)*ROUND(ROUND((ROUND((Source!AE197*Source!AV197*Source!I197),2)*Source!BS197),2), 2), 2)</f>
        <v>97.18</v>
      </c>
      <c r="AI254">
        <v>0</v>
      </c>
    </row>
    <row r="255" spans="1:35" x14ac:dyDescent="0.2">
      <c r="C255" s="38" t="str">
        <f>"Объем: "&amp;Source!I197&amp;"=9,8/"&amp;"1000"</f>
        <v>Объем: 0,0098=9,8/1000</v>
      </c>
    </row>
    <row r="256" spans="1:35" ht="14.25" x14ac:dyDescent="0.2">
      <c r="A256" s="33"/>
      <c r="B256" s="33"/>
      <c r="C256" s="33" t="s">
        <v>741</v>
      </c>
      <c r="D256" s="35"/>
      <c r="E256" s="34"/>
      <c r="F256" s="37">
        <f>Source!AO197</f>
        <v>3062.49</v>
      </c>
      <c r="G256" s="36" t="str">
        <f>Source!DG197</f>
        <v>*1,05</v>
      </c>
      <c r="H256" s="34">
        <f>Source!AV197</f>
        <v>1.0469999999999999</v>
      </c>
      <c r="I256" s="37">
        <f>ROUND((ROUND((Source!AF197*Source!AV197*Source!I197),2)),2)</f>
        <v>32.99</v>
      </c>
      <c r="J256" s="34">
        <f>IF(Source!BA197&lt;&gt; 0, Source!BA197, 1)</f>
        <v>34.51</v>
      </c>
      <c r="K256" s="37">
        <f>Source!S197</f>
        <v>1138.48</v>
      </c>
      <c r="W256">
        <f>I256</f>
        <v>32.99</v>
      </c>
    </row>
    <row r="257" spans="1:35" ht="14.25" x14ac:dyDescent="0.2">
      <c r="A257" s="33"/>
      <c r="B257" s="33"/>
      <c r="C257" s="33" t="s">
        <v>749</v>
      </c>
      <c r="D257" s="35"/>
      <c r="E257" s="34"/>
      <c r="F257" s="37">
        <f>Source!AM197</f>
        <v>2006.03</v>
      </c>
      <c r="G257" s="36" t="str">
        <f>Source!DE197</f>
        <v>*1,05</v>
      </c>
      <c r="H257" s="34">
        <f>Source!AV197</f>
        <v>1.0469999999999999</v>
      </c>
      <c r="I257" s="37">
        <f>(ROUND((ROUND((((Source!ET197*1.05))*Source!AV197*Source!I197),2)),2)+ROUND((ROUND(((Source!AE197-((Source!EU197*1.05)))*Source!AV197*Source!I197),2)),2))</f>
        <v>21.61</v>
      </c>
      <c r="J257" s="34">
        <f>IF(Source!BB197&lt;&gt; 0, Source!BB197, 1)</f>
        <v>11.5</v>
      </c>
      <c r="K257" s="37">
        <f>Source!Q197</f>
        <v>248.52</v>
      </c>
    </row>
    <row r="258" spans="1:35" ht="14.25" x14ac:dyDescent="0.2">
      <c r="A258" s="33"/>
      <c r="B258" s="33"/>
      <c r="C258" s="33" t="s">
        <v>750</v>
      </c>
      <c r="D258" s="35"/>
      <c r="E258" s="34"/>
      <c r="F258" s="37">
        <f>Source!AN197</f>
        <v>163.47999999999999</v>
      </c>
      <c r="G258" s="36" t="str">
        <f>Source!DF197</f>
        <v>*1,05</v>
      </c>
      <c r="H258" s="34">
        <f>Source!AV197</f>
        <v>1.0469999999999999</v>
      </c>
      <c r="I258" s="46">
        <f>ROUND((ROUND((Source!AE197*Source!AV197*Source!I197),2)),2)</f>
        <v>1.76</v>
      </c>
      <c r="J258" s="34">
        <f>IF(Source!BS197&lt;&gt; 0, Source!BS197, 1)</f>
        <v>34.51</v>
      </c>
      <c r="K258" s="46">
        <f>Source!R197</f>
        <v>60.74</v>
      </c>
      <c r="W258">
        <f>I258</f>
        <v>1.76</v>
      </c>
    </row>
    <row r="259" spans="1:35" ht="14.25" x14ac:dyDescent="0.2">
      <c r="A259" s="33"/>
      <c r="B259" s="33"/>
      <c r="C259" s="33" t="s">
        <v>763</v>
      </c>
      <c r="D259" s="35"/>
      <c r="E259" s="34"/>
      <c r="F259" s="37">
        <f>Source!AL197</f>
        <v>6742.82</v>
      </c>
      <c r="G259" s="36" t="str">
        <f>Source!DD197</f>
        <v/>
      </c>
      <c r="H259" s="34">
        <f>Source!AW197</f>
        <v>1.002</v>
      </c>
      <c r="I259" s="37">
        <f>ROUND((ROUND((Source!AC197*Source!AW197*Source!I197),2)),2)</f>
        <v>66.209999999999994</v>
      </c>
      <c r="J259" s="34">
        <f>IF(Source!BC197&lt;&gt; 0, Source!BC197, 1)</f>
        <v>7.13</v>
      </c>
      <c r="K259" s="37">
        <f>Source!P197</f>
        <v>472.08</v>
      </c>
    </row>
    <row r="260" spans="1:35" ht="57" x14ac:dyDescent="0.2">
      <c r="A260" s="33" t="s">
        <v>300</v>
      </c>
      <c r="B260" s="33" t="str">
        <f>Source!F199</f>
        <v>1.3-1-36</v>
      </c>
      <c r="C260" s="33" t="s">
        <v>302</v>
      </c>
      <c r="D260" s="35" t="str">
        <f>Source!DW199</f>
        <v>м3</v>
      </c>
      <c r="E260" s="34">
        <f>Source!I199</f>
        <v>1.5875999999999999</v>
      </c>
      <c r="F260" s="37">
        <f>Source!AK199</f>
        <v>517.14</v>
      </c>
      <c r="G260" s="52" t="s">
        <v>3</v>
      </c>
      <c r="H260" s="34">
        <f>Source!AW199</f>
        <v>1.002</v>
      </c>
      <c r="I260" s="37">
        <f>ROUND((ROUND((Source!AC199*Source!AW199*Source!I199),2)),2)+(ROUND((ROUND(((Source!ET199)*Source!AV199*Source!I199),2)),2)+ROUND((ROUND(((Source!AE199-(Source!EU199))*Source!AV199*Source!I199),2)),2))+ROUND((ROUND((Source!AF199*Source!AV199*Source!I199),2)),2)</f>
        <v>822.65</v>
      </c>
      <c r="J260" s="34">
        <f>IF(Source!BC199&lt;&gt; 0, Source!BC199, 1)</f>
        <v>11.03</v>
      </c>
      <c r="K260" s="37">
        <f>Source!O199</f>
        <v>9073.83</v>
      </c>
      <c r="Q260">
        <f>ROUND((Source!DN199/100)*ROUND((ROUND((Source!AF199*Source!AV199*Source!I199),2)),2), 2)</f>
        <v>0</v>
      </c>
      <c r="R260">
        <f>Source!X199</f>
        <v>0</v>
      </c>
      <c r="S260">
        <f>ROUND((Source!DO199/100)*ROUND((ROUND((Source!AF199*Source!AV199*Source!I199),2)),2), 2)</f>
        <v>0</v>
      </c>
      <c r="T260">
        <f>Source!Y199</f>
        <v>0</v>
      </c>
      <c r="U260">
        <f>ROUND((175/100)*ROUND((ROUND((Source!AE199*Source!AV199*Source!I199),2)),2), 2)</f>
        <v>0</v>
      </c>
      <c r="V260">
        <f>ROUND((160/100)*ROUND(ROUND((ROUND((Source!AE199*Source!AV199*Source!I199),2)*Source!BS199),2), 2), 2)</f>
        <v>0</v>
      </c>
      <c r="X260">
        <f>IF(Source!BI199&lt;=1,I260, 0)</f>
        <v>822.65</v>
      </c>
      <c r="Y260">
        <f>IF(Source!BI199=2,I260, 0)</f>
        <v>0</v>
      </c>
      <c r="Z260">
        <f>IF(Source!BI199=3,I260, 0)</f>
        <v>0</v>
      </c>
      <c r="AA260">
        <f>IF(Source!BI199=4,I260, 0)</f>
        <v>0</v>
      </c>
      <c r="AI260">
        <v>3</v>
      </c>
    </row>
    <row r="261" spans="1:35" ht="14.25" x14ac:dyDescent="0.2">
      <c r="A261" s="33"/>
      <c r="B261" s="33"/>
      <c r="C261" s="33" t="s">
        <v>742</v>
      </c>
      <c r="D261" s="35" t="s">
        <v>743</v>
      </c>
      <c r="E261" s="34">
        <f>Source!DN197</f>
        <v>161</v>
      </c>
      <c r="F261" s="37"/>
      <c r="G261" s="36"/>
      <c r="H261" s="34"/>
      <c r="I261" s="37">
        <f>SUM(Q254:Q260)</f>
        <v>53.11</v>
      </c>
      <c r="J261" s="34">
        <f>Source!BZ197</f>
        <v>134</v>
      </c>
      <c r="K261" s="37">
        <f>SUM(R254:R260)</f>
        <v>1525.56</v>
      </c>
    </row>
    <row r="262" spans="1:35" ht="14.25" x14ac:dyDescent="0.2">
      <c r="A262" s="33"/>
      <c r="B262" s="33"/>
      <c r="C262" s="33" t="s">
        <v>744</v>
      </c>
      <c r="D262" s="35" t="s">
        <v>743</v>
      </c>
      <c r="E262" s="34">
        <f>Source!DO197</f>
        <v>107</v>
      </c>
      <c r="F262" s="37"/>
      <c r="G262" s="36"/>
      <c r="H262" s="34"/>
      <c r="I262" s="37">
        <f>SUM(S254:S261)</f>
        <v>35.299999999999997</v>
      </c>
      <c r="J262" s="34">
        <f>Source!CA197</f>
        <v>55</v>
      </c>
      <c r="K262" s="37">
        <f>SUM(T254:T261)</f>
        <v>626.16</v>
      </c>
    </row>
    <row r="263" spans="1:35" ht="14.25" x14ac:dyDescent="0.2">
      <c r="A263" s="33"/>
      <c r="B263" s="33"/>
      <c r="C263" s="33" t="s">
        <v>751</v>
      </c>
      <c r="D263" s="35" t="s">
        <v>743</v>
      </c>
      <c r="E263" s="34">
        <f>175</f>
        <v>175</v>
      </c>
      <c r="F263" s="37"/>
      <c r="G263" s="36"/>
      <c r="H263" s="34"/>
      <c r="I263" s="37">
        <f>SUM(U254:U262)</f>
        <v>3.08</v>
      </c>
      <c r="J263" s="34">
        <f>160</f>
        <v>160</v>
      </c>
      <c r="K263" s="37">
        <f>SUM(V254:V262)</f>
        <v>97.18</v>
      </c>
    </row>
    <row r="264" spans="1:35" ht="14.25" x14ac:dyDescent="0.2">
      <c r="A264" s="40"/>
      <c r="B264" s="40"/>
      <c r="C264" s="40" t="s">
        <v>745</v>
      </c>
      <c r="D264" s="41" t="s">
        <v>746</v>
      </c>
      <c r="E264" s="42">
        <f>Source!AQ197</f>
        <v>267</v>
      </c>
      <c r="F264" s="43"/>
      <c r="G264" s="44" t="str">
        <f>Source!DI197</f>
        <v>*1,05</v>
      </c>
      <c r="H264" s="42">
        <f>Source!AV197</f>
        <v>1.0469999999999999</v>
      </c>
      <c r="I264" s="43">
        <f>Source!U197</f>
        <v>2.8765592099999999</v>
      </c>
      <c r="J264" s="42"/>
      <c r="K264" s="43"/>
      <c r="AB264" s="39">
        <f>I264</f>
        <v>2.8765592099999999</v>
      </c>
    </row>
    <row r="265" spans="1:35" ht="15" x14ac:dyDescent="0.25">
      <c r="C265" s="23" t="s">
        <v>747</v>
      </c>
      <c r="H265" s="45">
        <f>I256+I257+I259+I261+I262+I263+SUM(I260:I260)</f>
        <v>1034.95</v>
      </c>
      <c r="I265" s="45"/>
      <c r="J265" s="45">
        <f>K256+K257+K259+K261+K262+K263+SUM(K260:K260)</f>
        <v>13181.81</v>
      </c>
      <c r="K265" s="45"/>
      <c r="O265" s="39">
        <f>I256+I257+I259+I261+I262+I263+SUM(I260:I260)</f>
        <v>1034.95</v>
      </c>
      <c r="P265" s="39">
        <f>K256+K257+K259+K261+K262+K263+SUM(K260:K260)</f>
        <v>13181.81</v>
      </c>
      <c r="X265">
        <f>IF(Source!BI197&lt;=1,I256+I257+I259+I261+I262+I263-0, 0)</f>
        <v>212.30000000000004</v>
      </c>
      <c r="Y265">
        <f>IF(Source!BI197=2,I256+I257+I259+I261+I262+I263-0, 0)</f>
        <v>0</v>
      </c>
      <c r="Z265">
        <f>IF(Source!BI197=3,I256+I257+I259+I261+I262+I263-0, 0)</f>
        <v>0</v>
      </c>
      <c r="AA265">
        <f>IF(Source!BI197=4,I256+I257+I259+I261+I262+I263,0)</f>
        <v>0</v>
      </c>
    </row>
    <row r="267" spans="1:35" ht="57" x14ac:dyDescent="0.2">
      <c r="A267" s="33">
        <v>48</v>
      </c>
      <c r="B267" s="33" t="s">
        <v>771</v>
      </c>
      <c r="C267" s="33" t="s">
        <v>306</v>
      </c>
      <c r="D267" s="35" t="str">
        <f>Source!DW201</f>
        <v>1000 м2 основания</v>
      </c>
      <c r="E267" s="34">
        <f>Source!I201</f>
        <v>9.7999999999999997E-3</v>
      </c>
      <c r="F267" s="37"/>
      <c r="G267" s="36"/>
      <c r="H267" s="34"/>
      <c r="I267" s="37"/>
      <c r="J267" s="34"/>
      <c r="K267" s="37"/>
      <c r="Q267">
        <f>ROUND((Source!DN201/100)*ROUND((ROUND((Source!AF201*Source!AV201*Source!I201),2)),2), 2)</f>
        <v>1.03</v>
      </c>
      <c r="R267">
        <f>Source!X201</f>
        <v>29.6</v>
      </c>
      <c r="S267">
        <f>ROUND((Source!DO201/100)*ROUND((ROUND((Source!AF201*Source!AV201*Source!I201),2)),2), 2)</f>
        <v>0.68</v>
      </c>
      <c r="T267">
        <f>Source!Y201</f>
        <v>12.15</v>
      </c>
      <c r="U267">
        <f>ROUND((175/100)*ROUND((ROUND((Source!AE201*Source!AV201*Source!I201),2)),2), 2)</f>
        <v>0</v>
      </c>
      <c r="V267">
        <f>ROUND((160/100)*ROUND(ROUND((ROUND((Source!AE201*Source!AV201*Source!I201),2)*Source!BS201),2), 2), 2)</f>
        <v>0</v>
      </c>
      <c r="AI267">
        <v>0</v>
      </c>
    </row>
    <row r="268" spans="1:35" x14ac:dyDescent="0.2">
      <c r="C268" s="38" t="str">
        <f>"Объем: "&amp;Source!I201&amp;"=9,8/"&amp;"1000"</f>
        <v>Объем: 0,0098=9,8/1000</v>
      </c>
    </row>
    <row r="269" spans="1:35" ht="14.25" x14ac:dyDescent="0.2">
      <c r="A269" s="33"/>
      <c r="B269" s="33"/>
      <c r="C269" s="33" t="s">
        <v>741</v>
      </c>
      <c r="D269" s="35"/>
      <c r="E269" s="34"/>
      <c r="F269" s="37">
        <f>Source!AO201</f>
        <v>59.3</v>
      </c>
      <c r="G269" s="36" t="str">
        <f>Source!DG201</f>
        <v>*1,05</v>
      </c>
      <c r="H269" s="34">
        <f>Source!AV201</f>
        <v>1.0469999999999999</v>
      </c>
      <c r="I269" s="37">
        <f>ROUND((ROUND((Source!AF201*Source!AV201*Source!I201),2)),2)</f>
        <v>0.64</v>
      </c>
      <c r="J269" s="34">
        <f>IF(Source!BA201&lt;&gt; 0, Source!BA201, 1)</f>
        <v>34.51</v>
      </c>
      <c r="K269" s="37">
        <f>Source!S201</f>
        <v>22.09</v>
      </c>
      <c r="W269">
        <f>I269</f>
        <v>0.64</v>
      </c>
    </row>
    <row r="270" spans="1:35" ht="14.25" x14ac:dyDescent="0.2">
      <c r="A270" s="33"/>
      <c r="B270" s="33"/>
      <c r="C270" s="33" t="s">
        <v>763</v>
      </c>
      <c r="D270" s="35"/>
      <c r="E270" s="34"/>
      <c r="F270" s="37">
        <f>Source!AL201</f>
        <v>58.6</v>
      </c>
      <c r="G270" s="36" t="str">
        <f>Source!DD201</f>
        <v/>
      </c>
      <c r="H270" s="34">
        <f>Source!AW201</f>
        <v>1.002</v>
      </c>
      <c r="I270" s="37">
        <f>ROUND((ROUND((Source!AC201*Source!AW201*Source!I201),2)),2)</f>
        <v>0.57999999999999996</v>
      </c>
      <c r="J270" s="34">
        <f>IF(Source!BC201&lt;&gt; 0, Source!BC201, 1)</f>
        <v>3.59</v>
      </c>
      <c r="K270" s="37">
        <f>Source!P201</f>
        <v>2.08</v>
      </c>
    </row>
    <row r="271" spans="1:35" ht="57" x14ac:dyDescent="0.2">
      <c r="A271" s="33" t="s">
        <v>308</v>
      </c>
      <c r="B271" s="33" t="str">
        <f>Source!F203</f>
        <v>1.3-1-36</v>
      </c>
      <c r="C271" s="33" t="s">
        <v>302</v>
      </c>
      <c r="D271" s="35" t="str">
        <f>Source!DW203</f>
        <v>м3</v>
      </c>
      <c r="E271" s="34">
        <f>Source!I203</f>
        <v>9.9959999999999993E-2</v>
      </c>
      <c r="F271" s="37">
        <f>Source!AK203</f>
        <v>517.14</v>
      </c>
      <c r="G271" s="52" t="s">
        <v>3</v>
      </c>
      <c r="H271" s="34">
        <f>Source!AW203</f>
        <v>1.002</v>
      </c>
      <c r="I271" s="37">
        <f>ROUND((ROUND((Source!AC203*Source!AW203*Source!I203),2)),2)+(ROUND((ROUND(((Source!ET203)*Source!AV203*Source!I203),2)),2)+ROUND((ROUND(((Source!AE203-(Source!EU203))*Source!AV203*Source!I203),2)),2))+ROUND((ROUND((Source!AF203*Source!AV203*Source!I203),2)),2)</f>
        <v>51.8</v>
      </c>
      <c r="J271" s="34">
        <f>IF(Source!BC203&lt;&gt; 0, Source!BC203, 1)</f>
        <v>11.03</v>
      </c>
      <c r="K271" s="37">
        <f>Source!O203</f>
        <v>571.35</v>
      </c>
      <c r="Q271">
        <f>ROUND((Source!DN203/100)*ROUND((ROUND((Source!AF203*Source!AV203*Source!I203),2)),2), 2)</f>
        <v>0</v>
      </c>
      <c r="R271">
        <f>Source!X203</f>
        <v>0</v>
      </c>
      <c r="S271">
        <f>ROUND((Source!DO203/100)*ROUND((ROUND((Source!AF203*Source!AV203*Source!I203),2)),2), 2)</f>
        <v>0</v>
      </c>
      <c r="T271">
        <f>Source!Y203</f>
        <v>0</v>
      </c>
      <c r="U271">
        <f>ROUND((175/100)*ROUND((ROUND((Source!AE203*Source!AV203*Source!I203),2)),2), 2)</f>
        <v>0</v>
      </c>
      <c r="V271">
        <f>ROUND((160/100)*ROUND(ROUND((ROUND((Source!AE203*Source!AV203*Source!I203),2)*Source!BS203),2), 2), 2)</f>
        <v>0</v>
      </c>
      <c r="X271">
        <f>IF(Source!BI203&lt;=1,I271, 0)</f>
        <v>51.8</v>
      </c>
      <c r="Y271">
        <f>IF(Source!BI203=2,I271, 0)</f>
        <v>0</v>
      </c>
      <c r="Z271">
        <f>IF(Source!BI203=3,I271, 0)</f>
        <v>0</v>
      </c>
      <c r="AA271">
        <f>IF(Source!BI203=4,I271, 0)</f>
        <v>0</v>
      </c>
      <c r="AI271">
        <v>3</v>
      </c>
    </row>
    <row r="272" spans="1:35" ht="14.25" x14ac:dyDescent="0.2">
      <c r="A272" s="33"/>
      <c r="B272" s="33"/>
      <c r="C272" s="33" t="s">
        <v>742</v>
      </c>
      <c r="D272" s="35" t="s">
        <v>743</v>
      </c>
      <c r="E272" s="34">
        <f>Source!DN201</f>
        <v>161</v>
      </c>
      <c r="F272" s="37"/>
      <c r="G272" s="36"/>
      <c r="H272" s="34"/>
      <c r="I272" s="37">
        <f>SUM(Q267:Q271)</f>
        <v>1.03</v>
      </c>
      <c r="J272" s="34">
        <f>Source!BZ201</f>
        <v>134</v>
      </c>
      <c r="K272" s="37">
        <f>SUM(R267:R271)</f>
        <v>29.6</v>
      </c>
    </row>
    <row r="273" spans="1:35" ht="14.25" x14ac:dyDescent="0.2">
      <c r="A273" s="33"/>
      <c r="B273" s="33"/>
      <c r="C273" s="33" t="s">
        <v>744</v>
      </c>
      <c r="D273" s="35" t="s">
        <v>743</v>
      </c>
      <c r="E273" s="34">
        <f>Source!DO201</f>
        <v>107</v>
      </c>
      <c r="F273" s="37"/>
      <c r="G273" s="36"/>
      <c r="H273" s="34"/>
      <c r="I273" s="37">
        <f>SUM(S267:S272)</f>
        <v>0.68</v>
      </c>
      <c r="J273" s="34">
        <f>Source!CA201</f>
        <v>55</v>
      </c>
      <c r="K273" s="37">
        <f>SUM(T267:T272)</f>
        <v>12.15</v>
      </c>
    </row>
    <row r="274" spans="1:35" ht="14.25" x14ac:dyDescent="0.2">
      <c r="A274" s="40"/>
      <c r="B274" s="40"/>
      <c r="C274" s="40" t="s">
        <v>745</v>
      </c>
      <c r="D274" s="41" t="s">
        <v>746</v>
      </c>
      <c r="E274" s="42">
        <f>Source!AQ201</f>
        <v>5.17</v>
      </c>
      <c r="F274" s="43"/>
      <c r="G274" s="44" t="str">
        <f>Source!DI201</f>
        <v>*1,05</v>
      </c>
      <c r="H274" s="42">
        <f>Source!AV201</f>
        <v>1.0469999999999999</v>
      </c>
      <c r="I274" s="43">
        <f>Source!U201</f>
        <v>5.5699667099999996E-2</v>
      </c>
      <c r="J274" s="42"/>
      <c r="K274" s="43"/>
      <c r="AB274" s="39">
        <f>I274</f>
        <v>5.5699667099999996E-2</v>
      </c>
    </row>
    <row r="275" spans="1:35" ht="15" x14ac:dyDescent="0.25">
      <c r="C275" s="23" t="s">
        <v>747</v>
      </c>
      <c r="H275" s="45">
        <f>I269+I270+I272+I273+SUM(I271:I271)</f>
        <v>54.73</v>
      </c>
      <c r="I275" s="45"/>
      <c r="J275" s="45">
        <f>K269+K270+K272+K273+SUM(K271:K271)</f>
        <v>637.27</v>
      </c>
      <c r="K275" s="45"/>
      <c r="O275" s="39">
        <f>I269+I270+I272+I273+SUM(I271:I271)</f>
        <v>54.73</v>
      </c>
      <c r="P275" s="39">
        <f>K269+K270+K272+K273+SUM(K271:K271)</f>
        <v>637.27</v>
      </c>
      <c r="X275">
        <f>IF(Source!BI201&lt;=1,I269+I270+I272+I273-0, 0)</f>
        <v>2.93</v>
      </c>
      <c r="Y275">
        <f>IF(Source!BI201=2,I269+I270+I272+I273-0, 0)</f>
        <v>0</v>
      </c>
      <c r="Z275">
        <f>IF(Source!BI201=3,I269+I270+I272+I273-0, 0)</f>
        <v>0</v>
      </c>
      <c r="AA275">
        <f>IF(Source!BI201=4,I269+I270+I272+I273,0)</f>
        <v>0</v>
      </c>
    </row>
    <row r="277" spans="1:35" ht="52.5" x14ac:dyDescent="0.2">
      <c r="A277" s="33">
        <v>49</v>
      </c>
      <c r="B277" s="33" t="s">
        <v>772</v>
      </c>
      <c r="C277" s="33" t="s">
        <v>311</v>
      </c>
      <c r="D277" s="35" t="str">
        <f>Source!DW205</f>
        <v>100 м2 покрытия</v>
      </c>
      <c r="E277" s="34">
        <f>Source!I205</f>
        <v>9.8000000000000004E-2</v>
      </c>
      <c r="F277" s="37"/>
      <c r="G277" s="36"/>
      <c r="H277" s="34"/>
      <c r="I277" s="37"/>
      <c r="J277" s="34"/>
      <c r="K277" s="37"/>
      <c r="Q277">
        <f>ROUND((Source!DN205/100)*ROUND((ROUND((Source!AF205*Source!AV205*Source!I205),2)),2), 2)</f>
        <v>9.0500000000000007</v>
      </c>
      <c r="R277">
        <f>Source!X205</f>
        <v>259.89</v>
      </c>
      <c r="S277">
        <f>ROUND((Source!DO205/100)*ROUND((ROUND((Source!AF205*Source!AV205*Source!I205),2)),2), 2)</f>
        <v>6.01</v>
      </c>
      <c r="T277">
        <f>Source!Y205</f>
        <v>106.67</v>
      </c>
      <c r="U277">
        <f>ROUND((175/100)*ROUND((ROUND((Source!AE205*Source!AV205*Source!I205),2)),2), 2)</f>
        <v>8.7899999999999991</v>
      </c>
      <c r="V277">
        <f>ROUND((160/100)*ROUND(ROUND((ROUND((Source!AE205*Source!AV205*Source!I205),2)*Source!BS205),2), 2), 2)</f>
        <v>277.18</v>
      </c>
      <c r="AI277">
        <v>0</v>
      </c>
    </row>
    <row r="278" spans="1:35" x14ac:dyDescent="0.2">
      <c r="C278" s="38" t="str">
        <f>"Объем: "&amp;Source!I205&amp;"=9,8/"&amp;"100"</f>
        <v>Объем: 0,098=9,8/100</v>
      </c>
    </row>
    <row r="279" spans="1:35" ht="14.25" x14ac:dyDescent="0.2">
      <c r="A279" s="33"/>
      <c r="B279" s="33"/>
      <c r="C279" s="33" t="s">
        <v>741</v>
      </c>
      <c r="D279" s="35"/>
      <c r="E279" s="34"/>
      <c r="F279" s="37">
        <f>Source!AO205</f>
        <v>52.17</v>
      </c>
      <c r="G279" s="36" t="str">
        <f>Source!DG205</f>
        <v>*1,05</v>
      </c>
      <c r="H279" s="34">
        <f>Source!AV205</f>
        <v>1.0469999999999999</v>
      </c>
      <c r="I279" s="37">
        <f>ROUND((ROUND((Source!AF205*Source!AV205*Source!I205),2)),2)</f>
        <v>5.62</v>
      </c>
      <c r="J279" s="34">
        <f>IF(Source!BA205&lt;&gt; 0, Source!BA205, 1)</f>
        <v>34.51</v>
      </c>
      <c r="K279" s="37">
        <f>Source!S205</f>
        <v>193.95</v>
      </c>
      <c r="W279">
        <f>I279</f>
        <v>5.62</v>
      </c>
    </row>
    <row r="280" spans="1:35" ht="14.25" x14ac:dyDescent="0.2">
      <c r="A280" s="33"/>
      <c r="B280" s="33"/>
      <c r="C280" s="33" t="s">
        <v>749</v>
      </c>
      <c r="D280" s="35"/>
      <c r="E280" s="34"/>
      <c r="F280" s="37">
        <f>Source!AM205</f>
        <v>532.35</v>
      </c>
      <c r="G280" s="36" t="str">
        <f>Source!DE205</f>
        <v>*1,05</v>
      </c>
      <c r="H280" s="34">
        <f>Source!AV205</f>
        <v>1.0469999999999999</v>
      </c>
      <c r="I280" s="37">
        <f>(ROUND((ROUND((((Source!ET205*1.05))*Source!AV205*Source!I205),2)),2)+ROUND((ROUND(((Source!AE205-((Source!EU205*1.05)))*Source!AV205*Source!I205),2)),2))</f>
        <v>57.35</v>
      </c>
      <c r="J280" s="34">
        <f>IF(Source!BB205&lt;&gt; 0, Source!BB205, 1)</f>
        <v>11.94</v>
      </c>
      <c r="K280" s="37">
        <f>Source!Q205</f>
        <v>684.76</v>
      </c>
    </row>
    <row r="281" spans="1:35" ht="14.25" x14ac:dyDescent="0.2">
      <c r="A281" s="33"/>
      <c r="B281" s="33"/>
      <c r="C281" s="33" t="s">
        <v>750</v>
      </c>
      <c r="D281" s="35"/>
      <c r="E281" s="34"/>
      <c r="F281" s="37">
        <f>Source!AN205</f>
        <v>46.58</v>
      </c>
      <c r="G281" s="36" t="str">
        <f>Source!DF205</f>
        <v>*1,05</v>
      </c>
      <c r="H281" s="34">
        <f>Source!AV205</f>
        <v>1.0469999999999999</v>
      </c>
      <c r="I281" s="46">
        <f>ROUND((ROUND((Source!AE205*Source!AV205*Source!I205),2)),2)</f>
        <v>5.0199999999999996</v>
      </c>
      <c r="J281" s="34">
        <f>IF(Source!BS205&lt;&gt; 0, Source!BS205, 1)</f>
        <v>34.51</v>
      </c>
      <c r="K281" s="46">
        <f>Source!R205</f>
        <v>173.24</v>
      </c>
      <c r="W281">
        <f>I281</f>
        <v>5.0199999999999996</v>
      </c>
    </row>
    <row r="282" spans="1:35" ht="14.25" x14ac:dyDescent="0.2">
      <c r="A282" s="33"/>
      <c r="B282" s="33"/>
      <c r="C282" s="33" t="s">
        <v>763</v>
      </c>
      <c r="D282" s="35"/>
      <c r="E282" s="34"/>
      <c r="F282" s="37">
        <f>Source!AL205</f>
        <v>57.83</v>
      </c>
      <c r="G282" s="36" t="str">
        <f>Source!DD205</f>
        <v/>
      </c>
      <c r="H282" s="34">
        <f>Source!AW205</f>
        <v>1</v>
      </c>
      <c r="I282" s="37">
        <f>ROUND((ROUND((Source!AC205*Source!AW205*Source!I205),2)),2)</f>
        <v>5.67</v>
      </c>
      <c r="J282" s="34">
        <f>IF(Source!BC205&lt;&gt; 0, Source!BC205, 1)</f>
        <v>16.47</v>
      </c>
      <c r="K282" s="37">
        <f>Source!P205</f>
        <v>93.38</v>
      </c>
    </row>
    <row r="283" spans="1:35" ht="28.5" x14ac:dyDescent="0.2">
      <c r="A283" s="33" t="s">
        <v>315</v>
      </c>
      <c r="B283" s="33" t="str">
        <f>Source!F207</f>
        <v>1.3-3-3</v>
      </c>
      <c r="C283" s="33" t="s">
        <v>317</v>
      </c>
      <c r="D283" s="35" t="str">
        <f>Source!DW207</f>
        <v>т</v>
      </c>
      <c r="E283" s="34">
        <f>Source!I207</f>
        <v>0.93884000000000001</v>
      </c>
      <c r="F283" s="37">
        <f>Source!AK207</f>
        <v>296.7</v>
      </c>
      <c r="G283" s="52" t="s">
        <v>3</v>
      </c>
      <c r="H283" s="34">
        <f>Source!AW207</f>
        <v>1</v>
      </c>
      <c r="I283" s="37">
        <f>ROUND((ROUND((Source!AC207*Source!AW207*Source!I207),2)),2)+(ROUND((ROUND(((Source!ET207)*Source!AV207*Source!I207),2)),2)+ROUND((ROUND(((Source!AE207-(Source!EU207))*Source!AV207*Source!I207),2)),2))+ROUND((ROUND((Source!AF207*Source!AV207*Source!I207),2)),2)</f>
        <v>278.55</v>
      </c>
      <c r="J283" s="34">
        <f>IF(Source!BC207&lt;&gt; 0, Source!BC207, 1)</f>
        <v>15.39</v>
      </c>
      <c r="K283" s="37">
        <f>Source!O207</f>
        <v>4286.88</v>
      </c>
      <c r="Q283">
        <f>ROUND((Source!DN207/100)*ROUND((ROUND((Source!AF207*Source!AV207*Source!I207),2)),2), 2)</f>
        <v>0</v>
      </c>
      <c r="R283">
        <f>Source!X207</f>
        <v>0</v>
      </c>
      <c r="S283">
        <f>ROUND((Source!DO207/100)*ROUND((ROUND((Source!AF207*Source!AV207*Source!I207),2)),2), 2)</f>
        <v>0</v>
      </c>
      <c r="T283">
        <f>Source!Y207</f>
        <v>0</v>
      </c>
      <c r="U283">
        <f>ROUND((175/100)*ROUND((ROUND((Source!AE207*Source!AV207*Source!I207),2)),2), 2)</f>
        <v>0</v>
      </c>
      <c r="V283">
        <f>ROUND((160/100)*ROUND(ROUND((ROUND((Source!AE207*Source!AV207*Source!I207),2)*Source!BS207),2), 2), 2)</f>
        <v>0</v>
      </c>
      <c r="X283">
        <f>IF(Source!BI207&lt;=1,I283, 0)</f>
        <v>278.55</v>
      </c>
      <c r="Y283">
        <f>IF(Source!BI207=2,I283, 0)</f>
        <v>0</v>
      </c>
      <c r="Z283">
        <f>IF(Source!BI207=3,I283, 0)</f>
        <v>0</v>
      </c>
      <c r="AA283">
        <f>IF(Source!BI207=4,I283, 0)</f>
        <v>0</v>
      </c>
      <c r="AI283">
        <v>3</v>
      </c>
    </row>
    <row r="284" spans="1:35" ht="14.25" x14ac:dyDescent="0.2">
      <c r="A284" s="33"/>
      <c r="B284" s="33"/>
      <c r="C284" s="33" t="s">
        <v>742</v>
      </c>
      <c r="D284" s="35" t="s">
        <v>743</v>
      </c>
      <c r="E284" s="34">
        <f>Source!DN205</f>
        <v>161</v>
      </c>
      <c r="F284" s="37"/>
      <c r="G284" s="36"/>
      <c r="H284" s="34"/>
      <c r="I284" s="37">
        <f>SUM(Q277:Q283)</f>
        <v>9.0500000000000007</v>
      </c>
      <c r="J284" s="34">
        <f>Source!BZ205</f>
        <v>134</v>
      </c>
      <c r="K284" s="37">
        <f>SUM(R277:R283)</f>
        <v>259.89</v>
      </c>
    </row>
    <row r="285" spans="1:35" ht="14.25" x14ac:dyDescent="0.2">
      <c r="A285" s="33"/>
      <c r="B285" s="33"/>
      <c r="C285" s="33" t="s">
        <v>744</v>
      </c>
      <c r="D285" s="35" t="s">
        <v>743</v>
      </c>
      <c r="E285" s="34">
        <f>Source!DO205</f>
        <v>107</v>
      </c>
      <c r="F285" s="37"/>
      <c r="G285" s="36"/>
      <c r="H285" s="34"/>
      <c r="I285" s="37">
        <f>SUM(S277:S284)</f>
        <v>6.01</v>
      </c>
      <c r="J285" s="34">
        <f>Source!CA205</f>
        <v>55</v>
      </c>
      <c r="K285" s="37">
        <f>SUM(T277:T284)</f>
        <v>106.67</v>
      </c>
    </row>
    <row r="286" spans="1:35" ht="14.25" x14ac:dyDescent="0.2">
      <c r="A286" s="33"/>
      <c r="B286" s="33"/>
      <c r="C286" s="33" t="s">
        <v>751</v>
      </c>
      <c r="D286" s="35" t="s">
        <v>743</v>
      </c>
      <c r="E286" s="34">
        <f>175</f>
        <v>175</v>
      </c>
      <c r="F286" s="37"/>
      <c r="G286" s="36"/>
      <c r="H286" s="34"/>
      <c r="I286" s="37">
        <f>SUM(U277:U285)</f>
        <v>8.7899999999999991</v>
      </c>
      <c r="J286" s="34">
        <f>160</f>
        <v>160</v>
      </c>
      <c r="K286" s="37">
        <f>SUM(V277:V285)</f>
        <v>277.18</v>
      </c>
    </row>
    <row r="287" spans="1:35" ht="14.25" x14ac:dyDescent="0.2">
      <c r="A287" s="40"/>
      <c r="B287" s="40"/>
      <c r="C287" s="40" t="s">
        <v>745</v>
      </c>
      <c r="D287" s="41" t="s">
        <v>746</v>
      </c>
      <c r="E287" s="42">
        <f>Source!AQ205</f>
        <v>4.29</v>
      </c>
      <c r="F287" s="43"/>
      <c r="G287" s="44" t="str">
        <f>Source!DI205</f>
        <v>*1,05</v>
      </c>
      <c r="H287" s="42">
        <f>Source!AV205</f>
        <v>1.0469999999999999</v>
      </c>
      <c r="I287" s="43">
        <f>Source!U205</f>
        <v>0.46218872700000002</v>
      </c>
      <c r="J287" s="42"/>
      <c r="K287" s="43"/>
      <c r="AB287" s="39">
        <f>I287</f>
        <v>0.46218872700000002</v>
      </c>
    </row>
    <row r="288" spans="1:35" ht="15" x14ac:dyDescent="0.25">
      <c r="C288" s="23" t="s">
        <v>747</v>
      </c>
      <c r="H288" s="45">
        <f>I279+I280+I282+I284+I285+I286+SUM(I283:I283)</f>
        <v>371.04</v>
      </c>
      <c r="I288" s="45"/>
      <c r="J288" s="45">
        <f>K279+K280+K282+K284+K285+K286+SUM(K283:K283)</f>
        <v>5902.71</v>
      </c>
      <c r="K288" s="45"/>
      <c r="O288" s="39">
        <f>I279+I280+I282+I284+I285+I286+SUM(I283:I283)</f>
        <v>371.04</v>
      </c>
      <c r="P288" s="39">
        <f>K279+K280+K282+K284+K285+K286+SUM(K283:K283)</f>
        <v>5902.71</v>
      </c>
      <c r="X288">
        <f>IF(Source!BI205&lt;=1,I279+I280+I282+I284+I285+I286-0, 0)</f>
        <v>92.490000000000009</v>
      </c>
      <c r="Y288">
        <f>IF(Source!BI205=2,I279+I280+I282+I284+I285+I286-0, 0)</f>
        <v>0</v>
      </c>
      <c r="Z288">
        <f>IF(Source!BI205=3,I279+I280+I282+I284+I285+I286-0, 0)</f>
        <v>0</v>
      </c>
      <c r="AA288">
        <f>IF(Source!BI205=4,I279+I280+I282+I284+I285+I286,0)</f>
        <v>0</v>
      </c>
    </row>
    <row r="290" spans="1:35" ht="52.5" x14ac:dyDescent="0.2">
      <c r="A290" s="33">
        <v>50</v>
      </c>
      <c r="B290" s="33" t="s">
        <v>772</v>
      </c>
      <c r="C290" s="33" t="s">
        <v>311</v>
      </c>
      <c r="D290" s="35" t="str">
        <f>Source!DW209</f>
        <v>100 м2 покрытия</v>
      </c>
      <c r="E290" s="34">
        <f>Source!I209</f>
        <v>9.8000000000000004E-2</v>
      </c>
      <c r="F290" s="37"/>
      <c r="G290" s="36"/>
      <c r="H290" s="34"/>
      <c r="I290" s="37"/>
      <c r="J290" s="34"/>
      <c r="K290" s="37"/>
      <c r="Q290">
        <f>ROUND((Source!DN209/100)*ROUND((ROUND((Source!AF209*Source!AV209*Source!I209),2)),2), 2)</f>
        <v>9.0500000000000007</v>
      </c>
      <c r="R290">
        <f>Source!X209</f>
        <v>259.89</v>
      </c>
      <c r="S290">
        <f>ROUND((Source!DO209/100)*ROUND((ROUND((Source!AF209*Source!AV209*Source!I209),2)),2), 2)</f>
        <v>6.01</v>
      </c>
      <c r="T290">
        <f>Source!Y209</f>
        <v>106.67</v>
      </c>
      <c r="U290">
        <f>ROUND((175/100)*ROUND((ROUND((Source!AE209*Source!AV209*Source!I209),2)),2), 2)</f>
        <v>8.7899999999999991</v>
      </c>
      <c r="V290">
        <f>ROUND((160/100)*ROUND(ROUND((ROUND((Source!AE209*Source!AV209*Source!I209),2)*Source!BS209),2), 2), 2)</f>
        <v>277.18</v>
      </c>
      <c r="AI290">
        <v>0</v>
      </c>
    </row>
    <row r="291" spans="1:35" x14ac:dyDescent="0.2">
      <c r="C291" s="38" t="str">
        <f>"Объем: "&amp;Source!I209&amp;"=9,8/"&amp;"100"</f>
        <v>Объем: 0,098=9,8/100</v>
      </c>
    </row>
    <row r="292" spans="1:35" ht="14.25" x14ac:dyDescent="0.2">
      <c r="A292" s="33"/>
      <c r="B292" s="33"/>
      <c r="C292" s="33" t="s">
        <v>741</v>
      </c>
      <c r="D292" s="35"/>
      <c r="E292" s="34"/>
      <c r="F292" s="37">
        <f>Source!AO209</f>
        <v>52.17</v>
      </c>
      <c r="G292" s="36" t="str">
        <f>Source!DG209</f>
        <v>*1,05</v>
      </c>
      <c r="H292" s="34">
        <f>Source!AV209</f>
        <v>1.0469999999999999</v>
      </c>
      <c r="I292" s="37">
        <f>ROUND((ROUND((Source!AF209*Source!AV209*Source!I209),2)),2)</f>
        <v>5.62</v>
      </c>
      <c r="J292" s="34">
        <f>IF(Source!BA209&lt;&gt; 0, Source!BA209, 1)</f>
        <v>34.51</v>
      </c>
      <c r="K292" s="37">
        <f>Source!S209</f>
        <v>193.95</v>
      </c>
      <c r="W292">
        <f>I292</f>
        <v>5.62</v>
      </c>
    </row>
    <row r="293" spans="1:35" ht="14.25" x14ac:dyDescent="0.2">
      <c r="A293" s="33"/>
      <c r="B293" s="33"/>
      <c r="C293" s="33" t="s">
        <v>749</v>
      </c>
      <c r="D293" s="35"/>
      <c r="E293" s="34"/>
      <c r="F293" s="37">
        <f>Source!AM209</f>
        <v>532.35</v>
      </c>
      <c r="G293" s="36" t="str">
        <f>Source!DE209</f>
        <v>*1,05</v>
      </c>
      <c r="H293" s="34">
        <f>Source!AV209</f>
        <v>1.0469999999999999</v>
      </c>
      <c r="I293" s="37">
        <f>(ROUND((ROUND((((Source!ET209*1.05))*Source!AV209*Source!I209),2)),2)+ROUND((ROUND(((Source!AE209-((Source!EU209*1.05)))*Source!AV209*Source!I209),2)),2))</f>
        <v>57.35</v>
      </c>
      <c r="J293" s="34">
        <f>IF(Source!BB209&lt;&gt; 0, Source!BB209, 1)</f>
        <v>11.94</v>
      </c>
      <c r="K293" s="37">
        <f>Source!Q209</f>
        <v>684.76</v>
      </c>
    </row>
    <row r="294" spans="1:35" ht="14.25" x14ac:dyDescent="0.2">
      <c r="A294" s="33"/>
      <c r="B294" s="33"/>
      <c r="C294" s="33" t="s">
        <v>750</v>
      </c>
      <c r="D294" s="35"/>
      <c r="E294" s="34"/>
      <c r="F294" s="37">
        <f>Source!AN209</f>
        <v>46.58</v>
      </c>
      <c r="G294" s="36" t="str">
        <f>Source!DF209</f>
        <v>*1,05</v>
      </c>
      <c r="H294" s="34">
        <f>Source!AV209</f>
        <v>1.0469999999999999</v>
      </c>
      <c r="I294" s="46">
        <f>ROUND((ROUND((Source!AE209*Source!AV209*Source!I209),2)),2)</f>
        <v>5.0199999999999996</v>
      </c>
      <c r="J294" s="34">
        <f>IF(Source!BS209&lt;&gt; 0, Source!BS209, 1)</f>
        <v>34.51</v>
      </c>
      <c r="K294" s="46">
        <f>Source!R209</f>
        <v>173.24</v>
      </c>
      <c r="W294">
        <f>I294</f>
        <v>5.0199999999999996</v>
      </c>
    </row>
    <row r="295" spans="1:35" ht="14.25" x14ac:dyDescent="0.2">
      <c r="A295" s="33"/>
      <c r="B295" s="33"/>
      <c r="C295" s="33" t="s">
        <v>763</v>
      </c>
      <c r="D295" s="35"/>
      <c r="E295" s="34"/>
      <c r="F295" s="37">
        <f>Source!AL209</f>
        <v>57.83</v>
      </c>
      <c r="G295" s="36" t="str">
        <f>Source!DD209</f>
        <v/>
      </c>
      <c r="H295" s="34">
        <f>Source!AW209</f>
        <v>1</v>
      </c>
      <c r="I295" s="37">
        <f>ROUND((ROUND((Source!AC209*Source!AW209*Source!I209),2)),2)</f>
        <v>5.67</v>
      </c>
      <c r="J295" s="34">
        <f>IF(Source!BC209&lt;&gt; 0, Source!BC209, 1)</f>
        <v>16.47</v>
      </c>
      <c r="K295" s="37">
        <f>Source!P209</f>
        <v>93.38</v>
      </c>
    </row>
    <row r="296" spans="1:35" ht="28.5" x14ac:dyDescent="0.2">
      <c r="A296" s="33" t="s">
        <v>321</v>
      </c>
      <c r="B296" s="33" t="str">
        <f>Source!F211</f>
        <v>1.3-3-3</v>
      </c>
      <c r="C296" s="33" t="s">
        <v>317</v>
      </c>
      <c r="D296" s="35" t="str">
        <f>Source!DW211</f>
        <v>т</v>
      </c>
      <c r="E296" s="34">
        <f>Source!I211</f>
        <v>0.93884000000000001</v>
      </c>
      <c r="F296" s="37">
        <f>Source!AK211</f>
        <v>296.7</v>
      </c>
      <c r="G296" s="52" t="s">
        <v>3</v>
      </c>
      <c r="H296" s="34">
        <f>Source!AW211</f>
        <v>1</v>
      </c>
      <c r="I296" s="37">
        <f>ROUND((ROUND((Source!AC211*Source!AW211*Source!I211),2)),2)+(ROUND((ROUND(((Source!ET211)*Source!AV211*Source!I211),2)),2)+ROUND((ROUND(((Source!AE211-(Source!EU211))*Source!AV211*Source!I211),2)),2))+ROUND((ROUND((Source!AF211*Source!AV211*Source!I211),2)),2)</f>
        <v>278.55</v>
      </c>
      <c r="J296" s="34">
        <f>IF(Source!BC211&lt;&gt; 0, Source!BC211, 1)</f>
        <v>15.39</v>
      </c>
      <c r="K296" s="37">
        <f>Source!O211</f>
        <v>4286.88</v>
      </c>
      <c r="Q296">
        <f>ROUND((Source!DN211/100)*ROUND((ROUND((Source!AF211*Source!AV211*Source!I211),2)),2), 2)</f>
        <v>0</v>
      </c>
      <c r="R296">
        <f>Source!X211</f>
        <v>0</v>
      </c>
      <c r="S296">
        <f>ROUND((Source!DO211/100)*ROUND((ROUND((Source!AF211*Source!AV211*Source!I211),2)),2), 2)</f>
        <v>0</v>
      </c>
      <c r="T296">
        <f>Source!Y211</f>
        <v>0</v>
      </c>
      <c r="U296">
        <f>ROUND((175/100)*ROUND((ROUND((Source!AE211*Source!AV211*Source!I211),2)),2), 2)</f>
        <v>0</v>
      </c>
      <c r="V296">
        <f>ROUND((160/100)*ROUND(ROUND((ROUND((Source!AE211*Source!AV211*Source!I211),2)*Source!BS211),2), 2), 2)</f>
        <v>0</v>
      </c>
      <c r="X296">
        <f>IF(Source!BI211&lt;=1,I296, 0)</f>
        <v>278.55</v>
      </c>
      <c r="Y296">
        <f>IF(Source!BI211=2,I296, 0)</f>
        <v>0</v>
      </c>
      <c r="Z296">
        <f>IF(Source!BI211=3,I296, 0)</f>
        <v>0</v>
      </c>
      <c r="AA296">
        <f>IF(Source!BI211=4,I296, 0)</f>
        <v>0</v>
      </c>
      <c r="AI296">
        <v>3</v>
      </c>
    </row>
    <row r="297" spans="1:35" ht="14.25" x14ac:dyDescent="0.2">
      <c r="A297" s="33"/>
      <c r="B297" s="33"/>
      <c r="C297" s="33" t="s">
        <v>742</v>
      </c>
      <c r="D297" s="35" t="s">
        <v>743</v>
      </c>
      <c r="E297" s="34">
        <f>Source!DN209</f>
        <v>161</v>
      </c>
      <c r="F297" s="37"/>
      <c r="G297" s="36"/>
      <c r="H297" s="34"/>
      <c r="I297" s="37">
        <f>SUM(Q290:Q296)</f>
        <v>9.0500000000000007</v>
      </c>
      <c r="J297" s="34">
        <f>Source!BZ209</f>
        <v>134</v>
      </c>
      <c r="K297" s="37">
        <f>SUM(R290:R296)</f>
        <v>259.89</v>
      </c>
    </row>
    <row r="298" spans="1:35" ht="14.25" x14ac:dyDescent="0.2">
      <c r="A298" s="33"/>
      <c r="B298" s="33"/>
      <c r="C298" s="33" t="s">
        <v>744</v>
      </c>
      <c r="D298" s="35" t="s">
        <v>743</v>
      </c>
      <c r="E298" s="34">
        <f>Source!DO209</f>
        <v>107</v>
      </c>
      <c r="F298" s="37"/>
      <c r="G298" s="36"/>
      <c r="H298" s="34"/>
      <c r="I298" s="37">
        <f>SUM(S290:S297)</f>
        <v>6.01</v>
      </c>
      <c r="J298" s="34">
        <f>Source!CA209</f>
        <v>55</v>
      </c>
      <c r="K298" s="37">
        <f>SUM(T290:T297)</f>
        <v>106.67</v>
      </c>
    </row>
    <row r="299" spans="1:35" ht="14.25" x14ac:dyDescent="0.2">
      <c r="A299" s="33"/>
      <c r="B299" s="33"/>
      <c r="C299" s="33" t="s">
        <v>751</v>
      </c>
      <c r="D299" s="35" t="s">
        <v>743</v>
      </c>
      <c r="E299" s="34">
        <f>175</f>
        <v>175</v>
      </c>
      <c r="F299" s="37"/>
      <c r="G299" s="36"/>
      <c r="H299" s="34"/>
      <c r="I299" s="37">
        <f>SUM(U290:U298)</f>
        <v>8.7899999999999991</v>
      </c>
      <c r="J299" s="34">
        <f>160</f>
        <v>160</v>
      </c>
      <c r="K299" s="37">
        <f>SUM(V290:V298)</f>
        <v>277.18</v>
      </c>
    </row>
    <row r="300" spans="1:35" ht="14.25" x14ac:dyDescent="0.2">
      <c r="A300" s="40"/>
      <c r="B300" s="40"/>
      <c r="C300" s="40" t="s">
        <v>745</v>
      </c>
      <c r="D300" s="41" t="s">
        <v>746</v>
      </c>
      <c r="E300" s="42">
        <f>Source!AQ209</f>
        <v>4.29</v>
      </c>
      <c r="F300" s="43"/>
      <c r="G300" s="44" t="str">
        <f>Source!DI209</f>
        <v>*1,05</v>
      </c>
      <c r="H300" s="42">
        <f>Source!AV209</f>
        <v>1.0469999999999999</v>
      </c>
      <c r="I300" s="43">
        <f>Source!U209</f>
        <v>0.46218872700000002</v>
      </c>
      <c r="J300" s="42"/>
      <c r="K300" s="43"/>
      <c r="AB300" s="39">
        <f>I300</f>
        <v>0.46218872700000002</v>
      </c>
    </row>
    <row r="301" spans="1:35" ht="15" x14ac:dyDescent="0.25">
      <c r="C301" s="23" t="s">
        <v>747</v>
      </c>
      <c r="H301" s="45">
        <f>I292+I293+I295+I297+I298+I299+SUM(I296:I296)</f>
        <v>371.04</v>
      </c>
      <c r="I301" s="45"/>
      <c r="J301" s="45">
        <f>K292+K293+K295+K297+K298+K299+SUM(K296:K296)</f>
        <v>5902.71</v>
      </c>
      <c r="K301" s="45"/>
      <c r="O301" s="39">
        <f>I292+I293+I295+I297+I298+I299+SUM(I296:I296)</f>
        <v>371.04</v>
      </c>
      <c r="P301" s="39">
        <f>K292+K293+K295+K297+K298+K299+SUM(K296:K296)</f>
        <v>5902.71</v>
      </c>
      <c r="X301">
        <f>IF(Source!BI209&lt;=1,I292+I293+I295+I297+I298+I299-0, 0)</f>
        <v>92.490000000000009</v>
      </c>
      <c r="Y301">
        <f>IF(Source!BI209=2,I292+I293+I295+I297+I298+I299-0, 0)</f>
        <v>0</v>
      </c>
      <c r="Z301">
        <f>IF(Source!BI209=3,I292+I293+I295+I297+I298+I299-0, 0)</f>
        <v>0</v>
      </c>
      <c r="AA301">
        <f>IF(Source!BI209=4,I292+I293+I295+I297+I298+I299,0)</f>
        <v>0</v>
      </c>
    </row>
    <row r="303" spans="1:35" ht="52.5" x14ac:dyDescent="0.2">
      <c r="A303" s="33">
        <v>51</v>
      </c>
      <c r="B303" s="33" t="s">
        <v>773</v>
      </c>
      <c r="C303" s="33" t="s">
        <v>324</v>
      </c>
      <c r="D303" s="35" t="str">
        <f>Source!DW213</f>
        <v>100 м2 покрытия</v>
      </c>
      <c r="E303" s="34">
        <f>Source!I213</f>
        <v>9.8000000000000004E-2</v>
      </c>
      <c r="F303" s="37"/>
      <c r="G303" s="36"/>
      <c r="H303" s="34"/>
      <c r="I303" s="37"/>
      <c r="J303" s="34"/>
      <c r="K303" s="37"/>
      <c r="Q303">
        <f>ROUND((Source!DN213/100)*ROUND((ROUND((Source!AF213*Source!AV213*Source!I213),2)),2), 2)</f>
        <v>6.01</v>
      </c>
      <c r="R303">
        <f>Source!X213</f>
        <v>172.48</v>
      </c>
      <c r="S303">
        <f>ROUND((Source!DO213/100)*ROUND((ROUND((Source!AF213*Source!AV213*Source!I213),2)),2), 2)</f>
        <v>3.99</v>
      </c>
      <c r="T303">
        <f>Source!Y213</f>
        <v>70.8</v>
      </c>
      <c r="U303">
        <f>ROUND((175/100)*ROUND((ROUND((Source!AE213*Source!AV213*Source!I213),2)),2), 2)</f>
        <v>2.0499999999999998</v>
      </c>
      <c r="V303">
        <f>ROUND((160/100)*ROUND(ROUND((ROUND((Source!AE213*Source!AV213*Source!I213),2)*Source!BS213),2), 2), 2)</f>
        <v>64.61</v>
      </c>
      <c r="AI303">
        <v>0</v>
      </c>
    </row>
    <row r="304" spans="1:35" x14ac:dyDescent="0.2">
      <c r="C304" s="38" t="str">
        <f>"Объем: "&amp;Source!I213&amp;"=9,8/"&amp;"100"</f>
        <v>Объем: 0,098=9,8/100</v>
      </c>
    </row>
    <row r="305" spans="1:35" ht="14.25" x14ac:dyDescent="0.2">
      <c r="A305" s="33"/>
      <c r="B305" s="33"/>
      <c r="C305" s="33" t="s">
        <v>741</v>
      </c>
      <c r="D305" s="35"/>
      <c r="E305" s="34"/>
      <c r="F305" s="37">
        <f>Source!AO213</f>
        <v>6.93</v>
      </c>
      <c r="G305" s="36" t="str">
        <f>Source!DG213</f>
        <v>*1,05*5</v>
      </c>
      <c r="H305" s="34">
        <f>Source!AV213</f>
        <v>1.0469999999999999</v>
      </c>
      <c r="I305" s="37">
        <f>ROUND((ROUND((Source!AF213*Source!AV213*Source!I213),2)),2)</f>
        <v>3.73</v>
      </c>
      <c r="J305" s="34">
        <f>IF(Source!BA213&lt;&gt; 0, Source!BA213, 1)</f>
        <v>34.51</v>
      </c>
      <c r="K305" s="37">
        <f>Source!S213</f>
        <v>128.72</v>
      </c>
      <c r="W305">
        <f>I305</f>
        <v>3.73</v>
      </c>
    </row>
    <row r="306" spans="1:35" ht="14.25" x14ac:dyDescent="0.2">
      <c r="A306" s="33"/>
      <c r="B306" s="33"/>
      <c r="C306" s="33" t="s">
        <v>749</v>
      </c>
      <c r="D306" s="35"/>
      <c r="E306" s="34"/>
      <c r="F306" s="37">
        <f>Source!AM213</f>
        <v>32.840000000000003</v>
      </c>
      <c r="G306" s="36" t="str">
        <f>Source!DE213</f>
        <v>*1,05*5</v>
      </c>
      <c r="H306" s="34">
        <f>Source!AV213</f>
        <v>1.0469999999999999</v>
      </c>
      <c r="I306" s="37">
        <f>(ROUND((ROUND((((Source!ET213*1.05*5))*Source!AV213*Source!I213),2)),2)+ROUND((ROUND(((Source!AE213-((Source!EU213*1.05*5)))*Source!AV213*Source!I213),2)),2))</f>
        <v>17.690000000000001</v>
      </c>
      <c r="J306" s="34">
        <f>IF(Source!BB213&lt;&gt; 0, Source!BB213, 1)</f>
        <v>11.78</v>
      </c>
      <c r="K306" s="37">
        <f>Source!Q213</f>
        <v>208.39</v>
      </c>
    </row>
    <row r="307" spans="1:35" ht="14.25" x14ac:dyDescent="0.2">
      <c r="A307" s="33"/>
      <c r="B307" s="33"/>
      <c r="C307" s="33" t="s">
        <v>750</v>
      </c>
      <c r="D307" s="35"/>
      <c r="E307" s="34"/>
      <c r="F307" s="37">
        <f>Source!AN213</f>
        <v>2.1800000000000002</v>
      </c>
      <c r="G307" s="36" t="str">
        <f>Source!DF213</f>
        <v>*1,05*5</v>
      </c>
      <c r="H307" s="34">
        <f>Source!AV213</f>
        <v>1.0469999999999999</v>
      </c>
      <c r="I307" s="46">
        <f>ROUND((ROUND((Source!AE213*Source!AV213*Source!I213),2)),2)</f>
        <v>1.17</v>
      </c>
      <c r="J307" s="34">
        <f>IF(Source!BS213&lt;&gt; 0, Source!BS213, 1)</f>
        <v>34.51</v>
      </c>
      <c r="K307" s="46">
        <f>Source!R213</f>
        <v>40.380000000000003</v>
      </c>
      <c r="W307">
        <f>I307</f>
        <v>1.17</v>
      </c>
    </row>
    <row r="308" spans="1:35" ht="52.5" x14ac:dyDescent="0.2">
      <c r="A308" s="33" t="s">
        <v>327</v>
      </c>
      <c r="B308" s="33" t="s">
        <v>774</v>
      </c>
      <c r="C308" s="33" t="s">
        <v>317</v>
      </c>
      <c r="D308" s="35" t="str">
        <f>Source!DW215</f>
        <v>т</v>
      </c>
      <c r="E308" s="34">
        <f>Source!I215</f>
        <v>1.1759999999999999</v>
      </c>
      <c r="F308" s="37">
        <f>Source!AK215</f>
        <v>296.7</v>
      </c>
      <c r="G308" s="52" t="s">
        <v>775</v>
      </c>
      <c r="H308" s="34">
        <f>Source!AW215</f>
        <v>1</v>
      </c>
      <c r="I308" s="37">
        <f>ROUND((ROUND((Source!AC215*Source!AW215*Source!I215),2)),2)+(ROUND((ROUND(((Source!ET215)*Source!AV215*Source!I215),2)),2)+ROUND((ROUND(((Source!AE215-(Source!EU215))*Source!AV215*Source!I215),2)),2))+ROUND((ROUND((Source!AF215*Source!AV215*Source!I215),2)),2)</f>
        <v>348.92</v>
      </c>
      <c r="J308" s="34">
        <f>IF(Source!BC215&lt;&gt; 0, Source!BC215, 1)</f>
        <v>15.39</v>
      </c>
      <c r="K308" s="37">
        <f>Source!O215</f>
        <v>5369.88</v>
      </c>
      <c r="Q308">
        <f>ROUND((Source!DN215/100)*ROUND((ROUND((Source!AF215*Source!AV215*Source!I215),2)),2), 2)</f>
        <v>0</v>
      </c>
      <c r="R308">
        <f>Source!X215</f>
        <v>0</v>
      </c>
      <c r="S308">
        <f>ROUND((Source!DO215/100)*ROUND((ROUND((Source!AF215*Source!AV215*Source!I215),2)),2), 2)</f>
        <v>0</v>
      </c>
      <c r="T308">
        <f>Source!Y215</f>
        <v>0</v>
      </c>
      <c r="U308">
        <f>ROUND((175/100)*ROUND((ROUND((Source!AE215*Source!AV215*Source!I215),2)),2), 2)</f>
        <v>0</v>
      </c>
      <c r="V308">
        <f>ROUND((160/100)*ROUND(ROUND((ROUND((Source!AE215*Source!AV215*Source!I215),2)*Source!BS215),2), 2), 2)</f>
        <v>0</v>
      </c>
      <c r="X308">
        <f>IF(Source!BI215&lt;=1,I308, 0)</f>
        <v>348.92</v>
      </c>
      <c r="Y308">
        <f>IF(Source!BI215=2,I308, 0)</f>
        <v>0</v>
      </c>
      <c r="Z308">
        <f>IF(Source!BI215=3,I308, 0)</f>
        <v>0</v>
      </c>
      <c r="AA308">
        <f>IF(Source!BI215=4,I308, 0)</f>
        <v>0</v>
      </c>
      <c r="AI308">
        <v>3</v>
      </c>
    </row>
    <row r="309" spans="1:35" ht="14.25" x14ac:dyDescent="0.2">
      <c r="A309" s="33"/>
      <c r="B309" s="33"/>
      <c r="C309" s="33" t="s">
        <v>742</v>
      </c>
      <c r="D309" s="35" t="s">
        <v>743</v>
      </c>
      <c r="E309" s="34">
        <f>Source!DN213</f>
        <v>161</v>
      </c>
      <c r="F309" s="37"/>
      <c r="G309" s="36"/>
      <c r="H309" s="34"/>
      <c r="I309" s="37">
        <f>SUM(Q303:Q308)</f>
        <v>6.01</v>
      </c>
      <c r="J309" s="34">
        <f>Source!BZ213</f>
        <v>134</v>
      </c>
      <c r="K309" s="37">
        <f>SUM(R303:R308)</f>
        <v>172.48</v>
      </c>
    </row>
    <row r="310" spans="1:35" ht="14.25" x14ac:dyDescent="0.2">
      <c r="A310" s="33"/>
      <c r="B310" s="33"/>
      <c r="C310" s="33" t="s">
        <v>744</v>
      </c>
      <c r="D310" s="35" t="s">
        <v>743</v>
      </c>
      <c r="E310" s="34">
        <f>Source!DO213</f>
        <v>107</v>
      </c>
      <c r="F310" s="37"/>
      <c r="G310" s="36"/>
      <c r="H310" s="34"/>
      <c r="I310" s="37">
        <f>SUM(S303:S309)</f>
        <v>3.99</v>
      </c>
      <c r="J310" s="34">
        <f>Source!CA213</f>
        <v>55</v>
      </c>
      <c r="K310" s="37">
        <f>SUM(T303:T309)</f>
        <v>70.8</v>
      </c>
    </row>
    <row r="311" spans="1:35" ht="14.25" x14ac:dyDescent="0.2">
      <c r="A311" s="33"/>
      <c r="B311" s="33"/>
      <c r="C311" s="33" t="s">
        <v>751</v>
      </c>
      <c r="D311" s="35" t="s">
        <v>743</v>
      </c>
      <c r="E311" s="34">
        <f>175</f>
        <v>175</v>
      </c>
      <c r="F311" s="37"/>
      <c r="G311" s="36"/>
      <c r="H311" s="34"/>
      <c r="I311" s="37">
        <f>SUM(U303:U310)</f>
        <v>2.0499999999999998</v>
      </c>
      <c r="J311" s="34">
        <f>160</f>
        <v>160</v>
      </c>
      <c r="K311" s="37">
        <f>SUM(V303:V310)</f>
        <v>64.61</v>
      </c>
    </row>
    <row r="312" spans="1:35" ht="14.25" x14ac:dyDescent="0.2">
      <c r="A312" s="40"/>
      <c r="B312" s="40"/>
      <c r="C312" s="40" t="s">
        <v>745</v>
      </c>
      <c r="D312" s="41" t="s">
        <v>746</v>
      </c>
      <c r="E312" s="42">
        <f>Source!AQ213</f>
        <v>0.53</v>
      </c>
      <c r="F312" s="43"/>
      <c r="G312" s="44" t="str">
        <f>Source!DI213</f>
        <v>*1,05*5</v>
      </c>
      <c r="H312" s="42">
        <f>Source!AV213</f>
        <v>1.0469999999999999</v>
      </c>
      <c r="I312" s="43">
        <f>Source!U213</f>
        <v>0.28550119500000004</v>
      </c>
      <c r="J312" s="42"/>
      <c r="K312" s="43"/>
      <c r="AB312" s="39">
        <f>I312</f>
        <v>0.28550119500000004</v>
      </c>
    </row>
    <row r="313" spans="1:35" ht="15" x14ac:dyDescent="0.25">
      <c r="C313" s="23" t="s">
        <v>747</v>
      </c>
      <c r="H313" s="45">
        <f>I305+I306+I309+I310+I311+SUM(I308:I308)</f>
        <v>382.39</v>
      </c>
      <c r="I313" s="45"/>
      <c r="J313" s="45">
        <f>K305+K306+K309+K310+K311+SUM(K308:K308)</f>
        <v>6014.88</v>
      </c>
      <c r="K313" s="45"/>
      <c r="O313" s="39">
        <f>I305+I306+I309+I310+I311+SUM(I308:I308)</f>
        <v>382.39</v>
      </c>
      <c r="P313" s="39">
        <f>K305+K306+K309+K310+K311+SUM(K308:K308)</f>
        <v>6014.88</v>
      </c>
      <c r="X313">
        <f>IF(Source!BI213&lt;=1,I305+I306+I309+I310+I311-0, 0)</f>
        <v>33.47</v>
      </c>
      <c r="Y313">
        <f>IF(Source!BI213=2,I305+I306+I309+I310+I311-0, 0)</f>
        <v>0</v>
      </c>
      <c r="Z313">
        <f>IF(Source!BI213=3,I305+I306+I309+I310+I311-0, 0)</f>
        <v>0</v>
      </c>
      <c r="AA313">
        <f>IF(Source!BI213=4,I305+I306+I309+I310+I311,0)</f>
        <v>0</v>
      </c>
    </row>
    <row r="315" spans="1:35" ht="52.5" x14ac:dyDescent="0.2">
      <c r="A315" s="33">
        <v>52</v>
      </c>
      <c r="B315" s="33" t="s">
        <v>772</v>
      </c>
      <c r="C315" s="33" t="s">
        <v>311</v>
      </c>
      <c r="D315" s="35" t="str">
        <f>Source!DW217</f>
        <v>100 м2 покрытия</v>
      </c>
      <c r="E315" s="34">
        <f>Source!I217</f>
        <v>0.27</v>
      </c>
      <c r="F315" s="37"/>
      <c r="G315" s="36"/>
      <c r="H315" s="34"/>
      <c r="I315" s="37"/>
      <c r="J315" s="34"/>
      <c r="K315" s="37"/>
      <c r="Q315">
        <f>ROUND((Source!DN217/100)*ROUND((ROUND((Source!AF217*Source!AV217*Source!I217),2)),2), 2)</f>
        <v>24.94</v>
      </c>
      <c r="R315">
        <f>Source!X217</f>
        <v>716.31</v>
      </c>
      <c r="S315">
        <f>ROUND((Source!DO217/100)*ROUND((ROUND((Source!AF217*Source!AV217*Source!I217),2)),2), 2)</f>
        <v>16.57</v>
      </c>
      <c r="T315">
        <f>Source!Y217</f>
        <v>294.01</v>
      </c>
      <c r="U315">
        <f>ROUND((175/100)*ROUND((ROUND((Source!AE217*Source!AV217*Source!I217),2)),2), 2)</f>
        <v>24.2</v>
      </c>
      <c r="V315">
        <f>ROUND((160/100)*ROUND(ROUND((ROUND((Source!AE217*Source!AV217*Source!I217),2)*Source!BS217),2), 2), 2)</f>
        <v>763.63</v>
      </c>
      <c r="AI315">
        <v>0</v>
      </c>
    </row>
    <row r="316" spans="1:35" x14ac:dyDescent="0.2">
      <c r="C316" s="38" t="str">
        <f>"Объем: "&amp;Source!I217&amp;"=27/"&amp;"100"</f>
        <v>Объем: 0,27=27/100</v>
      </c>
    </row>
    <row r="317" spans="1:35" ht="14.25" x14ac:dyDescent="0.2">
      <c r="A317" s="33"/>
      <c r="B317" s="33"/>
      <c r="C317" s="33" t="s">
        <v>741</v>
      </c>
      <c r="D317" s="35"/>
      <c r="E317" s="34"/>
      <c r="F317" s="37">
        <f>Source!AO217</f>
        <v>52.17</v>
      </c>
      <c r="G317" s="36" t="str">
        <f>Source!DG217</f>
        <v>*1,05</v>
      </c>
      <c r="H317" s="34">
        <f>Source!AV217</f>
        <v>1.0469999999999999</v>
      </c>
      <c r="I317" s="37">
        <f>ROUND((ROUND((Source!AF217*Source!AV217*Source!I217),2)),2)</f>
        <v>15.49</v>
      </c>
      <c r="J317" s="34">
        <f>IF(Source!BA217&lt;&gt; 0, Source!BA217, 1)</f>
        <v>34.51</v>
      </c>
      <c r="K317" s="37">
        <f>Source!S217</f>
        <v>534.55999999999995</v>
      </c>
      <c r="W317">
        <f>I317</f>
        <v>15.49</v>
      </c>
    </row>
    <row r="318" spans="1:35" ht="14.25" x14ac:dyDescent="0.2">
      <c r="A318" s="33"/>
      <c r="B318" s="33"/>
      <c r="C318" s="33" t="s">
        <v>749</v>
      </c>
      <c r="D318" s="35"/>
      <c r="E318" s="34"/>
      <c r="F318" s="37">
        <f>Source!AM217</f>
        <v>532.35</v>
      </c>
      <c r="G318" s="36" t="str">
        <f>Source!DE217</f>
        <v>*1,05</v>
      </c>
      <c r="H318" s="34">
        <f>Source!AV217</f>
        <v>1.0469999999999999</v>
      </c>
      <c r="I318" s="37">
        <f>(ROUND((ROUND((((Source!ET217*1.05))*Source!AV217*Source!I217),2)),2)+ROUND((ROUND(((Source!AE217-((Source!EU217*1.05)))*Source!AV217*Source!I217),2)),2))</f>
        <v>158.01</v>
      </c>
      <c r="J318" s="34">
        <f>IF(Source!BB217&lt;&gt; 0, Source!BB217, 1)</f>
        <v>11.94</v>
      </c>
      <c r="K318" s="37">
        <f>Source!Q217</f>
        <v>1886.64</v>
      </c>
    </row>
    <row r="319" spans="1:35" ht="14.25" x14ac:dyDescent="0.2">
      <c r="A319" s="33"/>
      <c r="B319" s="33"/>
      <c r="C319" s="33" t="s">
        <v>750</v>
      </c>
      <c r="D319" s="35"/>
      <c r="E319" s="34"/>
      <c r="F319" s="37">
        <f>Source!AN217</f>
        <v>46.58</v>
      </c>
      <c r="G319" s="36" t="str">
        <f>Source!DF217</f>
        <v>*1,05</v>
      </c>
      <c r="H319" s="34">
        <f>Source!AV217</f>
        <v>1.0469999999999999</v>
      </c>
      <c r="I319" s="46">
        <f>ROUND((ROUND((Source!AE217*Source!AV217*Source!I217),2)),2)</f>
        <v>13.83</v>
      </c>
      <c r="J319" s="34">
        <f>IF(Source!BS217&lt;&gt; 0, Source!BS217, 1)</f>
        <v>34.51</v>
      </c>
      <c r="K319" s="46">
        <f>Source!R217</f>
        <v>477.27</v>
      </c>
      <c r="W319">
        <f>I319</f>
        <v>13.83</v>
      </c>
    </row>
    <row r="320" spans="1:35" ht="14.25" x14ac:dyDescent="0.2">
      <c r="A320" s="33"/>
      <c r="B320" s="33"/>
      <c r="C320" s="33" t="s">
        <v>763</v>
      </c>
      <c r="D320" s="35"/>
      <c r="E320" s="34"/>
      <c r="F320" s="37">
        <f>Source!AL217</f>
        <v>57.83</v>
      </c>
      <c r="G320" s="36" t="str">
        <f>Source!DD217</f>
        <v/>
      </c>
      <c r="H320" s="34">
        <f>Source!AW217</f>
        <v>1</v>
      </c>
      <c r="I320" s="37">
        <f>ROUND((ROUND((Source!AC217*Source!AW217*Source!I217),2)),2)</f>
        <v>15.61</v>
      </c>
      <c r="J320" s="34">
        <f>IF(Source!BC217&lt;&gt; 0, Source!BC217, 1)</f>
        <v>16.47</v>
      </c>
      <c r="K320" s="37">
        <f>Source!P217</f>
        <v>257.10000000000002</v>
      </c>
    </row>
    <row r="321" spans="1:35" ht="28.5" x14ac:dyDescent="0.2">
      <c r="A321" s="33" t="s">
        <v>330</v>
      </c>
      <c r="B321" s="33" t="str">
        <f>Source!F219</f>
        <v>1.3-3-7</v>
      </c>
      <c r="C321" s="33" t="s">
        <v>332</v>
      </c>
      <c r="D321" s="35" t="str">
        <f>Source!DW219</f>
        <v>т</v>
      </c>
      <c r="E321" s="34">
        <f>Source!I219</f>
        <v>2.6082000000000001</v>
      </c>
      <c r="F321" s="37">
        <f>Source!AK219</f>
        <v>307.58999999999997</v>
      </c>
      <c r="G321" s="52" t="s">
        <v>3</v>
      </c>
      <c r="H321" s="34">
        <f>Source!AW219</f>
        <v>1</v>
      </c>
      <c r="I321" s="37">
        <f>ROUND((ROUND((Source!AC219*Source!AW219*Source!I219),2)),2)+(ROUND((ROUND(((Source!ET219)*Source!AV219*Source!I219),2)),2)+ROUND((ROUND(((Source!AE219-(Source!EU219))*Source!AV219*Source!I219),2)),2))+ROUND((ROUND((Source!AF219*Source!AV219*Source!I219),2)),2)</f>
        <v>802.26</v>
      </c>
      <c r="J321" s="34">
        <f>IF(Source!BC219&lt;&gt; 0, Source!BC219, 1)</f>
        <v>15.32</v>
      </c>
      <c r="K321" s="37">
        <f>Source!O219</f>
        <v>12290.62</v>
      </c>
      <c r="Q321">
        <f>ROUND((Source!DN219/100)*ROUND((ROUND((Source!AF219*Source!AV219*Source!I219),2)),2), 2)</f>
        <v>0</v>
      </c>
      <c r="R321">
        <f>Source!X219</f>
        <v>0</v>
      </c>
      <c r="S321">
        <f>ROUND((Source!DO219/100)*ROUND((ROUND((Source!AF219*Source!AV219*Source!I219),2)),2), 2)</f>
        <v>0</v>
      </c>
      <c r="T321">
        <f>Source!Y219</f>
        <v>0</v>
      </c>
      <c r="U321">
        <f>ROUND((175/100)*ROUND((ROUND((Source!AE219*Source!AV219*Source!I219),2)),2), 2)</f>
        <v>0</v>
      </c>
      <c r="V321">
        <f>ROUND((160/100)*ROUND(ROUND((ROUND((Source!AE219*Source!AV219*Source!I219),2)*Source!BS219),2), 2), 2)</f>
        <v>0</v>
      </c>
      <c r="X321">
        <f>IF(Source!BI219&lt;=1,I321, 0)</f>
        <v>802.26</v>
      </c>
      <c r="Y321">
        <f>IF(Source!BI219=2,I321, 0)</f>
        <v>0</v>
      </c>
      <c r="Z321">
        <f>IF(Source!BI219=3,I321, 0)</f>
        <v>0</v>
      </c>
      <c r="AA321">
        <f>IF(Source!BI219=4,I321, 0)</f>
        <v>0</v>
      </c>
      <c r="AI321">
        <v>3</v>
      </c>
    </row>
    <row r="322" spans="1:35" ht="14.25" x14ac:dyDescent="0.2">
      <c r="A322" s="33"/>
      <c r="B322" s="33"/>
      <c r="C322" s="33" t="s">
        <v>742</v>
      </c>
      <c r="D322" s="35" t="s">
        <v>743</v>
      </c>
      <c r="E322" s="34">
        <f>Source!DN217</f>
        <v>161</v>
      </c>
      <c r="F322" s="37"/>
      <c r="G322" s="36"/>
      <c r="H322" s="34"/>
      <c r="I322" s="37">
        <f>SUM(Q315:Q321)</f>
        <v>24.94</v>
      </c>
      <c r="J322" s="34">
        <f>Source!BZ217</f>
        <v>134</v>
      </c>
      <c r="K322" s="37">
        <f>SUM(R315:R321)</f>
        <v>716.31</v>
      </c>
    </row>
    <row r="323" spans="1:35" ht="14.25" x14ac:dyDescent="0.2">
      <c r="A323" s="33"/>
      <c r="B323" s="33"/>
      <c r="C323" s="33" t="s">
        <v>744</v>
      </c>
      <c r="D323" s="35" t="s">
        <v>743</v>
      </c>
      <c r="E323" s="34">
        <f>Source!DO217</f>
        <v>107</v>
      </c>
      <c r="F323" s="37"/>
      <c r="G323" s="36"/>
      <c r="H323" s="34"/>
      <c r="I323" s="37">
        <f>SUM(S315:S322)</f>
        <v>16.57</v>
      </c>
      <c r="J323" s="34">
        <f>Source!CA217</f>
        <v>55</v>
      </c>
      <c r="K323" s="37">
        <f>SUM(T315:T322)</f>
        <v>294.01</v>
      </c>
    </row>
    <row r="324" spans="1:35" ht="14.25" x14ac:dyDescent="0.2">
      <c r="A324" s="33"/>
      <c r="B324" s="33"/>
      <c r="C324" s="33" t="s">
        <v>751</v>
      </c>
      <c r="D324" s="35" t="s">
        <v>743</v>
      </c>
      <c r="E324" s="34">
        <f>175</f>
        <v>175</v>
      </c>
      <c r="F324" s="37"/>
      <c r="G324" s="36"/>
      <c r="H324" s="34"/>
      <c r="I324" s="37">
        <f>SUM(U315:U323)</f>
        <v>24.2</v>
      </c>
      <c r="J324" s="34">
        <f>160</f>
        <v>160</v>
      </c>
      <c r="K324" s="37">
        <f>SUM(V315:V323)</f>
        <v>763.63</v>
      </c>
    </row>
    <row r="325" spans="1:35" ht="14.25" x14ac:dyDescent="0.2">
      <c r="A325" s="40"/>
      <c r="B325" s="40"/>
      <c r="C325" s="40" t="s">
        <v>745</v>
      </c>
      <c r="D325" s="41" t="s">
        <v>746</v>
      </c>
      <c r="E325" s="42">
        <f>Source!AQ217</f>
        <v>4.29</v>
      </c>
      <c r="F325" s="43"/>
      <c r="G325" s="44" t="str">
        <f>Source!DI217</f>
        <v>*1,05</v>
      </c>
      <c r="H325" s="42">
        <f>Source!AV217</f>
        <v>1.0469999999999999</v>
      </c>
      <c r="I325" s="43">
        <f>Source!U217</f>
        <v>1.273377105</v>
      </c>
      <c r="J325" s="42"/>
      <c r="K325" s="43"/>
      <c r="AB325" s="39">
        <f>I325</f>
        <v>1.273377105</v>
      </c>
    </row>
    <row r="326" spans="1:35" ht="15" x14ac:dyDescent="0.25">
      <c r="C326" s="23" t="s">
        <v>747</v>
      </c>
      <c r="H326" s="45">
        <f>I317+I318+I320+I322+I323+I324+SUM(I321:I321)</f>
        <v>1057.08</v>
      </c>
      <c r="I326" s="45"/>
      <c r="J326" s="45">
        <f>K317+K318+K320+K322+K323+K324+SUM(K321:K321)</f>
        <v>16742.870000000003</v>
      </c>
      <c r="K326" s="45"/>
      <c r="O326" s="39">
        <f>I317+I318+I320+I322+I323+I324+SUM(I321:I321)</f>
        <v>1057.08</v>
      </c>
      <c r="P326" s="39">
        <f>K317+K318+K320+K322+K323+K324+SUM(K321:K321)</f>
        <v>16742.870000000003</v>
      </c>
      <c r="X326">
        <f>IF(Source!BI217&lt;=1,I317+I318+I320+I322+I323+I324-0, 0)</f>
        <v>254.82</v>
      </c>
      <c r="Y326">
        <f>IF(Source!BI217=2,I317+I318+I320+I322+I323+I324-0, 0)</f>
        <v>0</v>
      </c>
      <c r="Z326">
        <f>IF(Source!BI217=3,I317+I318+I320+I322+I323+I324-0, 0)</f>
        <v>0</v>
      </c>
      <c r="AA326">
        <f>IF(Source!BI217=4,I317+I318+I320+I322+I323+I324,0)</f>
        <v>0</v>
      </c>
    </row>
    <row r="329" spans="1:35" ht="15" x14ac:dyDescent="0.25">
      <c r="A329" s="49" t="str">
        <f>CONCATENATE("Итого по подразделу: ",IF(Source!G221&lt;&gt;"Новый подраздел", Source!G221, ""))</f>
        <v>Итого по подразделу: Дорога</v>
      </c>
      <c r="B329" s="49"/>
      <c r="C329" s="49"/>
      <c r="D329" s="49"/>
      <c r="E329" s="49"/>
      <c r="F329" s="49"/>
      <c r="G329" s="49"/>
      <c r="H329" s="48">
        <f>SUM(O211:O328)</f>
        <v>4110.03</v>
      </c>
      <c r="I329" s="47"/>
      <c r="J329" s="48">
        <f>SUM(P211:P328)</f>
        <v>61025.31</v>
      </c>
      <c r="K329" s="47"/>
    </row>
    <row r="330" spans="1:35" hidden="1" x14ac:dyDescent="0.2">
      <c r="A330" t="s">
        <v>755</v>
      </c>
      <c r="H330">
        <f>SUM(AC211:AC329)</f>
        <v>0</v>
      </c>
      <c r="J330">
        <f>SUM(AD211:AD329)</f>
        <v>0</v>
      </c>
    </row>
    <row r="331" spans="1:35" hidden="1" x14ac:dyDescent="0.2">
      <c r="A331" t="s">
        <v>756</v>
      </c>
      <c r="H331">
        <f>SUM(AE211:AE330)</f>
        <v>0</v>
      </c>
      <c r="J331">
        <f>SUM(AF211:AF330)</f>
        <v>0</v>
      </c>
    </row>
    <row r="333" spans="1:35" ht="16.5" x14ac:dyDescent="0.25">
      <c r="A333" s="32" t="str">
        <f>CONCATENATE("Подраздел: ",IF(Source!G251&lt;&gt;"Новый подраздел", Source!G251, ""))</f>
        <v>Подраздел: Тротуар</v>
      </c>
      <c r="B333" s="32"/>
      <c r="C333" s="32"/>
      <c r="D333" s="32"/>
      <c r="E333" s="32"/>
      <c r="F333" s="32"/>
      <c r="G333" s="32"/>
      <c r="H333" s="32"/>
      <c r="I333" s="32"/>
      <c r="J333" s="32"/>
      <c r="K333" s="32"/>
    </row>
    <row r="335" spans="1:35" ht="15" x14ac:dyDescent="0.25">
      <c r="A335" s="49" t="str">
        <f>CONCATENATE("Итого по подразделу: ",IF(Source!G282&lt;&gt;"Новый подраздел", Source!G282, ""))</f>
        <v>Итого по подразделу: Тротуар</v>
      </c>
      <c r="B335" s="49"/>
      <c r="C335" s="49"/>
      <c r="D335" s="49"/>
      <c r="E335" s="49"/>
      <c r="F335" s="49"/>
      <c r="G335" s="49"/>
      <c r="H335" s="48">
        <f>SUM(O333:O334)</f>
        <v>0</v>
      </c>
      <c r="I335" s="47"/>
      <c r="J335" s="48">
        <f>SUM(P333:P334)</f>
        <v>0</v>
      </c>
      <c r="K335" s="47"/>
    </row>
    <row r="336" spans="1:35" hidden="1" x14ac:dyDescent="0.2">
      <c r="A336" t="s">
        <v>755</v>
      </c>
      <c r="H336">
        <f>SUM(AC333:AC335)</f>
        <v>0</v>
      </c>
      <c r="J336">
        <f>SUM(AD333:AD335)</f>
        <v>0</v>
      </c>
    </row>
    <row r="337" spans="1:35" hidden="1" x14ac:dyDescent="0.2">
      <c r="A337" t="s">
        <v>756</v>
      </c>
      <c r="H337">
        <f>SUM(AE333:AE336)</f>
        <v>0</v>
      </c>
      <c r="J337">
        <f>SUM(AF333:AF336)</f>
        <v>0</v>
      </c>
    </row>
    <row r="339" spans="1:35" ht="16.5" x14ac:dyDescent="0.25">
      <c r="A339" s="32" t="str">
        <f>CONCATENATE("Подраздел: ",IF(Source!G312&lt;&gt;"Новый подраздел", Source!G312, ""))</f>
        <v>Подраздел: Газон</v>
      </c>
      <c r="B339" s="32"/>
      <c r="C339" s="32"/>
      <c r="D339" s="32"/>
      <c r="E339" s="32"/>
      <c r="F339" s="32"/>
      <c r="G339" s="32"/>
      <c r="H339" s="32"/>
      <c r="I339" s="32"/>
      <c r="J339" s="32"/>
      <c r="K339" s="32"/>
    </row>
    <row r="340" spans="1:35" ht="57" x14ac:dyDescent="0.2">
      <c r="A340" s="33">
        <v>62</v>
      </c>
      <c r="B340" s="33" t="s">
        <v>776</v>
      </c>
      <c r="C340" s="33" t="s">
        <v>385</v>
      </c>
      <c r="D340" s="35" t="str">
        <f>Source!DW317</f>
        <v>100 м2</v>
      </c>
      <c r="E340" s="34">
        <f>Source!I317</f>
        <v>0.38219999999999998</v>
      </c>
      <c r="F340" s="37"/>
      <c r="G340" s="36"/>
      <c r="H340" s="34"/>
      <c r="I340" s="37"/>
      <c r="J340" s="34"/>
      <c r="K340" s="37"/>
      <c r="Q340">
        <f>ROUND((Source!DN317/100)*ROUND((ROUND((Source!AF317*Source!AV317*Source!I317),2)),2), 2)</f>
        <v>209.22</v>
      </c>
      <c r="R340">
        <f>Source!X317</f>
        <v>4054.03</v>
      </c>
      <c r="S340">
        <f>ROUND((Source!DO317/100)*ROUND((ROUND((Source!AF317*Source!AV317*Source!I317),2)),2), 2)</f>
        <v>113</v>
      </c>
      <c r="T340">
        <f>Source!Y317</f>
        <v>1853.27</v>
      </c>
      <c r="U340">
        <f>ROUND((175/100)*ROUND((ROUND((Source!AE317*Source!AV317*Source!I317),2)),2), 2)</f>
        <v>0.44</v>
      </c>
      <c r="V340">
        <f>ROUND((160/100)*ROUND(ROUND((ROUND((Source!AE317*Source!AV317*Source!I317),2)*Source!BS317),2), 2), 2)</f>
        <v>13.81</v>
      </c>
      <c r="AI340">
        <v>0</v>
      </c>
    </row>
    <row r="341" spans="1:35" x14ac:dyDescent="0.2">
      <c r="C341" s="38" t="str">
        <f>"Объем: "&amp;Source!I317&amp;"=54,6*"&amp;"0,7/"&amp;"100"</f>
        <v>Объем: 0,3822=54,6*0,7/100</v>
      </c>
    </row>
    <row r="342" spans="1:35" ht="14.25" x14ac:dyDescent="0.2">
      <c r="A342" s="33"/>
      <c r="B342" s="33"/>
      <c r="C342" s="33" t="s">
        <v>741</v>
      </c>
      <c r="D342" s="35"/>
      <c r="E342" s="34"/>
      <c r="F342" s="37">
        <f>Source!AO317</f>
        <v>278.77999999999997</v>
      </c>
      <c r="G342" s="36" t="str">
        <f>Source!DG317</f>
        <v>*1,05</v>
      </c>
      <c r="H342" s="34">
        <f>Source!AV317</f>
        <v>1</v>
      </c>
      <c r="I342" s="37">
        <f>ROUND((ROUND((Source!AF317*Source!AV317*Source!I317),2)),2)</f>
        <v>111.88</v>
      </c>
      <c r="J342" s="34">
        <f>IF(Source!BA317&lt;&gt; 0, Source!BA317, 1)</f>
        <v>34.51</v>
      </c>
      <c r="K342" s="37">
        <f>Source!S317</f>
        <v>3860.98</v>
      </c>
      <c r="W342">
        <f>I342</f>
        <v>111.88</v>
      </c>
    </row>
    <row r="343" spans="1:35" ht="14.25" x14ac:dyDescent="0.2">
      <c r="A343" s="33"/>
      <c r="B343" s="33"/>
      <c r="C343" s="33" t="s">
        <v>749</v>
      </c>
      <c r="D343" s="35"/>
      <c r="E343" s="34"/>
      <c r="F343" s="37">
        <f>Source!AM317</f>
        <v>5</v>
      </c>
      <c r="G343" s="36" t="str">
        <f>Source!DE317</f>
        <v>*1,05</v>
      </c>
      <c r="H343" s="34">
        <f>Source!AV317</f>
        <v>1</v>
      </c>
      <c r="I343" s="37">
        <f>(ROUND((ROUND((((Source!ET317*1.05))*Source!AV317*Source!I317),2)),2)+ROUND((ROUND(((Source!AE317-((Source!EU317*1.05)))*Source!AV317*Source!I317),2)),2))</f>
        <v>2.0099999999999998</v>
      </c>
      <c r="J343" s="34">
        <f>IF(Source!BB317&lt;&gt; 0, Source!BB317, 1)</f>
        <v>13.21</v>
      </c>
      <c r="K343" s="37">
        <f>Source!Q317</f>
        <v>26.55</v>
      </c>
    </row>
    <row r="344" spans="1:35" ht="14.25" x14ac:dyDescent="0.2">
      <c r="A344" s="33"/>
      <c r="B344" s="33"/>
      <c r="C344" s="33" t="s">
        <v>750</v>
      </c>
      <c r="D344" s="35"/>
      <c r="E344" s="34"/>
      <c r="F344" s="37">
        <f>Source!AN317</f>
        <v>0.63</v>
      </c>
      <c r="G344" s="36" t="str">
        <f>Source!DF317</f>
        <v>*1,05</v>
      </c>
      <c r="H344" s="34">
        <f>Source!AV317</f>
        <v>1</v>
      </c>
      <c r="I344" s="46">
        <f>ROUND((ROUND((Source!AE317*Source!AV317*Source!I317),2)),2)</f>
        <v>0.25</v>
      </c>
      <c r="J344" s="34">
        <f>IF(Source!BS317&lt;&gt; 0, Source!BS317, 1)</f>
        <v>34.51</v>
      </c>
      <c r="K344" s="46">
        <f>Source!R317</f>
        <v>8.6300000000000008</v>
      </c>
      <c r="W344">
        <f>I344</f>
        <v>0.25</v>
      </c>
    </row>
    <row r="345" spans="1:35" ht="14.25" x14ac:dyDescent="0.2">
      <c r="A345" s="33" t="s">
        <v>390</v>
      </c>
      <c r="B345" s="33" t="str">
        <f>Source!F319</f>
        <v>1.4-6-1</v>
      </c>
      <c r="C345" s="33" t="s">
        <v>392</v>
      </c>
      <c r="D345" s="35" t="str">
        <f>Source!DW319</f>
        <v>м3</v>
      </c>
      <c r="E345" s="34">
        <f>Source!I319</f>
        <v>5.7329999999999997</v>
      </c>
      <c r="F345" s="37">
        <f>Source!AK319</f>
        <v>146.84</v>
      </c>
      <c r="G345" s="52" t="s">
        <v>3</v>
      </c>
      <c r="H345" s="34">
        <f>Source!AW319</f>
        <v>1</v>
      </c>
      <c r="I345" s="37">
        <f>ROUND((ROUND((Source!AC319*Source!AW319*Source!I319),2)),2)+(ROUND((ROUND(((Source!ET319)*Source!AV319*Source!I319),2)),2)+ROUND((ROUND(((Source!AE319-(Source!EU319))*Source!AV319*Source!I319),2)),2))+ROUND((ROUND((Source!AF319*Source!AV319*Source!I319),2)),2)</f>
        <v>841.83</v>
      </c>
      <c r="J345" s="34">
        <f>IF(Source!BC319&lt;&gt; 0, Source!BC319, 1)</f>
        <v>7.24</v>
      </c>
      <c r="K345" s="37">
        <f>Source!O319</f>
        <v>6094.85</v>
      </c>
      <c r="Q345">
        <f>ROUND((Source!DN319/100)*ROUND((ROUND((Source!AF319*Source!AV319*Source!I319),2)),2), 2)</f>
        <v>0</v>
      </c>
      <c r="R345">
        <f>Source!X319</f>
        <v>0</v>
      </c>
      <c r="S345">
        <f>ROUND((Source!DO319/100)*ROUND((ROUND((Source!AF319*Source!AV319*Source!I319),2)),2), 2)</f>
        <v>0</v>
      </c>
      <c r="T345">
        <f>Source!Y319</f>
        <v>0</v>
      </c>
      <c r="U345">
        <f>ROUND((175/100)*ROUND((ROUND((Source!AE319*Source!AV319*Source!I319),2)),2), 2)</f>
        <v>0</v>
      </c>
      <c r="V345">
        <f>ROUND((160/100)*ROUND(ROUND((ROUND((Source!AE319*Source!AV319*Source!I319),2)*Source!BS319),2), 2), 2)</f>
        <v>0</v>
      </c>
      <c r="X345">
        <f>IF(Source!BI319&lt;=1,I345, 0)</f>
        <v>841.83</v>
      </c>
      <c r="Y345">
        <f>IF(Source!BI319=2,I345, 0)</f>
        <v>0</v>
      </c>
      <c r="Z345">
        <f>IF(Source!BI319=3,I345, 0)</f>
        <v>0</v>
      </c>
      <c r="AA345">
        <f>IF(Source!BI319=4,I345, 0)</f>
        <v>0</v>
      </c>
      <c r="AI345">
        <v>3</v>
      </c>
    </row>
    <row r="346" spans="1:35" ht="14.25" x14ac:dyDescent="0.2">
      <c r="A346" s="33"/>
      <c r="B346" s="33"/>
      <c r="C346" s="33" t="s">
        <v>742</v>
      </c>
      <c r="D346" s="35" t="s">
        <v>743</v>
      </c>
      <c r="E346" s="34">
        <f>Source!DN317</f>
        <v>187</v>
      </c>
      <c r="F346" s="37"/>
      <c r="G346" s="36"/>
      <c r="H346" s="34"/>
      <c r="I346" s="37">
        <f>SUM(Q340:Q345)</f>
        <v>209.22</v>
      </c>
      <c r="J346" s="34">
        <f>Source!BZ317</f>
        <v>105</v>
      </c>
      <c r="K346" s="37">
        <f>SUM(R340:R345)</f>
        <v>4054.03</v>
      </c>
    </row>
    <row r="347" spans="1:35" ht="14.25" x14ac:dyDescent="0.2">
      <c r="A347" s="33"/>
      <c r="B347" s="33"/>
      <c r="C347" s="33" t="s">
        <v>744</v>
      </c>
      <c r="D347" s="35" t="s">
        <v>743</v>
      </c>
      <c r="E347" s="34">
        <f>Source!DO317</f>
        <v>101</v>
      </c>
      <c r="F347" s="37"/>
      <c r="G347" s="36"/>
      <c r="H347" s="34"/>
      <c r="I347" s="37">
        <f>SUM(S340:S346)</f>
        <v>113</v>
      </c>
      <c r="J347" s="34">
        <f>Source!CA317</f>
        <v>48</v>
      </c>
      <c r="K347" s="37">
        <f>SUM(T340:T346)</f>
        <v>1853.27</v>
      </c>
    </row>
    <row r="348" spans="1:35" ht="14.25" x14ac:dyDescent="0.2">
      <c r="A348" s="33"/>
      <c r="B348" s="33"/>
      <c r="C348" s="33" t="s">
        <v>751</v>
      </c>
      <c r="D348" s="35" t="s">
        <v>743</v>
      </c>
      <c r="E348" s="34">
        <f>175</f>
        <v>175</v>
      </c>
      <c r="F348" s="37"/>
      <c r="G348" s="36"/>
      <c r="H348" s="34"/>
      <c r="I348" s="37">
        <f>SUM(U340:U347)</f>
        <v>0.44</v>
      </c>
      <c r="J348" s="34">
        <f>160</f>
        <v>160</v>
      </c>
      <c r="K348" s="37">
        <f>SUM(V340:V347)</f>
        <v>13.81</v>
      </c>
    </row>
    <row r="349" spans="1:35" ht="14.25" x14ac:dyDescent="0.2">
      <c r="A349" s="40"/>
      <c r="B349" s="40"/>
      <c r="C349" s="40" t="s">
        <v>745</v>
      </c>
      <c r="D349" s="41" t="s">
        <v>746</v>
      </c>
      <c r="E349" s="42">
        <f>Source!AQ317</f>
        <v>26.78</v>
      </c>
      <c r="F349" s="43"/>
      <c r="G349" s="44" t="str">
        <f>Source!DI317</f>
        <v>*1,05</v>
      </c>
      <c r="H349" s="42">
        <f>Source!AV317</f>
        <v>1</v>
      </c>
      <c r="I349" s="43">
        <f>Source!U317</f>
        <v>10.7470818</v>
      </c>
      <c r="J349" s="42"/>
      <c r="K349" s="43"/>
      <c r="AB349" s="39">
        <f>I349</f>
        <v>10.7470818</v>
      </c>
    </row>
    <row r="350" spans="1:35" ht="15" x14ac:dyDescent="0.25">
      <c r="C350" s="23" t="s">
        <v>747</v>
      </c>
      <c r="H350" s="45">
        <f>I342+I343+I346+I347+I348+SUM(I345:I345)</f>
        <v>1278.3800000000001</v>
      </c>
      <c r="I350" s="45"/>
      <c r="J350" s="45">
        <f>K342+K343+K346+K347+K348+SUM(K345:K345)</f>
        <v>15903.49</v>
      </c>
      <c r="K350" s="45"/>
      <c r="O350" s="39">
        <f>I342+I343+I346+I347+I348+SUM(I345:I345)</f>
        <v>1278.3800000000001</v>
      </c>
      <c r="P350" s="39">
        <f>K342+K343+K346+K347+K348+SUM(K345:K345)</f>
        <v>15903.49</v>
      </c>
      <c r="X350">
        <f>IF(Source!BI317&lt;=1,I342+I343+I346+I347+I348-0, 0)</f>
        <v>436.55</v>
      </c>
      <c r="Y350">
        <f>IF(Source!BI317=2,I342+I343+I346+I347+I348-0, 0)</f>
        <v>0</v>
      </c>
      <c r="Z350">
        <f>IF(Source!BI317=3,I342+I343+I346+I347+I348-0, 0)</f>
        <v>0</v>
      </c>
      <c r="AA350">
        <f>IF(Source!BI317=4,I342+I343+I346+I347+I348,0)</f>
        <v>0</v>
      </c>
    </row>
    <row r="352" spans="1:35" ht="57" x14ac:dyDescent="0.2">
      <c r="A352" s="33">
        <v>63</v>
      </c>
      <c r="B352" s="33" t="s">
        <v>777</v>
      </c>
      <c r="C352" s="33" t="s">
        <v>396</v>
      </c>
      <c r="D352" s="35" t="str">
        <f>Source!DW321</f>
        <v>100 м2</v>
      </c>
      <c r="E352" s="34">
        <f>Source!I321</f>
        <v>0.1638</v>
      </c>
      <c r="F352" s="37"/>
      <c r="G352" s="36"/>
      <c r="H352" s="34"/>
      <c r="I352" s="37"/>
      <c r="J352" s="34"/>
      <c r="K352" s="37"/>
      <c r="Q352">
        <f>ROUND((Source!DN321/100)*ROUND((ROUND((Source!AF321*Source!AV321*Source!I321),2)),2), 2)</f>
        <v>133.93</v>
      </c>
      <c r="R352">
        <f>Source!X321</f>
        <v>2595.19</v>
      </c>
      <c r="S352">
        <f>ROUND((Source!DO321/100)*ROUND((ROUND((Source!AF321*Source!AV321*Source!I321),2)),2), 2)</f>
        <v>72.34</v>
      </c>
      <c r="T352">
        <f>Source!Y321</f>
        <v>1186.3699999999999</v>
      </c>
      <c r="U352">
        <f>ROUND((175/100)*ROUND((ROUND((Source!AE321*Source!AV321*Source!I321),2)),2), 2)</f>
        <v>0</v>
      </c>
      <c r="V352">
        <f>ROUND((160/100)*ROUND(ROUND((ROUND((Source!AE321*Source!AV321*Source!I321),2)*Source!BS321),2), 2), 2)</f>
        <v>0</v>
      </c>
      <c r="AI352">
        <v>0</v>
      </c>
    </row>
    <row r="353" spans="1:35" x14ac:dyDescent="0.2">
      <c r="C353" s="38" t="str">
        <f>"Объем: "&amp;Source!I321&amp;"=54,6*"&amp;"0,3/"&amp;"100"</f>
        <v>Объем: 0,1638=54,6*0,3/100</v>
      </c>
    </row>
    <row r="354" spans="1:35" ht="14.25" x14ac:dyDescent="0.2">
      <c r="A354" s="33"/>
      <c r="B354" s="33"/>
      <c r="C354" s="33" t="s">
        <v>741</v>
      </c>
      <c r="D354" s="35"/>
      <c r="E354" s="34"/>
      <c r="F354" s="37">
        <f>Source!AO321</f>
        <v>416.4</v>
      </c>
      <c r="G354" s="36" t="str">
        <f>Source!DG321</f>
        <v>*1,05</v>
      </c>
      <c r="H354" s="34">
        <f>Source!AV321</f>
        <v>1</v>
      </c>
      <c r="I354" s="37">
        <f>ROUND((ROUND((Source!AF321*Source!AV321*Source!I321),2)),2)</f>
        <v>71.62</v>
      </c>
      <c r="J354" s="34">
        <f>IF(Source!BA321&lt;&gt; 0, Source!BA321, 1)</f>
        <v>34.51</v>
      </c>
      <c r="K354" s="37">
        <f>Source!S321</f>
        <v>2471.61</v>
      </c>
      <c r="W354">
        <f>I354</f>
        <v>71.62</v>
      </c>
    </row>
    <row r="355" spans="1:35" ht="14.25" x14ac:dyDescent="0.2">
      <c r="A355" s="33" t="s">
        <v>398</v>
      </c>
      <c r="B355" s="33" t="str">
        <f>Source!F323</f>
        <v>1.4-6-1</v>
      </c>
      <c r="C355" s="33" t="s">
        <v>392</v>
      </c>
      <c r="D355" s="35" t="str">
        <f>Source!DW323</f>
        <v>м3</v>
      </c>
      <c r="E355" s="34">
        <f>Source!I323</f>
        <v>2.4569999999999999</v>
      </c>
      <c r="F355" s="37">
        <f>Source!AK323</f>
        <v>146.84</v>
      </c>
      <c r="G355" s="52" t="s">
        <v>3</v>
      </c>
      <c r="H355" s="34">
        <f>Source!AW323</f>
        <v>1</v>
      </c>
      <c r="I355" s="37">
        <f>ROUND((ROUND((Source!AC323*Source!AW323*Source!I323),2)),2)+(ROUND((ROUND(((Source!ET323)*Source!AV323*Source!I323),2)),2)+ROUND((ROUND(((Source!AE323-(Source!EU323))*Source!AV323*Source!I323),2)),2))+ROUND((ROUND((Source!AF323*Source!AV323*Source!I323),2)),2)</f>
        <v>360.79</v>
      </c>
      <c r="J355" s="34">
        <f>IF(Source!BC323&lt;&gt; 0, Source!BC323, 1)</f>
        <v>7.24</v>
      </c>
      <c r="K355" s="37">
        <f>Source!O323</f>
        <v>2612.12</v>
      </c>
      <c r="Q355">
        <f>ROUND((Source!DN323/100)*ROUND((ROUND((Source!AF323*Source!AV323*Source!I323),2)),2), 2)</f>
        <v>0</v>
      </c>
      <c r="R355">
        <f>Source!X323</f>
        <v>0</v>
      </c>
      <c r="S355">
        <f>ROUND((Source!DO323/100)*ROUND((ROUND((Source!AF323*Source!AV323*Source!I323),2)),2), 2)</f>
        <v>0</v>
      </c>
      <c r="T355">
        <f>Source!Y323</f>
        <v>0</v>
      </c>
      <c r="U355">
        <f>ROUND((175/100)*ROUND((ROUND((Source!AE323*Source!AV323*Source!I323),2)),2), 2)</f>
        <v>0</v>
      </c>
      <c r="V355">
        <f>ROUND((160/100)*ROUND(ROUND((ROUND((Source!AE323*Source!AV323*Source!I323),2)*Source!BS323),2), 2), 2)</f>
        <v>0</v>
      </c>
      <c r="X355">
        <f>IF(Source!BI323&lt;=1,I355, 0)</f>
        <v>360.79</v>
      </c>
      <c r="Y355">
        <f>IF(Source!BI323=2,I355, 0)</f>
        <v>0</v>
      </c>
      <c r="Z355">
        <f>IF(Source!BI323=3,I355, 0)</f>
        <v>0</v>
      </c>
      <c r="AA355">
        <f>IF(Source!BI323=4,I355, 0)</f>
        <v>0</v>
      </c>
      <c r="AI355">
        <v>3</v>
      </c>
    </row>
    <row r="356" spans="1:35" ht="14.25" x14ac:dyDescent="0.2">
      <c r="A356" s="33"/>
      <c r="B356" s="33"/>
      <c r="C356" s="33" t="s">
        <v>742</v>
      </c>
      <c r="D356" s="35" t="s">
        <v>743</v>
      </c>
      <c r="E356" s="34">
        <f>Source!DN321</f>
        <v>187</v>
      </c>
      <c r="F356" s="37"/>
      <c r="G356" s="36"/>
      <c r="H356" s="34"/>
      <c r="I356" s="37">
        <f>SUM(Q352:Q355)</f>
        <v>133.93</v>
      </c>
      <c r="J356" s="34">
        <f>Source!BZ321</f>
        <v>105</v>
      </c>
      <c r="K356" s="37">
        <f>SUM(R352:R355)</f>
        <v>2595.19</v>
      </c>
    </row>
    <row r="357" spans="1:35" ht="14.25" x14ac:dyDescent="0.2">
      <c r="A357" s="33"/>
      <c r="B357" s="33"/>
      <c r="C357" s="33" t="s">
        <v>744</v>
      </c>
      <c r="D357" s="35" t="s">
        <v>743</v>
      </c>
      <c r="E357" s="34">
        <f>Source!DO321</f>
        <v>101</v>
      </c>
      <c r="F357" s="37"/>
      <c r="G357" s="36"/>
      <c r="H357" s="34"/>
      <c r="I357" s="37">
        <f>SUM(S352:S356)</f>
        <v>72.34</v>
      </c>
      <c r="J357" s="34">
        <f>Source!CA321</f>
        <v>48</v>
      </c>
      <c r="K357" s="37">
        <f>SUM(T352:T356)</f>
        <v>1186.3699999999999</v>
      </c>
    </row>
    <row r="358" spans="1:35" ht="14.25" x14ac:dyDescent="0.2">
      <c r="A358" s="40"/>
      <c r="B358" s="40"/>
      <c r="C358" s="40" t="s">
        <v>745</v>
      </c>
      <c r="D358" s="41" t="s">
        <v>746</v>
      </c>
      <c r="E358" s="42">
        <f>Source!AQ321</f>
        <v>40</v>
      </c>
      <c r="F358" s="43"/>
      <c r="G358" s="44" t="str">
        <f>Source!DI321</f>
        <v>*1,05</v>
      </c>
      <c r="H358" s="42">
        <f>Source!AV321</f>
        <v>1</v>
      </c>
      <c r="I358" s="43">
        <f>Source!U321</f>
        <v>6.8795999999999999</v>
      </c>
      <c r="J358" s="42"/>
      <c r="K358" s="43"/>
      <c r="AB358" s="39">
        <f>I358</f>
        <v>6.8795999999999999</v>
      </c>
    </row>
    <row r="359" spans="1:35" ht="15" x14ac:dyDescent="0.25">
      <c r="C359" s="23" t="s">
        <v>747</v>
      </c>
      <c r="H359" s="45">
        <f>I354+I356+I357+SUM(I355:I355)</f>
        <v>638.68000000000006</v>
      </c>
      <c r="I359" s="45"/>
      <c r="J359" s="45">
        <f>K354+K356+K357+SUM(K355:K355)</f>
        <v>8865.2900000000009</v>
      </c>
      <c r="K359" s="45"/>
      <c r="O359" s="39">
        <f>I354+I356+I357+SUM(I355:I355)</f>
        <v>638.68000000000006</v>
      </c>
      <c r="P359" s="39">
        <f>K354+K356+K357+SUM(K355:K355)</f>
        <v>8865.2900000000009</v>
      </c>
      <c r="X359">
        <f>IF(Source!BI321&lt;=1,I354+I356+I357-0, 0)</f>
        <v>277.89</v>
      </c>
      <c r="Y359">
        <f>IF(Source!BI321=2,I354+I356+I357-0, 0)</f>
        <v>0</v>
      </c>
      <c r="Z359">
        <f>IF(Source!BI321=3,I354+I356+I357-0, 0)</f>
        <v>0</v>
      </c>
      <c r="AA359">
        <f>IF(Source!BI321=4,I354+I356+I357,0)</f>
        <v>0</v>
      </c>
    </row>
    <row r="361" spans="1:35" ht="57" x14ac:dyDescent="0.2">
      <c r="A361" s="33">
        <v>64</v>
      </c>
      <c r="B361" s="33" t="s">
        <v>778</v>
      </c>
      <c r="C361" s="33" t="s">
        <v>401</v>
      </c>
      <c r="D361" s="35" t="str">
        <f>Source!DW325</f>
        <v>100 м2</v>
      </c>
      <c r="E361" s="34">
        <f>Source!I325</f>
        <v>-0.54600000000000004</v>
      </c>
      <c r="F361" s="37"/>
      <c r="G361" s="36"/>
      <c r="H361" s="34"/>
      <c r="I361" s="37"/>
      <c r="J361" s="34"/>
      <c r="K361" s="37"/>
      <c r="Q361">
        <f>ROUND((Source!DN325/100)*ROUND((ROUND((Source!AF325*Source!AV325*Source!I325),2)),2), 2)</f>
        <v>-61.04</v>
      </c>
      <c r="R361">
        <f>Source!X325</f>
        <v>-1182.73</v>
      </c>
      <c r="S361">
        <f>ROUND((Source!DO325/100)*ROUND((ROUND((Source!AF325*Source!AV325*Source!I325),2)),2), 2)</f>
        <v>-32.97</v>
      </c>
      <c r="T361">
        <f>Source!Y325</f>
        <v>-540.67999999999995</v>
      </c>
      <c r="U361">
        <f>ROUND((175/100)*ROUND((ROUND((Source!AE325*Source!AV325*Source!I325),2)),2), 2)</f>
        <v>0</v>
      </c>
      <c r="V361">
        <f>ROUND((160/100)*ROUND(ROUND((ROUND((Source!AE325*Source!AV325*Source!I325),2)*Source!BS325),2), 2), 2)</f>
        <v>0</v>
      </c>
      <c r="AI361">
        <v>0</v>
      </c>
    </row>
    <row r="362" spans="1:35" x14ac:dyDescent="0.2">
      <c r="C362" s="38" t="str">
        <f>"Объем: "&amp;Source!I325&amp;"=-"&amp;"54,6/"&amp;"100"</f>
        <v>Объем: -0,546=-54,6/100</v>
      </c>
    </row>
    <row r="363" spans="1:35" ht="14.25" x14ac:dyDescent="0.2">
      <c r="A363" s="33"/>
      <c r="B363" s="33"/>
      <c r="C363" s="33" t="s">
        <v>741</v>
      </c>
      <c r="D363" s="35"/>
      <c r="E363" s="34"/>
      <c r="F363" s="37">
        <f>Source!AO325</f>
        <v>56.94</v>
      </c>
      <c r="G363" s="36" t="str">
        <f>Source!DG325</f>
        <v>*1,05</v>
      </c>
      <c r="H363" s="34">
        <f>Source!AV325</f>
        <v>1</v>
      </c>
      <c r="I363" s="37">
        <f>ROUND((ROUND((Source!AF325*Source!AV325*Source!I325),2)),2)</f>
        <v>-32.64</v>
      </c>
      <c r="J363" s="34">
        <f>IF(Source!BA325&lt;&gt; 0, Source!BA325, 1)</f>
        <v>34.51</v>
      </c>
      <c r="K363" s="37">
        <f>Source!S325</f>
        <v>-1126.4100000000001</v>
      </c>
      <c r="W363">
        <f>I363</f>
        <v>-32.64</v>
      </c>
    </row>
    <row r="364" spans="1:35" ht="14.25" x14ac:dyDescent="0.2">
      <c r="A364" s="33" t="s">
        <v>403</v>
      </c>
      <c r="B364" s="33" t="str">
        <f>Source!F327</f>
        <v>1.4-6-1</v>
      </c>
      <c r="C364" s="33" t="s">
        <v>392</v>
      </c>
      <c r="D364" s="35" t="str">
        <f>Source!DW327</f>
        <v>м3</v>
      </c>
      <c r="E364" s="34">
        <f>Source!I327</f>
        <v>-2.7300000000000004</v>
      </c>
      <c r="F364" s="37">
        <f>Source!AK327</f>
        <v>146.84</v>
      </c>
      <c r="G364" s="52" t="s">
        <v>3</v>
      </c>
      <c r="H364" s="34">
        <f>Source!AW327</f>
        <v>1</v>
      </c>
      <c r="I364" s="37">
        <f>ROUND((ROUND((Source!AC327*Source!AW327*Source!I327),2)),2)+(ROUND((ROUND(((Source!ET327)*Source!AV327*Source!I327),2)),2)+ROUND((ROUND(((Source!AE327-(Source!EU327))*Source!AV327*Source!I327),2)),2))+ROUND((ROUND((Source!AF327*Source!AV327*Source!I327),2)),2)</f>
        <v>-400.87</v>
      </c>
      <c r="J364" s="34">
        <f>IF(Source!BC327&lt;&gt; 0, Source!BC327, 1)</f>
        <v>7.24</v>
      </c>
      <c r="K364" s="37">
        <f>Source!O327</f>
        <v>-2902.3</v>
      </c>
      <c r="Q364">
        <f>ROUND((Source!DN327/100)*ROUND((ROUND((Source!AF327*Source!AV327*Source!I327),2)),2), 2)</f>
        <v>0</v>
      </c>
      <c r="R364">
        <f>Source!X327</f>
        <v>0</v>
      </c>
      <c r="S364">
        <f>ROUND((Source!DO327/100)*ROUND((ROUND((Source!AF327*Source!AV327*Source!I327),2)),2), 2)</f>
        <v>0</v>
      </c>
      <c r="T364">
        <f>Source!Y327</f>
        <v>0</v>
      </c>
      <c r="U364">
        <f>ROUND((175/100)*ROUND((ROUND((Source!AE327*Source!AV327*Source!I327),2)),2), 2)</f>
        <v>0</v>
      </c>
      <c r="V364">
        <f>ROUND((160/100)*ROUND(ROUND((ROUND((Source!AE327*Source!AV327*Source!I327),2)*Source!BS327),2), 2), 2)</f>
        <v>0</v>
      </c>
      <c r="X364">
        <f>IF(Source!BI327&lt;=1,I364, 0)</f>
        <v>-400.87</v>
      </c>
      <c r="Y364">
        <f>IF(Source!BI327=2,I364, 0)</f>
        <v>0</v>
      </c>
      <c r="Z364">
        <f>IF(Source!BI327=3,I364, 0)</f>
        <v>0</v>
      </c>
      <c r="AA364">
        <f>IF(Source!BI327=4,I364, 0)</f>
        <v>0</v>
      </c>
      <c r="AI364">
        <v>3</v>
      </c>
    </row>
    <row r="365" spans="1:35" ht="14.25" x14ac:dyDescent="0.2">
      <c r="A365" s="33"/>
      <c r="B365" s="33"/>
      <c r="C365" s="33" t="s">
        <v>742</v>
      </c>
      <c r="D365" s="35" t="s">
        <v>743</v>
      </c>
      <c r="E365" s="34">
        <f>Source!DN325</f>
        <v>187</v>
      </c>
      <c r="F365" s="37"/>
      <c r="G365" s="36"/>
      <c r="H365" s="34"/>
      <c r="I365" s="37">
        <f>SUM(Q361:Q364)</f>
        <v>-61.04</v>
      </c>
      <c r="J365" s="34">
        <f>Source!BZ325</f>
        <v>105</v>
      </c>
      <c r="K365" s="37">
        <f>SUM(R361:R364)</f>
        <v>-1182.73</v>
      </c>
    </row>
    <row r="366" spans="1:35" ht="14.25" x14ac:dyDescent="0.2">
      <c r="A366" s="33"/>
      <c r="B366" s="33"/>
      <c r="C366" s="33" t="s">
        <v>744</v>
      </c>
      <c r="D366" s="35" t="s">
        <v>743</v>
      </c>
      <c r="E366" s="34">
        <f>Source!DO325</f>
        <v>101</v>
      </c>
      <c r="F366" s="37"/>
      <c r="G366" s="36"/>
      <c r="H366" s="34"/>
      <c r="I366" s="37">
        <f>SUM(S361:S365)</f>
        <v>-32.97</v>
      </c>
      <c r="J366" s="34">
        <f>Source!CA325</f>
        <v>48</v>
      </c>
      <c r="K366" s="37">
        <f>SUM(T361:T365)</f>
        <v>-540.67999999999995</v>
      </c>
    </row>
    <row r="367" spans="1:35" ht="14.25" x14ac:dyDescent="0.2">
      <c r="A367" s="40"/>
      <c r="B367" s="40"/>
      <c r="C367" s="40" t="s">
        <v>745</v>
      </c>
      <c r="D367" s="41" t="s">
        <v>746</v>
      </c>
      <c r="E367" s="42">
        <f>Source!AQ325</f>
        <v>5.47</v>
      </c>
      <c r="F367" s="43"/>
      <c r="G367" s="44" t="str">
        <f>Source!DI325</f>
        <v>*1,05</v>
      </c>
      <c r="H367" s="42">
        <f>Source!AV325</f>
        <v>1</v>
      </c>
      <c r="I367" s="43">
        <f>Source!U325</f>
        <v>-3.1359510000000004</v>
      </c>
      <c r="J367" s="42"/>
      <c r="K367" s="43"/>
      <c r="AB367" s="39">
        <f>I367</f>
        <v>-3.1359510000000004</v>
      </c>
    </row>
    <row r="368" spans="1:35" ht="15" x14ac:dyDescent="0.25">
      <c r="C368" s="23" t="s">
        <v>747</v>
      </c>
      <c r="H368" s="45">
        <f>I363+I365+I366+SUM(I364:I364)</f>
        <v>-527.52</v>
      </c>
      <c r="I368" s="45"/>
      <c r="J368" s="45">
        <f>K363+K365+K366+SUM(K364:K364)</f>
        <v>-5752.1200000000008</v>
      </c>
      <c r="K368" s="45"/>
      <c r="O368" s="39">
        <f>I363+I365+I366+SUM(I364:I364)</f>
        <v>-527.52</v>
      </c>
      <c r="P368" s="39">
        <f>K363+K365+K366+SUM(K364:K364)</f>
        <v>-5752.1200000000008</v>
      </c>
      <c r="X368">
        <f>IF(Source!BI325&lt;=1,I363+I365+I366-0, 0)</f>
        <v>-126.65</v>
      </c>
      <c r="Y368">
        <f>IF(Source!BI325=2,I363+I365+I366-0, 0)</f>
        <v>0</v>
      </c>
      <c r="Z368">
        <f>IF(Source!BI325=3,I363+I365+I366-0, 0)</f>
        <v>0</v>
      </c>
      <c r="AA368">
        <f>IF(Source!BI325=4,I363+I365+I366,0)</f>
        <v>0</v>
      </c>
    </row>
    <row r="370" spans="1:35" ht="52.5" x14ac:dyDescent="0.2">
      <c r="A370" s="33">
        <v>65</v>
      </c>
      <c r="B370" s="33" t="s">
        <v>779</v>
      </c>
      <c r="C370" s="33" t="s">
        <v>406</v>
      </c>
      <c r="D370" s="35" t="str">
        <f>Source!DW329</f>
        <v>100 м2</v>
      </c>
      <c r="E370" s="34">
        <f>Source!I329</f>
        <v>0.54600000000000004</v>
      </c>
      <c r="F370" s="37"/>
      <c r="G370" s="36"/>
      <c r="H370" s="34"/>
      <c r="I370" s="37"/>
      <c r="J370" s="34"/>
      <c r="K370" s="37"/>
      <c r="Q370">
        <f>ROUND((Source!DN329/100)*ROUND((ROUND((Source!AF329*Source!AV329*Source!I329),2)),2), 2)</f>
        <v>62.93</v>
      </c>
      <c r="R370">
        <f>Source!X329</f>
        <v>1219.32</v>
      </c>
      <c r="S370">
        <f>ROUND((Source!DO329/100)*ROUND((ROUND((Source!AF329*Source!AV329*Source!I329),2)),2), 2)</f>
        <v>33.99</v>
      </c>
      <c r="T370">
        <f>Source!Y329</f>
        <v>557.4</v>
      </c>
      <c r="U370">
        <f>ROUND((175/100)*ROUND((ROUND((Source!AE329*Source!AV329*Source!I329),2)),2), 2)</f>
        <v>0</v>
      </c>
      <c r="V370">
        <f>ROUND((160/100)*ROUND(ROUND((ROUND((Source!AE329*Source!AV329*Source!I329),2)*Source!BS329),2), 2), 2)</f>
        <v>0</v>
      </c>
      <c r="AI370">
        <v>0</v>
      </c>
    </row>
    <row r="371" spans="1:35" x14ac:dyDescent="0.2">
      <c r="C371" s="38" t="str">
        <f>"Объем: "&amp;Source!I329&amp;"=54,6/"&amp;"100"</f>
        <v>Объем: 0,546=54,6/100</v>
      </c>
    </row>
    <row r="372" spans="1:35" ht="14.25" x14ac:dyDescent="0.2">
      <c r="A372" s="33"/>
      <c r="B372" s="33"/>
      <c r="C372" s="33" t="s">
        <v>741</v>
      </c>
      <c r="D372" s="35"/>
      <c r="E372" s="34"/>
      <c r="F372" s="37">
        <f>Source!AO329</f>
        <v>58.7</v>
      </c>
      <c r="G372" s="36" t="str">
        <f>Source!DG329</f>
        <v>*1,05</v>
      </c>
      <c r="H372" s="34">
        <f>Source!AV329</f>
        <v>1</v>
      </c>
      <c r="I372" s="37">
        <f>ROUND((ROUND((Source!AF329*Source!AV329*Source!I329),2)),2)</f>
        <v>33.65</v>
      </c>
      <c r="J372" s="34">
        <f>IF(Source!BA329&lt;&gt; 0, Source!BA329, 1)</f>
        <v>34.51</v>
      </c>
      <c r="K372" s="37">
        <f>Source!S329</f>
        <v>1161.26</v>
      </c>
      <c r="W372">
        <f>I372</f>
        <v>33.65</v>
      </c>
    </row>
    <row r="373" spans="1:35" ht="14.25" x14ac:dyDescent="0.2">
      <c r="A373" s="33"/>
      <c r="B373" s="33"/>
      <c r="C373" s="33" t="s">
        <v>763</v>
      </c>
      <c r="D373" s="35"/>
      <c r="E373" s="34"/>
      <c r="F373" s="37">
        <f>Source!AL329</f>
        <v>70.7</v>
      </c>
      <c r="G373" s="36" t="str">
        <f>Source!DD329</f>
        <v/>
      </c>
      <c r="H373" s="34">
        <f>Source!AW329</f>
        <v>1</v>
      </c>
      <c r="I373" s="37">
        <f>ROUND((ROUND((Source!AC329*Source!AW329*Source!I329),2)),2)</f>
        <v>38.6</v>
      </c>
      <c r="J373" s="34">
        <f>IF(Source!BC329&lt;&gt; 0, Source!BC329, 1)</f>
        <v>7.05</v>
      </c>
      <c r="K373" s="37">
        <f>Source!P329</f>
        <v>272.13</v>
      </c>
    </row>
    <row r="374" spans="1:35" ht="28.5" x14ac:dyDescent="0.2">
      <c r="A374" s="33" t="s">
        <v>408</v>
      </c>
      <c r="B374" s="33" t="str">
        <f>Source!F331</f>
        <v>1.4-6-6</v>
      </c>
      <c r="C374" s="33" t="s">
        <v>410</v>
      </c>
      <c r="D374" s="35" t="str">
        <f>Source!DW331</f>
        <v>кг</v>
      </c>
      <c r="E374" s="34">
        <f>Source!I331</f>
        <v>2.1840000000000002</v>
      </c>
      <c r="F374" s="37">
        <f>Source!AK331</f>
        <v>57.93</v>
      </c>
      <c r="G374" s="52" t="s">
        <v>3</v>
      </c>
      <c r="H374" s="34">
        <f>Source!AW331</f>
        <v>1</v>
      </c>
      <c r="I374" s="37">
        <f>ROUND((ROUND((Source!AC331*Source!AW331*Source!I331),2)),2)+(ROUND((ROUND(((Source!ET331)*Source!AV331*Source!I331),2)),2)+ROUND((ROUND(((Source!AE331-(Source!EU331))*Source!AV331*Source!I331),2)),2))+ROUND((ROUND((Source!AF331*Source!AV331*Source!I331),2)),2)</f>
        <v>126.52</v>
      </c>
      <c r="J374" s="34">
        <f>IF(Source!BC331&lt;&gt; 0, Source!BC331, 1)</f>
        <v>2.58</v>
      </c>
      <c r="K374" s="37">
        <f>Source!O331</f>
        <v>326.42</v>
      </c>
      <c r="Q374">
        <f>ROUND((Source!DN331/100)*ROUND((ROUND((Source!AF331*Source!AV331*Source!I331),2)),2), 2)</f>
        <v>0</v>
      </c>
      <c r="R374">
        <f>Source!X331</f>
        <v>0</v>
      </c>
      <c r="S374">
        <f>ROUND((Source!DO331/100)*ROUND((ROUND((Source!AF331*Source!AV331*Source!I331),2)),2), 2)</f>
        <v>0</v>
      </c>
      <c r="T374">
        <f>Source!Y331</f>
        <v>0</v>
      </c>
      <c r="U374">
        <f>ROUND((175/100)*ROUND((ROUND((Source!AE331*Source!AV331*Source!I331),2)),2), 2)</f>
        <v>0</v>
      </c>
      <c r="V374">
        <f>ROUND((160/100)*ROUND(ROUND((ROUND((Source!AE331*Source!AV331*Source!I331),2)*Source!BS331),2), 2), 2)</f>
        <v>0</v>
      </c>
      <c r="X374">
        <f>IF(Source!BI331&lt;=1,I374, 0)</f>
        <v>126.52</v>
      </c>
      <c r="Y374">
        <f>IF(Source!BI331=2,I374, 0)</f>
        <v>0</v>
      </c>
      <c r="Z374">
        <f>IF(Source!BI331=3,I374, 0)</f>
        <v>0</v>
      </c>
      <c r="AA374">
        <f>IF(Source!BI331=4,I374, 0)</f>
        <v>0</v>
      </c>
      <c r="AI374">
        <v>3</v>
      </c>
    </row>
    <row r="375" spans="1:35" ht="14.25" x14ac:dyDescent="0.2">
      <c r="A375" s="33"/>
      <c r="B375" s="33"/>
      <c r="C375" s="33" t="s">
        <v>742</v>
      </c>
      <c r="D375" s="35" t="s">
        <v>743</v>
      </c>
      <c r="E375" s="34">
        <f>Source!DN329</f>
        <v>187</v>
      </c>
      <c r="F375" s="37"/>
      <c r="G375" s="36"/>
      <c r="H375" s="34"/>
      <c r="I375" s="37">
        <f>SUM(Q370:Q374)</f>
        <v>62.93</v>
      </c>
      <c r="J375" s="34">
        <f>Source!BZ329</f>
        <v>105</v>
      </c>
      <c r="K375" s="37">
        <f>SUM(R370:R374)</f>
        <v>1219.32</v>
      </c>
    </row>
    <row r="376" spans="1:35" ht="14.25" x14ac:dyDescent="0.2">
      <c r="A376" s="33"/>
      <c r="B376" s="33"/>
      <c r="C376" s="33" t="s">
        <v>744</v>
      </c>
      <c r="D376" s="35" t="s">
        <v>743</v>
      </c>
      <c r="E376" s="34">
        <f>Source!DO329</f>
        <v>101</v>
      </c>
      <c r="F376" s="37"/>
      <c r="G376" s="36"/>
      <c r="H376" s="34"/>
      <c r="I376" s="37">
        <f>SUM(S370:S375)</f>
        <v>33.99</v>
      </c>
      <c r="J376" s="34">
        <f>Source!CA329</f>
        <v>48</v>
      </c>
      <c r="K376" s="37">
        <f>SUM(T370:T375)</f>
        <v>557.4</v>
      </c>
    </row>
    <row r="377" spans="1:35" ht="14.25" x14ac:dyDescent="0.2">
      <c r="A377" s="40"/>
      <c r="B377" s="40"/>
      <c r="C377" s="40" t="s">
        <v>745</v>
      </c>
      <c r="D377" s="41" t="s">
        <v>746</v>
      </c>
      <c r="E377" s="42">
        <f>Source!AQ329</f>
        <v>5.25</v>
      </c>
      <c r="F377" s="43"/>
      <c r="G377" s="44" t="str">
        <f>Source!DI329</f>
        <v>*1,05</v>
      </c>
      <c r="H377" s="42">
        <f>Source!AV329</f>
        <v>1</v>
      </c>
      <c r="I377" s="43">
        <f>Source!U329</f>
        <v>3.0098250000000002</v>
      </c>
      <c r="J377" s="42"/>
      <c r="K377" s="43"/>
      <c r="AB377" s="39">
        <f>I377</f>
        <v>3.0098250000000002</v>
      </c>
    </row>
    <row r="378" spans="1:35" ht="15" x14ac:dyDescent="0.25">
      <c r="C378" s="23" t="s">
        <v>747</v>
      </c>
      <c r="H378" s="45">
        <f>I372+I373+I375+I376+SUM(I374:I374)</f>
        <v>295.69</v>
      </c>
      <c r="I378" s="45"/>
      <c r="J378" s="45">
        <f>K372+K373+K375+K376+SUM(K374:K374)</f>
        <v>3536.53</v>
      </c>
      <c r="K378" s="45"/>
      <c r="O378" s="39">
        <f>I372+I373+I375+I376+SUM(I374:I374)</f>
        <v>295.69</v>
      </c>
      <c r="P378" s="39">
        <f>K372+K373+K375+K376+SUM(K374:K374)</f>
        <v>3536.53</v>
      </c>
      <c r="X378">
        <f>IF(Source!BI329&lt;=1,I372+I373+I375+I376-0, 0)</f>
        <v>169.17000000000002</v>
      </c>
      <c r="Y378">
        <f>IF(Source!BI329=2,I372+I373+I375+I376-0, 0)</f>
        <v>0</v>
      </c>
      <c r="Z378">
        <f>IF(Source!BI329=3,I372+I373+I375+I376-0, 0)</f>
        <v>0</v>
      </c>
      <c r="AA378">
        <f>IF(Source!BI329=4,I372+I373+I375+I376,0)</f>
        <v>0</v>
      </c>
    </row>
    <row r="381" spans="1:35" ht="15" x14ac:dyDescent="0.25">
      <c r="A381" s="49" t="str">
        <f>CONCATENATE("Итого по подразделу: ",IF(Source!G333&lt;&gt;"Новый подраздел", Source!G333, ""))</f>
        <v>Итого по подразделу: Газон</v>
      </c>
      <c r="B381" s="49"/>
      <c r="C381" s="49"/>
      <c r="D381" s="49"/>
      <c r="E381" s="49"/>
      <c r="F381" s="49"/>
      <c r="G381" s="49"/>
      <c r="H381" s="48">
        <f>SUM(O339:O380)</f>
        <v>1685.2300000000002</v>
      </c>
      <c r="I381" s="47"/>
      <c r="J381" s="48">
        <f>SUM(P339:P380)</f>
        <v>22553.189999999995</v>
      </c>
      <c r="K381" s="47"/>
    </row>
    <row r="382" spans="1:35" hidden="1" x14ac:dyDescent="0.2">
      <c r="A382" t="s">
        <v>755</v>
      </c>
      <c r="H382">
        <f>SUM(AC339:AC381)</f>
        <v>0</v>
      </c>
      <c r="J382">
        <f>SUM(AD339:AD381)</f>
        <v>0</v>
      </c>
    </row>
    <row r="383" spans="1:35" hidden="1" x14ac:dyDescent="0.2">
      <c r="A383" t="s">
        <v>756</v>
      </c>
      <c r="H383">
        <f>SUM(AE339:AE382)</f>
        <v>0</v>
      </c>
      <c r="J383">
        <f>SUM(AF339:AF382)</f>
        <v>0</v>
      </c>
    </row>
    <row r="385" spans="1:11" ht="16.5" x14ac:dyDescent="0.25">
      <c r="A385" s="32" t="str">
        <f>CONCATENATE("Подраздел: ",IF(Source!G363&lt;&gt;"Новый подраздел", Source!G363, ""))</f>
        <v>Подраздел: Тротуарная плитка</v>
      </c>
      <c r="B385" s="32"/>
      <c r="C385" s="32"/>
      <c r="D385" s="32"/>
      <c r="E385" s="32"/>
      <c r="F385" s="32"/>
      <c r="G385" s="32"/>
      <c r="H385" s="32"/>
      <c r="I385" s="32"/>
      <c r="J385" s="32"/>
      <c r="K385" s="32"/>
    </row>
    <row r="387" spans="1:11" ht="15" x14ac:dyDescent="0.25">
      <c r="A387" s="49" t="str">
        <f>CONCATENATE("Итого по подразделу: ",IF(Source!G394&lt;&gt;"Новый подраздел", Source!G394, ""))</f>
        <v>Итого по подразделу: Тротуарная плитка</v>
      </c>
      <c r="B387" s="49"/>
      <c r="C387" s="49"/>
      <c r="D387" s="49"/>
      <c r="E387" s="49"/>
      <c r="F387" s="49"/>
      <c r="G387" s="49"/>
      <c r="H387" s="48">
        <f>SUM(O385:O386)</f>
        <v>0</v>
      </c>
      <c r="I387" s="47"/>
      <c r="J387" s="48">
        <f>SUM(P385:P386)</f>
        <v>0</v>
      </c>
      <c r="K387" s="47"/>
    </row>
    <row r="388" spans="1:11" hidden="1" x14ac:dyDescent="0.2">
      <c r="A388" t="s">
        <v>755</v>
      </c>
      <c r="H388">
        <f>SUM(AC385:AC387)</f>
        <v>0</v>
      </c>
      <c r="J388">
        <f>SUM(AD385:AD387)</f>
        <v>0</v>
      </c>
    </row>
    <row r="389" spans="1:11" hidden="1" x14ac:dyDescent="0.2">
      <c r="A389" t="s">
        <v>756</v>
      </c>
      <c r="H389">
        <f>SUM(AE385:AE388)</f>
        <v>0</v>
      </c>
      <c r="J389">
        <f>SUM(AF385:AF388)</f>
        <v>0</v>
      </c>
    </row>
    <row r="391" spans="1:11" ht="15" x14ac:dyDescent="0.25">
      <c r="A391" s="49" t="str">
        <f>CONCATENATE("Итого по разделу: ",IF(Source!G424&lt;&gt;"Новый раздел", Source!G424, ""))</f>
        <v>Итого по разделу: Благоустройство</v>
      </c>
      <c r="B391" s="49"/>
      <c r="C391" s="49"/>
      <c r="D391" s="49"/>
      <c r="E391" s="49"/>
      <c r="F391" s="49"/>
      <c r="G391" s="49"/>
      <c r="H391" s="48">
        <f>SUM(O209:O390)</f>
        <v>5795.2599999999993</v>
      </c>
      <c r="I391" s="47"/>
      <c r="J391" s="48">
        <f>SUM(P209:P390)</f>
        <v>83578.5</v>
      </c>
      <c r="K391" s="47"/>
    </row>
    <row r="392" spans="1:11" hidden="1" x14ac:dyDescent="0.2">
      <c r="A392" t="s">
        <v>755</v>
      </c>
      <c r="H392">
        <f>SUM(AC209:AC391)</f>
        <v>0</v>
      </c>
      <c r="J392">
        <f>SUM(AD209:AD391)</f>
        <v>0</v>
      </c>
    </row>
    <row r="393" spans="1:11" hidden="1" x14ac:dyDescent="0.2">
      <c r="A393" t="s">
        <v>756</v>
      </c>
      <c r="H393">
        <f>SUM(AE209:AE392)</f>
        <v>0</v>
      </c>
      <c r="J393">
        <f>SUM(AF209:AF392)</f>
        <v>0</v>
      </c>
    </row>
    <row r="395" spans="1:11" ht="15" x14ac:dyDescent="0.25">
      <c r="A395" s="49" t="str">
        <f>CONCATENATE("Итого по локальной смете: ",IF(Source!G454&lt;&gt;"Новая локальная смета", Source!G454, ""))</f>
        <v>Итого по локальной смете: Строительство КЛ 10 кВ</v>
      </c>
      <c r="B395" s="49"/>
      <c r="C395" s="49"/>
      <c r="D395" s="49"/>
      <c r="E395" s="49"/>
      <c r="F395" s="49"/>
      <c r="G395" s="49"/>
      <c r="H395" s="48">
        <f>SUM(O29:O394)</f>
        <v>34552.920000000006</v>
      </c>
      <c r="I395" s="47"/>
      <c r="J395" s="48">
        <f>SUM(P29:P394)</f>
        <v>359123.94000000006</v>
      </c>
      <c r="K395" s="47"/>
    </row>
    <row r="396" spans="1:11" hidden="1" x14ac:dyDescent="0.2">
      <c r="A396" t="s">
        <v>755</v>
      </c>
      <c r="H396">
        <f>SUM(AC29:AC395)</f>
        <v>0</v>
      </c>
      <c r="J396">
        <f>SUM(AD29:AD395)</f>
        <v>0</v>
      </c>
    </row>
    <row r="397" spans="1:11" hidden="1" x14ac:dyDescent="0.2">
      <c r="A397" t="s">
        <v>756</v>
      </c>
      <c r="H397">
        <f>SUM(AE29:AE396)</f>
        <v>0</v>
      </c>
      <c r="J397">
        <f>SUM(AF29:AF396)</f>
        <v>0</v>
      </c>
    </row>
    <row r="399" spans="1:11" hidden="1" x14ac:dyDescent="0.2">
      <c r="A399" t="s">
        <v>755</v>
      </c>
      <c r="H399">
        <f>SUM(AC1:AC398)</f>
        <v>0</v>
      </c>
      <c r="J399">
        <f>SUM(AD1:AD398)</f>
        <v>0</v>
      </c>
    </row>
    <row r="400" spans="1:11" hidden="1" x14ac:dyDescent="0.2">
      <c r="A400" t="s">
        <v>756</v>
      </c>
      <c r="H400">
        <f>SUM(AE1:AE399)</f>
        <v>0</v>
      </c>
      <c r="J400">
        <f>SUM(AF1:AF399)</f>
        <v>0</v>
      </c>
    </row>
    <row r="403" spans="1:11" ht="14.25" x14ac:dyDescent="0.2">
      <c r="A403" s="53" t="s">
        <v>781</v>
      </c>
      <c r="B403" s="53"/>
      <c r="C403" s="54" t="str">
        <f>IF(Source!AC12&lt;&gt;"", Source!AC12," ")</f>
        <v xml:space="preserve"> </v>
      </c>
      <c r="D403" s="54"/>
      <c r="E403" s="54"/>
      <c r="F403" s="54"/>
      <c r="G403" s="54"/>
      <c r="H403" s="24" t="str">
        <f>IF(Source!AB12&lt;&gt;"", Source!AB12," ")</f>
        <v xml:space="preserve"> </v>
      </c>
      <c r="I403" s="24"/>
      <c r="J403" s="24"/>
      <c r="K403" s="24"/>
    </row>
    <row r="404" spans="1:11" ht="14.25" x14ac:dyDescent="0.2">
      <c r="A404" s="11"/>
      <c r="B404" s="11"/>
      <c r="C404" s="13" t="s">
        <v>782</v>
      </c>
      <c r="D404" s="13"/>
      <c r="E404" s="13"/>
      <c r="F404" s="13"/>
      <c r="G404" s="13"/>
      <c r="H404" s="11"/>
      <c r="I404" s="11"/>
      <c r="J404" s="11"/>
      <c r="K404" s="11"/>
    </row>
    <row r="405" spans="1:11" ht="14.25" x14ac:dyDescent="0.2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</row>
    <row r="406" spans="1:11" ht="14.25" x14ac:dyDescent="0.2">
      <c r="A406" s="53" t="s">
        <v>783</v>
      </c>
      <c r="B406" s="53"/>
      <c r="C406" s="54" t="str">
        <f>IF(Source!AE12&lt;&gt;"", Source!AE12," ")</f>
        <v xml:space="preserve"> </v>
      </c>
      <c r="D406" s="54"/>
      <c r="E406" s="54"/>
      <c r="F406" s="54"/>
      <c r="G406" s="54"/>
      <c r="H406" s="24" t="str">
        <f>IF(Source!AD12&lt;&gt;"", Source!AD12," ")</f>
        <v xml:space="preserve"> </v>
      </c>
      <c r="I406" s="24"/>
      <c r="J406" s="24"/>
      <c r="K406" s="24"/>
    </row>
    <row r="407" spans="1:11" ht="14.25" x14ac:dyDescent="0.2">
      <c r="A407" s="11"/>
      <c r="B407" s="11"/>
      <c r="C407" s="13" t="s">
        <v>782</v>
      </c>
      <c r="D407" s="13"/>
      <c r="E407" s="13"/>
      <c r="F407" s="13"/>
      <c r="G407" s="13"/>
      <c r="H407" s="11"/>
      <c r="I407" s="11"/>
      <c r="J407" s="11"/>
      <c r="K407" s="11"/>
    </row>
  </sheetData>
  <mergeCells count="116">
    <mergeCell ref="A406:B406"/>
    <mergeCell ref="H406:K406"/>
    <mergeCell ref="C407:G407"/>
    <mergeCell ref="A403:B403"/>
    <mergeCell ref="H403:K403"/>
    <mergeCell ref="C404:G404"/>
    <mergeCell ref="J391:K391"/>
    <mergeCell ref="H391:I391"/>
    <mergeCell ref="A391:G391"/>
    <mergeCell ref="J395:K395"/>
    <mergeCell ref="H395:I395"/>
    <mergeCell ref="A395:G395"/>
    <mergeCell ref="J381:K381"/>
    <mergeCell ref="H381:I381"/>
    <mergeCell ref="A381:G381"/>
    <mergeCell ref="A385:K385"/>
    <mergeCell ref="J387:K387"/>
    <mergeCell ref="H387:I387"/>
    <mergeCell ref="A387:G387"/>
    <mergeCell ref="H359:I359"/>
    <mergeCell ref="J359:K359"/>
    <mergeCell ref="H368:I368"/>
    <mergeCell ref="J368:K368"/>
    <mergeCell ref="H378:I378"/>
    <mergeCell ref="J378:K378"/>
    <mergeCell ref="J335:K335"/>
    <mergeCell ref="H335:I335"/>
    <mergeCell ref="A335:G335"/>
    <mergeCell ref="A339:K339"/>
    <mergeCell ref="H350:I350"/>
    <mergeCell ref="J350:K350"/>
    <mergeCell ref="H326:I326"/>
    <mergeCell ref="J326:K326"/>
    <mergeCell ref="J329:K329"/>
    <mergeCell ref="H329:I329"/>
    <mergeCell ref="A329:G329"/>
    <mergeCell ref="A333:K333"/>
    <mergeCell ref="H288:I288"/>
    <mergeCell ref="J288:K288"/>
    <mergeCell ref="H301:I301"/>
    <mergeCell ref="J301:K301"/>
    <mergeCell ref="H313:I313"/>
    <mergeCell ref="J313:K313"/>
    <mergeCell ref="H252:I252"/>
    <mergeCell ref="J252:K252"/>
    <mergeCell ref="H265:I265"/>
    <mergeCell ref="J265:K265"/>
    <mergeCell ref="H275:I275"/>
    <mergeCell ref="J275:K275"/>
    <mergeCell ref="A211:K211"/>
    <mergeCell ref="H221:I221"/>
    <mergeCell ref="J221:K221"/>
    <mergeCell ref="H232:I232"/>
    <mergeCell ref="J232:K232"/>
    <mergeCell ref="H239:I239"/>
    <mergeCell ref="J239:K239"/>
    <mergeCell ref="H202:I202"/>
    <mergeCell ref="J202:K202"/>
    <mergeCell ref="J205:K205"/>
    <mergeCell ref="H205:I205"/>
    <mergeCell ref="A205:G205"/>
    <mergeCell ref="A209:K209"/>
    <mergeCell ref="H166:I166"/>
    <mergeCell ref="J166:K166"/>
    <mergeCell ref="H178:I178"/>
    <mergeCell ref="J178:K178"/>
    <mergeCell ref="H190:I190"/>
    <mergeCell ref="J190:K190"/>
    <mergeCell ref="H138:I138"/>
    <mergeCell ref="J138:K138"/>
    <mergeCell ref="H150:I150"/>
    <mergeCell ref="J150:K150"/>
    <mergeCell ref="H154:I154"/>
    <mergeCell ref="J154:K154"/>
    <mergeCell ref="H112:I112"/>
    <mergeCell ref="J112:K112"/>
    <mergeCell ref="H123:I123"/>
    <mergeCell ref="J123:K123"/>
    <mergeCell ref="H126:I126"/>
    <mergeCell ref="J126:K126"/>
    <mergeCell ref="A76:G76"/>
    <mergeCell ref="A80:K80"/>
    <mergeCell ref="H90:I90"/>
    <mergeCell ref="J90:K90"/>
    <mergeCell ref="H101:I101"/>
    <mergeCell ref="J101:K101"/>
    <mergeCell ref="H66:I66"/>
    <mergeCell ref="J66:K66"/>
    <mergeCell ref="H73:I73"/>
    <mergeCell ref="J73:K73"/>
    <mergeCell ref="J76:K76"/>
    <mergeCell ref="H76:I76"/>
    <mergeCell ref="A29:K29"/>
    <mergeCell ref="H36:I36"/>
    <mergeCell ref="J36:K36"/>
    <mergeCell ref="H47:I47"/>
    <mergeCell ref="J47:K47"/>
    <mergeCell ref="H58:I58"/>
    <mergeCell ref="J58:K58"/>
    <mergeCell ref="E20:H20"/>
    <mergeCell ref="E21:H21"/>
    <mergeCell ref="E22:H22"/>
    <mergeCell ref="A25:K25"/>
    <mergeCell ref="J2:K2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72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54DFF-4F65-4EA4-890D-72229DFCD084}">
  <dimension ref="A1:IU525"/>
  <sheetViews>
    <sheetView workbookViewId="0">
      <selection activeCell="G13" sqref="G13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75112</v>
      </c>
      <c r="M1">
        <v>10</v>
      </c>
      <c r="N1">
        <v>11</v>
      </c>
      <c r="O1">
        <v>15</v>
      </c>
      <c r="P1">
        <v>0</v>
      </c>
      <c r="Q1">
        <v>1</v>
      </c>
    </row>
    <row r="12" spans="1:133" x14ac:dyDescent="0.2">
      <c r="A12" s="1">
        <v>1</v>
      </c>
      <c r="B12" s="1">
        <v>519</v>
      </c>
      <c r="C12" s="1">
        <v>1</v>
      </c>
      <c r="D12" s="1">
        <f>ROW(A484)</f>
        <v>484</v>
      </c>
      <c r="E12" s="1">
        <v>0</v>
      </c>
      <c r="F12" s="1" t="s">
        <v>4</v>
      </c>
      <c r="G12" s="55" t="s">
        <v>785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175</v>
      </c>
      <c r="S12" s="1">
        <v>160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8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10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79</v>
      </c>
      <c r="CL12" s="1"/>
      <c r="CM12" s="1"/>
      <c r="CN12" s="1"/>
      <c r="CO12" s="1"/>
      <c r="CP12" s="1"/>
      <c r="CQ12" s="1" t="s">
        <v>11</v>
      </c>
      <c r="CR12" s="1" t="s">
        <v>12</v>
      </c>
      <c r="CS12" s="1">
        <v>41660</v>
      </c>
      <c r="CT12" s="1">
        <v>1</v>
      </c>
      <c r="CU12" s="1">
        <v>73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x14ac:dyDescent="0.2">
      <c r="A18" s="3">
        <v>52</v>
      </c>
      <c r="B18" s="3">
        <f t="shared" ref="B18:G18" si="0">B484</f>
        <v>519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>02-01-01 КЛ - 10 кВ траншея</v>
      </c>
      <c r="G18" s="3" t="str">
        <f t="shared" si="0"/>
        <v xml:space="preserve">02-01-01 </v>
      </c>
      <c r="H18" s="3"/>
      <c r="I18" s="3"/>
      <c r="J18" s="3"/>
      <c r="K18" s="3"/>
      <c r="L18" s="3"/>
      <c r="M18" s="3"/>
      <c r="N18" s="3"/>
      <c r="O18" s="3">
        <f t="shared" ref="O18:AT18" si="1">O484</f>
        <v>32252.82</v>
      </c>
      <c r="P18" s="3">
        <f t="shared" si="1"/>
        <v>30165.58</v>
      </c>
      <c r="Q18" s="3">
        <f t="shared" si="1"/>
        <v>1076.1500000000001</v>
      </c>
      <c r="R18" s="3">
        <f t="shared" si="1"/>
        <v>131.63999999999999</v>
      </c>
      <c r="S18" s="3">
        <f t="shared" si="1"/>
        <v>1011.09</v>
      </c>
      <c r="T18" s="3">
        <f t="shared" si="1"/>
        <v>0</v>
      </c>
      <c r="U18" s="3">
        <f t="shared" si="1"/>
        <v>87.630625511079998</v>
      </c>
      <c r="V18" s="3">
        <f t="shared" si="1"/>
        <v>0</v>
      </c>
      <c r="W18" s="3">
        <f t="shared" si="1"/>
        <v>0</v>
      </c>
      <c r="X18" s="3">
        <f t="shared" si="1"/>
        <v>1277.81</v>
      </c>
      <c r="Y18" s="3">
        <f t="shared" si="1"/>
        <v>791.88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0</v>
      </c>
      <c r="AQ18" s="3">
        <f t="shared" si="1"/>
        <v>0</v>
      </c>
      <c r="AR18" s="3">
        <f t="shared" si="1"/>
        <v>34552.92</v>
      </c>
      <c r="AS18" s="3">
        <f t="shared" si="1"/>
        <v>6770.74</v>
      </c>
      <c r="AT18" s="3">
        <f t="shared" si="1"/>
        <v>27782.18</v>
      </c>
      <c r="AU18" s="3">
        <f t="shared" ref="AU18:BZ18" si="2">AU484</f>
        <v>0</v>
      </c>
      <c r="AV18" s="3">
        <f t="shared" si="2"/>
        <v>30165.58</v>
      </c>
      <c r="AW18" s="3">
        <f t="shared" si="2"/>
        <v>30165.58</v>
      </c>
      <c r="AX18" s="3">
        <f t="shared" si="2"/>
        <v>0</v>
      </c>
      <c r="AY18" s="3">
        <f t="shared" si="2"/>
        <v>30165.58</v>
      </c>
      <c r="AZ18" s="3">
        <f t="shared" si="2"/>
        <v>0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CA484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DG484</f>
        <v>303069.08</v>
      </c>
      <c r="DH18" s="4">
        <f t="shared" si="4"/>
        <v>254724.46</v>
      </c>
      <c r="DI18" s="4">
        <f t="shared" si="4"/>
        <v>13451.9</v>
      </c>
      <c r="DJ18" s="4">
        <f t="shared" si="4"/>
        <v>4542.8999999999996</v>
      </c>
      <c r="DK18" s="4">
        <f t="shared" si="4"/>
        <v>34892.720000000001</v>
      </c>
      <c r="DL18" s="4">
        <f t="shared" si="4"/>
        <v>0</v>
      </c>
      <c r="DM18" s="4">
        <f t="shared" si="4"/>
        <v>87.630625511079998</v>
      </c>
      <c r="DN18" s="4">
        <f t="shared" si="4"/>
        <v>0</v>
      </c>
      <c r="DO18" s="4">
        <f t="shared" si="4"/>
        <v>0</v>
      </c>
      <c r="DP18" s="4">
        <f t="shared" si="4"/>
        <v>33297.11</v>
      </c>
      <c r="DQ18" s="4">
        <f t="shared" si="4"/>
        <v>15489.13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0</v>
      </c>
      <c r="EI18" s="4">
        <f t="shared" si="4"/>
        <v>0</v>
      </c>
      <c r="EJ18" s="4">
        <f t="shared" si="4"/>
        <v>359123.94</v>
      </c>
      <c r="EK18" s="4">
        <f t="shared" si="4"/>
        <v>99859.22</v>
      </c>
      <c r="EL18" s="4">
        <f t="shared" si="4"/>
        <v>259264.72</v>
      </c>
      <c r="EM18" s="4">
        <f t="shared" ref="EM18:FR18" si="5">EM484</f>
        <v>0</v>
      </c>
      <c r="EN18" s="4">
        <f t="shared" si="5"/>
        <v>254724.46</v>
      </c>
      <c r="EO18" s="4">
        <f t="shared" si="5"/>
        <v>254724.46</v>
      </c>
      <c r="EP18" s="4">
        <f t="shared" si="5"/>
        <v>0</v>
      </c>
      <c r="EQ18" s="4">
        <f t="shared" si="5"/>
        <v>254724.46</v>
      </c>
      <c r="ER18" s="4">
        <f t="shared" si="5"/>
        <v>0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FS484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x14ac:dyDescent="0.2">
      <c r="A20" s="1">
        <v>3</v>
      </c>
      <c r="B20" s="1">
        <v>1</v>
      </c>
      <c r="C20" s="1"/>
      <c r="D20" s="1">
        <f>ROW(A454)</f>
        <v>454</v>
      </c>
      <c r="E20" s="1"/>
      <c r="F20" s="1" t="s">
        <v>13</v>
      </c>
      <c r="G20" s="1" t="s">
        <v>14</v>
      </c>
      <c r="H20" s="1" t="s">
        <v>3</v>
      </c>
      <c r="I20" s="1">
        <v>0</v>
      </c>
      <c r="J20" s="1" t="s">
        <v>3</v>
      </c>
      <c r="K20" s="1">
        <v>-1</v>
      </c>
      <c r="L20" s="1" t="s">
        <v>13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x14ac:dyDescent="0.2">
      <c r="A22" s="3">
        <v>52</v>
      </c>
      <c r="B22" s="3">
        <f t="shared" ref="B22:G22" si="7">B454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Новая локальная смета</v>
      </c>
      <c r="G22" s="3" t="str">
        <f t="shared" si="7"/>
        <v>Строительство КЛ 10 кВ</v>
      </c>
      <c r="H22" s="3"/>
      <c r="I22" s="3"/>
      <c r="J22" s="3"/>
      <c r="K22" s="3"/>
      <c r="L22" s="3"/>
      <c r="M22" s="3"/>
      <c r="N22" s="3"/>
      <c r="O22" s="3">
        <f t="shared" ref="O22:AT22" si="8">O454</f>
        <v>32252.82</v>
      </c>
      <c r="P22" s="3">
        <f t="shared" si="8"/>
        <v>30165.58</v>
      </c>
      <c r="Q22" s="3">
        <f t="shared" si="8"/>
        <v>1076.1500000000001</v>
      </c>
      <c r="R22" s="3">
        <f t="shared" si="8"/>
        <v>131.63999999999999</v>
      </c>
      <c r="S22" s="3">
        <f t="shared" si="8"/>
        <v>1011.09</v>
      </c>
      <c r="T22" s="3">
        <f t="shared" si="8"/>
        <v>0</v>
      </c>
      <c r="U22" s="3">
        <f t="shared" si="8"/>
        <v>87.630625511079998</v>
      </c>
      <c r="V22" s="3">
        <f t="shared" si="8"/>
        <v>0</v>
      </c>
      <c r="W22" s="3">
        <f t="shared" si="8"/>
        <v>0</v>
      </c>
      <c r="X22" s="3">
        <f t="shared" si="8"/>
        <v>1277.81</v>
      </c>
      <c r="Y22" s="3">
        <f t="shared" si="8"/>
        <v>791.88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0</v>
      </c>
      <c r="AQ22" s="3">
        <f t="shared" si="8"/>
        <v>0</v>
      </c>
      <c r="AR22" s="3">
        <f t="shared" si="8"/>
        <v>34552.92</v>
      </c>
      <c r="AS22" s="3">
        <f t="shared" si="8"/>
        <v>6770.74</v>
      </c>
      <c r="AT22" s="3">
        <f t="shared" si="8"/>
        <v>27782.18</v>
      </c>
      <c r="AU22" s="3">
        <f t="shared" ref="AU22:BZ22" si="9">AU454</f>
        <v>0</v>
      </c>
      <c r="AV22" s="3">
        <f t="shared" si="9"/>
        <v>30165.58</v>
      </c>
      <c r="AW22" s="3">
        <f t="shared" si="9"/>
        <v>30165.58</v>
      </c>
      <c r="AX22" s="3">
        <f t="shared" si="9"/>
        <v>0</v>
      </c>
      <c r="AY22" s="3">
        <f t="shared" si="9"/>
        <v>30165.58</v>
      </c>
      <c r="AZ22" s="3">
        <f t="shared" si="9"/>
        <v>0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CA454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DG454</f>
        <v>303069.08</v>
      </c>
      <c r="DH22" s="4">
        <f t="shared" si="11"/>
        <v>254724.46</v>
      </c>
      <c r="DI22" s="4">
        <f t="shared" si="11"/>
        <v>13451.9</v>
      </c>
      <c r="DJ22" s="4">
        <f t="shared" si="11"/>
        <v>4542.8999999999996</v>
      </c>
      <c r="DK22" s="4">
        <f t="shared" si="11"/>
        <v>34892.720000000001</v>
      </c>
      <c r="DL22" s="4">
        <f t="shared" si="11"/>
        <v>0</v>
      </c>
      <c r="DM22" s="4">
        <f t="shared" si="11"/>
        <v>87.630625511079998</v>
      </c>
      <c r="DN22" s="4">
        <f t="shared" si="11"/>
        <v>0</v>
      </c>
      <c r="DO22" s="4">
        <f t="shared" si="11"/>
        <v>0</v>
      </c>
      <c r="DP22" s="4">
        <f t="shared" si="11"/>
        <v>33297.11</v>
      </c>
      <c r="DQ22" s="4">
        <f t="shared" si="11"/>
        <v>15489.13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0</v>
      </c>
      <c r="EI22" s="4">
        <f t="shared" si="11"/>
        <v>0</v>
      </c>
      <c r="EJ22" s="4">
        <f t="shared" si="11"/>
        <v>359123.94</v>
      </c>
      <c r="EK22" s="4">
        <f t="shared" si="11"/>
        <v>99859.22</v>
      </c>
      <c r="EL22" s="4">
        <f t="shared" si="11"/>
        <v>259264.72</v>
      </c>
      <c r="EM22" s="4">
        <f t="shared" ref="EM22:FR22" si="12">EM454</f>
        <v>0</v>
      </c>
      <c r="EN22" s="4">
        <f t="shared" si="12"/>
        <v>254724.46</v>
      </c>
      <c r="EO22" s="4">
        <f t="shared" si="12"/>
        <v>254724.46</v>
      </c>
      <c r="EP22" s="4">
        <f t="shared" si="12"/>
        <v>0</v>
      </c>
      <c r="EQ22" s="4">
        <f t="shared" si="12"/>
        <v>254724.46</v>
      </c>
      <c r="ER22" s="4">
        <f t="shared" si="12"/>
        <v>0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FS454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x14ac:dyDescent="0.2">
      <c r="A24" s="1">
        <v>4</v>
      </c>
      <c r="B24" s="1">
        <v>1</v>
      </c>
      <c r="C24" s="1"/>
      <c r="D24" s="1">
        <f>ROW(A59)</f>
        <v>59</v>
      </c>
      <c r="E24" s="1"/>
      <c r="F24" s="1" t="s">
        <v>15</v>
      </c>
      <c r="G24" s="1" t="s">
        <v>16</v>
      </c>
      <c r="H24" s="1" t="s">
        <v>3</v>
      </c>
      <c r="I24" s="1">
        <v>0</v>
      </c>
      <c r="J24" s="1"/>
      <c r="K24" s="1">
        <v>0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x14ac:dyDescent="0.2">
      <c r="A26" s="3">
        <v>52</v>
      </c>
      <c r="B26" s="3">
        <f t="shared" ref="B26:G26" si="14">B59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>Новый раздел</v>
      </c>
      <c r="G26" s="3" t="str">
        <f t="shared" si="14"/>
        <v>Земляные работы</v>
      </c>
      <c r="H26" s="3"/>
      <c r="I26" s="3"/>
      <c r="J26" s="3"/>
      <c r="K26" s="3"/>
      <c r="L26" s="3"/>
      <c r="M26" s="3"/>
      <c r="N26" s="3"/>
      <c r="O26" s="3">
        <f t="shared" ref="O26:AT26" si="15">O59</f>
        <v>266.14</v>
      </c>
      <c r="P26" s="3">
        <f t="shared" si="15"/>
        <v>0</v>
      </c>
      <c r="Q26" s="3">
        <f t="shared" si="15"/>
        <v>132.32</v>
      </c>
      <c r="R26" s="3">
        <f t="shared" si="15"/>
        <v>13.08</v>
      </c>
      <c r="S26" s="3">
        <f t="shared" si="15"/>
        <v>133.82</v>
      </c>
      <c r="T26" s="3">
        <f t="shared" si="15"/>
        <v>0</v>
      </c>
      <c r="U26" s="3">
        <f t="shared" si="15"/>
        <v>12.880665698880001</v>
      </c>
      <c r="V26" s="3">
        <f t="shared" si="15"/>
        <v>0</v>
      </c>
      <c r="W26" s="3">
        <f t="shared" si="15"/>
        <v>0</v>
      </c>
      <c r="X26" s="3">
        <f t="shared" si="15"/>
        <v>140.34</v>
      </c>
      <c r="Y26" s="3">
        <f t="shared" si="15"/>
        <v>103.04</v>
      </c>
      <c r="Z26" s="3">
        <f t="shared" si="15"/>
        <v>0</v>
      </c>
      <c r="AA26" s="3">
        <f t="shared" si="15"/>
        <v>0</v>
      </c>
      <c r="AB26" s="3">
        <f t="shared" si="15"/>
        <v>266.14</v>
      </c>
      <c r="AC26" s="3">
        <f t="shared" si="15"/>
        <v>0</v>
      </c>
      <c r="AD26" s="3">
        <f t="shared" si="15"/>
        <v>132.32</v>
      </c>
      <c r="AE26" s="3">
        <f t="shared" si="15"/>
        <v>13.08</v>
      </c>
      <c r="AF26" s="3">
        <f t="shared" si="15"/>
        <v>133.82</v>
      </c>
      <c r="AG26" s="3">
        <f t="shared" si="15"/>
        <v>0</v>
      </c>
      <c r="AH26" s="3">
        <f t="shared" si="15"/>
        <v>12.880665698880001</v>
      </c>
      <c r="AI26" s="3">
        <f t="shared" si="15"/>
        <v>0</v>
      </c>
      <c r="AJ26" s="3">
        <f t="shared" si="15"/>
        <v>0</v>
      </c>
      <c r="AK26" s="3">
        <f t="shared" si="15"/>
        <v>140.34</v>
      </c>
      <c r="AL26" s="3">
        <f t="shared" si="15"/>
        <v>103.04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0</v>
      </c>
      <c r="AQ26" s="3">
        <f t="shared" si="15"/>
        <v>0</v>
      </c>
      <c r="AR26" s="3">
        <f t="shared" si="15"/>
        <v>532.41999999999996</v>
      </c>
      <c r="AS26" s="3">
        <f t="shared" si="15"/>
        <v>532.41999999999996</v>
      </c>
      <c r="AT26" s="3">
        <f t="shared" si="15"/>
        <v>0</v>
      </c>
      <c r="AU26" s="3">
        <f t="shared" ref="AU26:BZ26" si="16">AU59</f>
        <v>0</v>
      </c>
      <c r="AV26" s="3">
        <f t="shared" si="16"/>
        <v>0</v>
      </c>
      <c r="AW26" s="3">
        <f t="shared" si="16"/>
        <v>0</v>
      </c>
      <c r="AX26" s="3">
        <f t="shared" si="16"/>
        <v>0</v>
      </c>
      <c r="AY26" s="3">
        <f t="shared" si="16"/>
        <v>0</v>
      </c>
      <c r="AZ26" s="3">
        <f t="shared" si="16"/>
        <v>0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0</v>
      </c>
      <c r="BZ26" s="3">
        <f t="shared" si="16"/>
        <v>0</v>
      </c>
      <c r="CA26" s="3">
        <f t="shared" ref="CA26:DF26" si="17">CA59</f>
        <v>532.41999999999996</v>
      </c>
      <c r="CB26" s="3">
        <f t="shared" si="17"/>
        <v>532.41999999999996</v>
      </c>
      <c r="CC26" s="3">
        <f t="shared" si="17"/>
        <v>0</v>
      </c>
      <c r="CD26" s="3">
        <f t="shared" si="17"/>
        <v>0</v>
      </c>
      <c r="CE26" s="3">
        <f t="shared" si="17"/>
        <v>0</v>
      </c>
      <c r="CF26" s="3">
        <f t="shared" si="17"/>
        <v>0</v>
      </c>
      <c r="CG26" s="3">
        <f t="shared" si="17"/>
        <v>0</v>
      </c>
      <c r="CH26" s="3">
        <f t="shared" si="17"/>
        <v>0</v>
      </c>
      <c r="CI26" s="3">
        <f t="shared" si="17"/>
        <v>0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DG59</f>
        <v>6226.15</v>
      </c>
      <c r="DH26" s="4">
        <f t="shared" si="18"/>
        <v>0</v>
      </c>
      <c r="DI26" s="4">
        <f t="shared" si="18"/>
        <v>1608.02</v>
      </c>
      <c r="DJ26" s="4">
        <f t="shared" si="18"/>
        <v>451.39</v>
      </c>
      <c r="DK26" s="4">
        <f t="shared" si="18"/>
        <v>4618.13</v>
      </c>
      <c r="DL26" s="4">
        <f t="shared" si="18"/>
        <v>0</v>
      </c>
      <c r="DM26" s="4">
        <f t="shared" si="18"/>
        <v>12.880665698880001</v>
      </c>
      <c r="DN26" s="4">
        <f t="shared" si="18"/>
        <v>0</v>
      </c>
      <c r="DO26" s="4">
        <f t="shared" si="18"/>
        <v>0</v>
      </c>
      <c r="DP26" s="4">
        <f t="shared" si="18"/>
        <v>4023.54</v>
      </c>
      <c r="DQ26" s="4">
        <f t="shared" si="18"/>
        <v>1901.68</v>
      </c>
      <c r="DR26" s="4">
        <f t="shared" si="18"/>
        <v>0</v>
      </c>
      <c r="DS26" s="4">
        <f t="shared" si="18"/>
        <v>0</v>
      </c>
      <c r="DT26" s="4">
        <f t="shared" si="18"/>
        <v>6226.15</v>
      </c>
      <c r="DU26" s="4">
        <f t="shared" si="18"/>
        <v>0</v>
      </c>
      <c r="DV26" s="4">
        <f t="shared" si="18"/>
        <v>1608.02</v>
      </c>
      <c r="DW26" s="4">
        <f t="shared" si="18"/>
        <v>451.39</v>
      </c>
      <c r="DX26" s="4">
        <f t="shared" si="18"/>
        <v>4618.13</v>
      </c>
      <c r="DY26" s="4">
        <f t="shared" si="18"/>
        <v>0</v>
      </c>
      <c r="DZ26" s="4">
        <f t="shared" si="18"/>
        <v>12.880665698880001</v>
      </c>
      <c r="EA26" s="4">
        <f t="shared" si="18"/>
        <v>0</v>
      </c>
      <c r="EB26" s="4">
        <f t="shared" si="18"/>
        <v>0</v>
      </c>
      <c r="EC26" s="4">
        <f t="shared" si="18"/>
        <v>4023.54</v>
      </c>
      <c r="ED26" s="4">
        <f t="shared" si="18"/>
        <v>1901.68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0</v>
      </c>
      <c r="EI26" s="4">
        <f t="shared" si="18"/>
        <v>0</v>
      </c>
      <c r="EJ26" s="4">
        <f t="shared" si="18"/>
        <v>12873.59</v>
      </c>
      <c r="EK26" s="4">
        <f t="shared" si="18"/>
        <v>12873.59</v>
      </c>
      <c r="EL26" s="4">
        <f t="shared" si="18"/>
        <v>0</v>
      </c>
      <c r="EM26" s="4">
        <f t="shared" ref="EM26:FR26" si="19">EM59</f>
        <v>0</v>
      </c>
      <c r="EN26" s="4">
        <f t="shared" si="19"/>
        <v>0</v>
      </c>
      <c r="EO26" s="4">
        <f t="shared" si="19"/>
        <v>0</v>
      </c>
      <c r="EP26" s="4">
        <f t="shared" si="19"/>
        <v>0</v>
      </c>
      <c r="EQ26" s="4">
        <f t="shared" si="19"/>
        <v>0</v>
      </c>
      <c r="ER26" s="4">
        <f t="shared" si="19"/>
        <v>0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0</v>
      </c>
      <c r="FR26" s="4">
        <f t="shared" si="19"/>
        <v>0</v>
      </c>
      <c r="FS26" s="4">
        <f t="shared" ref="FS26:GX26" si="20">FS59</f>
        <v>12873.59</v>
      </c>
      <c r="FT26" s="4">
        <f t="shared" si="20"/>
        <v>12873.59</v>
      </c>
      <c r="FU26" s="4">
        <f t="shared" si="20"/>
        <v>0</v>
      </c>
      <c r="FV26" s="4">
        <f t="shared" si="20"/>
        <v>0</v>
      </c>
      <c r="FW26" s="4">
        <f t="shared" si="20"/>
        <v>0</v>
      </c>
      <c r="FX26" s="4">
        <f t="shared" si="20"/>
        <v>0</v>
      </c>
      <c r="FY26" s="4">
        <f t="shared" si="20"/>
        <v>0</v>
      </c>
      <c r="FZ26" s="4">
        <f t="shared" si="20"/>
        <v>0</v>
      </c>
      <c r="GA26" s="4">
        <f t="shared" si="20"/>
        <v>0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2">
      <c r="A28" s="2">
        <v>17</v>
      </c>
      <c r="B28" s="2">
        <v>1</v>
      </c>
      <c r="C28" s="2"/>
      <c r="D28" s="2">
        <f>ROW(EtalonRes!A1)</f>
        <v>1</v>
      </c>
      <c r="E28" s="2" t="s">
        <v>17</v>
      </c>
      <c r="F28" s="2" t="s">
        <v>18</v>
      </c>
      <c r="G28" s="2" t="s">
        <v>19</v>
      </c>
      <c r="H28" s="2" t="s">
        <v>20</v>
      </c>
      <c r="I28" s="2">
        <f>ROUND(12.24*0.3/100,9)</f>
        <v>3.6720000000000003E-2</v>
      </c>
      <c r="J28" s="2">
        <v>0</v>
      </c>
      <c r="K28" s="2">
        <f>ROUND(12.24*0.3/100,9)</f>
        <v>3.6720000000000003E-2</v>
      </c>
      <c r="L28" s="2"/>
      <c r="M28" s="2"/>
      <c r="N28" s="2"/>
      <c r="O28" s="2">
        <f t="shared" ref="O28:O57" si="21">ROUND(CP28,2)</f>
        <v>98.29</v>
      </c>
      <c r="P28" s="2">
        <f t="shared" ref="P28:P57" si="22">ROUND((ROUND((AC28*AW28*I28),2)*BC28),2)</f>
        <v>0</v>
      </c>
      <c r="Q28" s="2">
        <f t="shared" ref="Q28:Q57" si="23">(ROUND((ROUND((((ET28*1.05))*AV28*I28),2)*BB28),2)+ROUND((ROUND(((AE28-((EU28*1.05)))*AV28*I28),2)*BS28),2))</f>
        <v>0</v>
      </c>
      <c r="R28" s="2">
        <f t="shared" ref="R28:R57" si="24">ROUND((ROUND((AE28*AV28*I28),2)*BS28),2)</f>
        <v>0</v>
      </c>
      <c r="S28" s="2">
        <f t="shared" ref="S28:S57" si="25">ROUND((ROUND((AF28*AV28*I28),2)*BA28),2)</f>
        <v>98.29</v>
      </c>
      <c r="T28" s="2">
        <f t="shared" ref="T28:T57" si="26">ROUND(CU28*I28,2)</f>
        <v>0</v>
      </c>
      <c r="U28" s="2">
        <f t="shared" ref="U28:U57" si="27">CV28*I28</f>
        <v>9.2723170176000007</v>
      </c>
      <c r="V28" s="2">
        <f t="shared" ref="V28:V57" si="28">CW28*I28</f>
        <v>0</v>
      </c>
      <c r="W28" s="2">
        <f t="shared" ref="W28:W57" si="29">ROUND(CX28*I28,2)</f>
        <v>0</v>
      </c>
      <c r="X28" s="2">
        <f t="shared" ref="X28:X57" si="30">ROUND(CY28,2)</f>
        <v>103.2</v>
      </c>
      <c r="Y28" s="2">
        <f t="shared" ref="Y28:Y57" si="31">ROUND(CZ28,2)</f>
        <v>75.680000000000007</v>
      </c>
      <c r="Z28" s="2"/>
      <c r="AA28" s="2">
        <v>56622490</v>
      </c>
      <c r="AB28" s="2">
        <f t="shared" ref="AB28:AB57" si="32">ROUND((AC28+AD28+AF28),6)</f>
        <v>2144.7510000000002</v>
      </c>
      <c r="AC28" s="2">
        <f t="shared" ref="AC28:AC57" si="33">ROUND((ES28),6)</f>
        <v>0</v>
      </c>
      <c r="AD28" s="2">
        <f t="shared" ref="AD28:AD57" si="34">ROUND(((((ET28*1.05))-((EU28*1.05)))+AE28),6)</f>
        <v>0</v>
      </c>
      <c r="AE28" s="2">
        <f t="shared" ref="AE28:AE57" si="35">ROUND(((EU28*1.05)),6)</f>
        <v>0</v>
      </c>
      <c r="AF28" s="2">
        <f t="shared" ref="AF28:AF57" si="36">ROUND(((EV28*1.05)),6)</f>
        <v>2144.7510000000002</v>
      </c>
      <c r="AG28" s="2">
        <f t="shared" ref="AG28:AG57" si="37">ROUND((AP28),6)</f>
        <v>0</v>
      </c>
      <c r="AH28" s="2">
        <f t="shared" ref="AH28:AH57" si="38">((EW28*1.05))</f>
        <v>202.33500000000001</v>
      </c>
      <c r="AI28" s="2">
        <f t="shared" ref="AI28:AI57" si="39">((EX28*1.05))</f>
        <v>0</v>
      </c>
      <c r="AJ28" s="2">
        <f t="shared" ref="AJ28:AJ57" si="40">(AS28)</f>
        <v>0</v>
      </c>
      <c r="AK28" s="2">
        <v>2042.62</v>
      </c>
      <c r="AL28" s="2">
        <v>0</v>
      </c>
      <c r="AM28" s="2">
        <v>0</v>
      </c>
      <c r="AN28" s="2">
        <v>0</v>
      </c>
      <c r="AO28" s="2">
        <v>2042.62</v>
      </c>
      <c r="AP28" s="2">
        <v>0</v>
      </c>
      <c r="AQ28" s="2">
        <v>192.7</v>
      </c>
      <c r="AR28" s="2">
        <v>0</v>
      </c>
      <c r="AS28" s="2">
        <v>0</v>
      </c>
      <c r="AT28" s="2">
        <v>105</v>
      </c>
      <c r="AU28" s="2">
        <v>77</v>
      </c>
      <c r="AV28" s="2">
        <v>1.248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1</v>
      </c>
      <c r="BJ28" s="2" t="s">
        <v>21</v>
      </c>
      <c r="BK28" s="2"/>
      <c r="BL28" s="2"/>
      <c r="BM28" s="2">
        <v>16</v>
      </c>
      <c r="BN28" s="2">
        <v>0</v>
      </c>
      <c r="BO28" s="2" t="s">
        <v>3</v>
      </c>
      <c r="BP28" s="2">
        <v>0</v>
      </c>
      <c r="BQ28" s="2">
        <v>30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105</v>
      </c>
      <c r="CA28" s="2">
        <v>77</v>
      </c>
      <c r="CB28" s="2" t="s">
        <v>3</v>
      </c>
      <c r="CC28" s="2"/>
      <c r="CD28" s="2"/>
      <c r="CE28" s="2">
        <v>30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708</v>
      </c>
      <c r="CO28" s="2">
        <v>0</v>
      </c>
      <c r="CP28" s="2">
        <f t="shared" ref="CP28:CP57" si="41">(P28+Q28+S28)</f>
        <v>98.29</v>
      </c>
      <c r="CQ28" s="2">
        <f t="shared" ref="CQ28:CQ57" si="42">ROUND((ROUND((AC28*AW28*1),2)*BC28),2)</f>
        <v>0</v>
      </c>
      <c r="CR28" s="2">
        <f t="shared" ref="CR28:CR57" si="43">(ROUND((ROUND((((ET28*1.05))*AV28*1),2)*BB28),2)+ROUND((ROUND(((AE28-((EU28*1.05)))*AV28*1),2)*BS28),2))</f>
        <v>0</v>
      </c>
      <c r="CS28" s="2">
        <f t="shared" ref="CS28:CS57" si="44">ROUND((ROUND((AE28*AV28*1),2)*BS28),2)</f>
        <v>0</v>
      </c>
      <c r="CT28" s="2">
        <f t="shared" ref="CT28:CT57" si="45">ROUND((ROUND((AF28*AV28*1),2)*BA28),2)</f>
        <v>2676.65</v>
      </c>
      <c r="CU28" s="2">
        <f t="shared" ref="CU28:CU57" si="46">AG28</f>
        <v>0</v>
      </c>
      <c r="CV28" s="2">
        <f t="shared" ref="CV28:CV57" si="47">(AH28*AV28)</f>
        <v>252.51408000000001</v>
      </c>
      <c r="CW28" s="2">
        <f t="shared" ref="CW28:CW57" si="48">AI28</f>
        <v>0</v>
      </c>
      <c r="CX28" s="2">
        <f t="shared" ref="CX28:CX57" si="49">AJ28</f>
        <v>0</v>
      </c>
      <c r="CY28" s="2">
        <f>((S28*BZ28)/100)</f>
        <v>103.20450000000001</v>
      </c>
      <c r="CZ28" s="2">
        <f>((S28*CA28)/100)</f>
        <v>75.683300000000003</v>
      </c>
      <c r="DA28" s="2"/>
      <c r="DB28" s="2">
        <v>1</v>
      </c>
      <c r="DC28" s="2" t="s">
        <v>3</v>
      </c>
      <c r="DD28" s="2" t="s">
        <v>3</v>
      </c>
      <c r="DE28" s="2" t="s">
        <v>22</v>
      </c>
      <c r="DF28" s="2" t="s">
        <v>22</v>
      </c>
      <c r="DG28" s="2" t="s">
        <v>22</v>
      </c>
      <c r="DH28" s="2" t="s">
        <v>3</v>
      </c>
      <c r="DI28" s="2" t="s">
        <v>22</v>
      </c>
      <c r="DJ28" s="2" t="s">
        <v>22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20</v>
      </c>
      <c r="DW28" s="2" t="s">
        <v>20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51696099</v>
      </c>
      <c r="EF28" s="2">
        <v>30</v>
      </c>
      <c r="EG28" s="2" t="s">
        <v>23</v>
      </c>
      <c r="EH28" s="2">
        <v>0</v>
      </c>
      <c r="EI28" s="2" t="s">
        <v>3</v>
      </c>
      <c r="EJ28" s="2">
        <v>1</v>
      </c>
      <c r="EK28" s="2">
        <v>16</v>
      </c>
      <c r="EL28" s="2" t="s">
        <v>24</v>
      </c>
      <c r="EM28" s="2" t="s">
        <v>25</v>
      </c>
      <c r="EN28" s="2"/>
      <c r="EO28" s="2" t="s">
        <v>26</v>
      </c>
      <c r="EP28" s="2"/>
      <c r="EQ28" s="2">
        <v>131072</v>
      </c>
      <c r="ER28" s="2">
        <v>2042.62</v>
      </c>
      <c r="ES28" s="2">
        <v>0</v>
      </c>
      <c r="ET28" s="2">
        <v>0</v>
      </c>
      <c r="EU28" s="2">
        <v>0</v>
      </c>
      <c r="EV28" s="2">
        <v>2042.62</v>
      </c>
      <c r="EW28" s="2">
        <v>192.7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105</v>
      </c>
      <c r="FY28" s="2">
        <v>77</v>
      </c>
      <c r="FZ28" s="2"/>
      <c r="GA28" s="2" t="s">
        <v>3</v>
      </c>
      <c r="GB28" s="2"/>
      <c r="GC28" s="2"/>
      <c r="GD28" s="2">
        <v>0</v>
      </c>
      <c r="GE28" s="2"/>
      <c r="GF28" s="2">
        <v>-2104602307</v>
      </c>
      <c r="GG28" s="2">
        <v>2</v>
      </c>
      <c r="GH28" s="2">
        <v>1</v>
      </c>
      <c r="GI28" s="2">
        <v>-2</v>
      </c>
      <c r="GJ28" s="2">
        <v>0</v>
      </c>
      <c r="GK28" s="2">
        <f>ROUND(R28*(R12)/100,2)</f>
        <v>0</v>
      </c>
      <c r="GL28" s="2">
        <f t="shared" ref="GL28:GL57" si="50">ROUND(IF(AND(BH28=3,BI28=3,FS28&lt;&gt;0),P28,0),2)</f>
        <v>0</v>
      </c>
      <c r="GM28" s="2">
        <f t="shared" ref="GM28:GM57" si="51">ROUND(O28+X28+Y28+GK28,2)+GX28</f>
        <v>277.17</v>
      </c>
      <c r="GN28" s="2">
        <f t="shared" ref="GN28:GN57" si="52">IF(OR(BI28=0,BI28=1),GM28-GX28,0)</f>
        <v>277.17</v>
      </c>
      <c r="GO28" s="2">
        <f t="shared" ref="GO28:GO57" si="53">IF(BI28=2,GM28-GX28,0)</f>
        <v>0</v>
      </c>
      <c r="GP28" s="2">
        <f t="shared" ref="GP28:GP57" si="54">IF(BI28=4,GM28-GX28,0)</f>
        <v>0</v>
      </c>
      <c r="GQ28" s="2"/>
      <c r="GR28" s="2">
        <v>0</v>
      </c>
      <c r="GS28" s="2">
        <v>0</v>
      </c>
      <c r="GT28" s="2">
        <v>0</v>
      </c>
      <c r="GU28" s="2" t="s">
        <v>3</v>
      </c>
      <c r="GV28" s="2">
        <f t="shared" ref="GV28:GV57" si="55">ROUND((GT28),6)</f>
        <v>0</v>
      </c>
      <c r="GW28" s="2">
        <v>1</v>
      </c>
      <c r="GX28" s="2">
        <f t="shared" ref="GX28:GX57" si="56">ROUND(HC28*I28,2)</f>
        <v>0</v>
      </c>
      <c r="GY28" s="2"/>
      <c r="GZ28" s="2"/>
      <c r="HA28" s="2">
        <v>0</v>
      </c>
      <c r="HB28" s="2">
        <v>0</v>
      </c>
      <c r="HC28" s="2">
        <f t="shared" ref="HC28:HC57" si="57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>
        <v>17</v>
      </c>
      <c r="B29">
        <v>1</v>
      </c>
      <c r="D29">
        <f>ROW(EtalonRes!A2)</f>
        <v>2</v>
      </c>
      <c r="E29" t="s">
        <v>17</v>
      </c>
      <c r="F29" t="s">
        <v>18</v>
      </c>
      <c r="G29" t="s">
        <v>19</v>
      </c>
      <c r="H29" t="s">
        <v>20</v>
      </c>
      <c r="I29">
        <f>ROUND(12.24*0.3/100,9)</f>
        <v>3.6720000000000003E-2</v>
      </c>
      <c r="J29">
        <v>0</v>
      </c>
      <c r="K29">
        <f>ROUND(12.24*0.3/100,9)</f>
        <v>3.6720000000000003E-2</v>
      </c>
      <c r="O29">
        <f t="shared" si="21"/>
        <v>3391.99</v>
      </c>
      <c r="P29">
        <f t="shared" si="22"/>
        <v>0</v>
      </c>
      <c r="Q29">
        <f t="shared" si="23"/>
        <v>0</v>
      </c>
      <c r="R29">
        <f t="shared" si="24"/>
        <v>0</v>
      </c>
      <c r="S29">
        <f t="shared" si="25"/>
        <v>3391.99</v>
      </c>
      <c r="T29">
        <f t="shared" si="26"/>
        <v>0</v>
      </c>
      <c r="U29">
        <f t="shared" si="27"/>
        <v>9.2723170176000007</v>
      </c>
      <c r="V29">
        <f t="shared" si="28"/>
        <v>0</v>
      </c>
      <c r="W29">
        <f t="shared" si="29"/>
        <v>0</v>
      </c>
      <c r="X29">
        <f t="shared" si="30"/>
        <v>2951.03</v>
      </c>
      <c r="Y29">
        <f t="shared" si="31"/>
        <v>1390.72</v>
      </c>
      <c r="AA29">
        <v>56610029</v>
      </c>
      <c r="AB29">
        <f t="shared" si="32"/>
        <v>2144.7510000000002</v>
      </c>
      <c r="AC29">
        <f t="shared" si="33"/>
        <v>0</v>
      </c>
      <c r="AD29">
        <f t="shared" si="34"/>
        <v>0</v>
      </c>
      <c r="AE29">
        <f t="shared" si="35"/>
        <v>0</v>
      </c>
      <c r="AF29">
        <f t="shared" si="36"/>
        <v>2144.7510000000002</v>
      </c>
      <c r="AG29">
        <f t="shared" si="37"/>
        <v>0</v>
      </c>
      <c r="AH29">
        <f t="shared" si="38"/>
        <v>202.33500000000001</v>
      </c>
      <c r="AI29">
        <f t="shared" si="39"/>
        <v>0</v>
      </c>
      <c r="AJ29">
        <f t="shared" si="40"/>
        <v>0</v>
      </c>
      <c r="AK29">
        <v>2042.62</v>
      </c>
      <c r="AL29">
        <v>0</v>
      </c>
      <c r="AM29">
        <v>0</v>
      </c>
      <c r="AN29">
        <v>0</v>
      </c>
      <c r="AO29">
        <v>2042.62</v>
      </c>
      <c r="AP29">
        <v>0</v>
      </c>
      <c r="AQ29">
        <v>192.7</v>
      </c>
      <c r="AR29">
        <v>0</v>
      </c>
      <c r="AS29">
        <v>0</v>
      </c>
      <c r="AT29">
        <v>87</v>
      </c>
      <c r="AU29">
        <v>41</v>
      </c>
      <c r="AV29">
        <v>1.248</v>
      </c>
      <c r="AW29">
        <v>1</v>
      </c>
      <c r="AZ29">
        <v>1</v>
      </c>
      <c r="BA29">
        <v>34.51</v>
      </c>
      <c r="BB29">
        <v>1</v>
      </c>
      <c r="BC29">
        <v>1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1</v>
      </c>
      <c r="BJ29" t="s">
        <v>21</v>
      </c>
      <c r="BM29">
        <v>16</v>
      </c>
      <c r="BN29">
        <v>0</v>
      </c>
      <c r="BO29" t="s">
        <v>18</v>
      </c>
      <c r="BP29">
        <v>1</v>
      </c>
      <c r="BQ29">
        <v>30</v>
      </c>
      <c r="BR29">
        <v>0</v>
      </c>
      <c r="BS29">
        <v>34.51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87</v>
      </c>
      <c r="CA29">
        <v>41</v>
      </c>
      <c r="CB29" t="s">
        <v>3</v>
      </c>
      <c r="CE29">
        <v>30</v>
      </c>
      <c r="CF29">
        <v>0</v>
      </c>
      <c r="CG29">
        <v>0</v>
      </c>
      <c r="CM29">
        <v>0</v>
      </c>
      <c r="CN29" t="s">
        <v>708</v>
      </c>
      <c r="CO29">
        <v>0</v>
      </c>
      <c r="CP29">
        <f t="shared" si="41"/>
        <v>3391.99</v>
      </c>
      <c r="CQ29">
        <f t="shared" si="42"/>
        <v>0</v>
      </c>
      <c r="CR29">
        <f t="shared" si="43"/>
        <v>0</v>
      </c>
      <c r="CS29">
        <f t="shared" si="44"/>
        <v>0</v>
      </c>
      <c r="CT29">
        <f t="shared" si="45"/>
        <v>92371.19</v>
      </c>
      <c r="CU29">
        <f t="shared" si="46"/>
        <v>0</v>
      </c>
      <c r="CV29">
        <f t="shared" si="47"/>
        <v>252.51408000000001</v>
      </c>
      <c r="CW29">
        <f t="shared" si="48"/>
        <v>0</v>
      </c>
      <c r="CX29">
        <f t="shared" si="49"/>
        <v>0</v>
      </c>
      <c r="CY29">
        <f>S29*(BZ29/100)</f>
        <v>2951.0312999999996</v>
      </c>
      <c r="CZ29">
        <f>S29*(CA29/100)</f>
        <v>1390.7158999999999</v>
      </c>
      <c r="DB29">
        <v>2</v>
      </c>
      <c r="DC29" t="s">
        <v>3</v>
      </c>
      <c r="DD29" t="s">
        <v>3</v>
      </c>
      <c r="DE29" t="s">
        <v>22</v>
      </c>
      <c r="DF29" t="s">
        <v>22</v>
      </c>
      <c r="DG29" t="s">
        <v>22</v>
      </c>
      <c r="DH29" t="s">
        <v>3</v>
      </c>
      <c r="DI29" t="s">
        <v>22</v>
      </c>
      <c r="DJ29" t="s">
        <v>22</v>
      </c>
      <c r="DK29" t="s">
        <v>3</v>
      </c>
      <c r="DL29" t="s">
        <v>3</v>
      </c>
      <c r="DM29" t="s">
        <v>3</v>
      </c>
      <c r="DN29">
        <v>105</v>
      </c>
      <c r="DO29">
        <v>77</v>
      </c>
      <c r="DP29">
        <v>1.248</v>
      </c>
      <c r="DQ29">
        <v>1</v>
      </c>
      <c r="DU29">
        <v>1013</v>
      </c>
      <c r="DV29" t="s">
        <v>20</v>
      </c>
      <c r="DW29" t="s">
        <v>20</v>
      </c>
      <c r="DX29">
        <v>1</v>
      </c>
      <c r="DZ29" t="s">
        <v>3</v>
      </c>
      <c r="EA29" t="s">
        <v>3</v>
      </c>
      <c r="EB29" t="s">
        <v>3</v>
      </c>
      <c r="EC29" t="s">
        <v>3</v>
      </c>
      <c r="EE29">
        <v>51696099</v>
      </c>
      <c r="EF29">
        <v>30</v>
      </c>
      <c r="EG29" t="s">
        <v>23</v>
      </c>
      <c r="EH29">
        <v>0</v>
      </c>
      <c r="EI29" t="s">
        <v>3</v>
      </c>
      <c r="EJ29">
        <v>1</v>
      </c>
      <c r="EK29">
        <v>16</v>
      </c>
      <c r="EL29" t="s">
        <v>24</v>
      </c>
      <c r="EM29" t="s">
        <v>25</v>
      </c>
      <c r="EO29" t="s">
        <v>26</v>
      </c>
      <c r="EQ29">
        <v>131072</v>
      </c>
      <c r="ER29">
        <v>2042.62</v>
      </c>
      <c r="ES29">
        <v>0</v>
      </c>
      <c r="ET29">
        <v>0</v>
      </c>
      <c r="EU29">
        <v>0</v>
      </c>
      <c r="EV29">
        <v>2042.62</v>
      </c>
      <c r="EW29">
        <v>192.7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105</v>
      </c>
      <c r="FY29">
        <v>77</v>
      </c>
      <c r="GA29" t="s">
        <v>3</v>
      </c>
      <c r="GD29">
        <v>0</v>
      </c>
      <c r="GF29">
        <v>-2104602307</v>
      </c>
      <c r="GG29">
        <v>2</v>
      </c>
      <c r="GH29">
        <v>1</v>
      </c>
      <c r="GI29">
        <v>2</v>
      </c>
      <c r="GJ29">
        <v>0</v>
      </c>
      <c r="GK29">
        <f>ROUND(R29*(S12)/100,2)</f>
        <v>0</v>
      </c>
      <c r="GL29">
        <f t="shared" si="50"/>
        <v>0</v>
      </c>
      <c r="GM29">
        <f t="shared" si="51"/>
        <v>7733.74</v>
      </c>
      <c r="GN29">
        <f t="shared" si="52"/>
        <v>7733.74</v>
      </c>
      <c r="GO29">
        <f t="shared" si="53"/>
        <v>0</v>
      </c>
      <c r="GP29">
        <f t="shared" si="54"/>
        <v>0</v>
      </c>
      <c r="GR29">
        <v>0</v>
      </c>
      <c r="GS29">
        <v>3</v>
      </c>
      <c r="GT29">
        <v>0</v>
      </c>
      <c r="GU29" t="s">
        <v>3</v>
      </c>
      <c r="GV29">
        <f t="shared" si="55"/>
        <v>0</v>
      </c>
      <c r="GW29">
        <v>1</v>
      </c>
      <c r="GX29">
        <f t="shared" si="56"/>
        <v>0</v>
      </c>
      <c r="HA29">
        <v>0</v>
      </c>
      <c r="HB29">
        <v>0</v>
      </c>
      <c r="HC29">
        <f t="shared" si="57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55" x14ac:dyDescent="0.2">
      <c r="A30" s="2">
        <v>17</v>
      </c>
      <c r="B30" s="2">
        <v>1</v>
      </c>
      <c r="C30" s="2"/>
      <c r="D30" s="2">
        <f>ROW(EtalonRes!A5)</f>
        <v>5</v>
      </c>
      <c r="E30" s="2" t="s">
        <v>27</v>
      </c>
      <c r="F30" s="2" t="s">
        <v>28</v>
      </c>
      <c r="G30" s="2" t="s">
        <v>29</v>
      </c>
      <c r="H30" s="2" t="s">
        <v>20</v>
      </c>
      <c r="I30" s="2">
        <f>ROUND(4.81/100,9)</f>
        <v>4.8099999999999997E-2</v>
      </c>
      <c r="J30" s="2">
        <v>0</v>
      </c>
      <c r="K30" s="2">
        <f>ROUND(4.81/100,9)</f>
        <v>4.8099999999999997E-2</v>
      </c>
      <c r="L30" s="2"/>
      <c r="M30" s="2"/>
      <c r="N30" s="2"/>
      <c r="O30" s="2">
        <f t="shared" si="21"/>
        <v>82.53</v>
      </c>
      <c r="P30" s="2">
        <f t="shared" si="22"/>
        <v>0</v>
      </c>
      <c r="Q30" s="2">
        <f t="shared" si="23"/>
        <v>80.709999999999994</v>
      </c>
      <c r="R30" s="2">
        <f t="shared" si="24"/>
        <v>7.98</v>
      </c>
      <c r="S30" s="2">
        <f t="shared" si="25"/>
        <v>1.82</v>
      </c>
      <c r="T30" s="2">
        <f t="shared" si="26"/>
        <v>0</v>
      </c>
      <c r="U30" s="2">
        <f t="shared" si="27"/>
        <v>0.17759578199999998</v>
      </c>
      <c r="V30" s="2">
        <f t="shared" si="28"/>
        <v>0</v>
      </c>
      <c r="W30" s="2">
        <f t="shared" si="29"/>
        <v>0</v>
      </c>
      <c r="X30" s="2">
        <f t="shared" si="30"/>
        <v>1.78</v>
      </c>
      <c r="Y30" s="2">
        <f t="shared" si="31"/>
        <v>1.4</v>
      </c>
      <c r="Z30" s="2"/>
      <c r="AA30" s="2">
        <v>56622490</v>
      </c>
      <c r="AB30" s="2">
        <f t="shared" si="32"/>
        <v>1439.319</v>
      </c>
      <c r="AC30" s="2">
        <f t="shared" si="33"/>
        <v>0</v>
      </c>
      <c r="AD30" s="2">
        <f t="shared" si="34"/>
        <v>1407.6614999999999</v>
      </c>
      <c r="AE30" s="2">
        <f t="shared" si="35"/>
        <v>139.10400000000001</v>
      </c>
      <c r="AF30" s="2">
        <f t="shared" si="36"/>
        <v>31.657499999999999</v>
      </c>
      <c r="AG30" s="2">
        <f t="shared" si="37"/>
        <v>0</v>
      </c>
      <c r="AH30" s="2">
        <f t="shared" si="38"/>
        <v>3.0975000000000001</v>
      </c>
      <c r="AI30" s="2">
        <f t="shared" si="39"/>
        <v>0</v>
      </c>
      <c r="AJ30" s="2">
        <f t="shared" si="40"/>
        <v>0</v>
      </c>
      <c r="AK30" s="2">
        <v>1370.78</v>
      </c>
      <c r="AL30" s="2">
        <v>0</v>
      </c>
      <c r="AM30" s="2">
        <v>1340.63</v>
      </c>
      <c r="AN30" s="2">
        <v>132.47999999999999</v>
      </c>
      <c r="AO30" s="2">
        <v>30.15</v>
      </c>
      <c r="AP30" s="2">
        <v>0</v>
      </c>
      <c r="AQ30" s="2">
        <v>2.95</v>
      </c>
      <c r="AR30" s="2">
        <v>0</v>
      </c>
      <c r="AS30" s="2">
        <v>0</v>
      </c>
      <c r="AT30" s="2">
        <v>98</v>
      </c>
      <c r="AU30" s="2">
        <v>77</v>
      </c>
      <c r="AV30" s="2">
        <v>1.1919999999999999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1</v>
      </c>
      <c r="BJ30" s="2" t="s">
        <v>30</v>
      </c>
      <c r="BK30" s="2"/>
      <c r="BL30" s="2"/>
      <c r="BM30" s="2">
        <v>2</v>
      </c>
      <c r="BN30" s="2">
        <v>0</v>
      </c>
      <c r="BO30" s="2" t="s">
        <v>3</v>
      </c>
      <c r="BP30" s="2">
        <v>0</v>
      </c>
      <c r="BQ30" s="2">
        <v>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98</v>
      </c>
      <c r="CA30" s="2">
        <v>77</v>
      </c>
      <c r="CB30" s="2" t="s">
        <v>3</v>
      </c>
      <c r="CC30" s="2"/>
      <c r="CD30" s="2"/>
      <c r="CE30" s="2">
        <v>30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708</v>
      </c>
      <c r="CO30" s="2">
        <v>0</v>
      </c>
      <c r="CP30" s="2">
        <f t="shared" si="41"/>
        <v>82.529999999999987</v>
      </c>
      <c r="CQ30" s="2">
        <f t="shared" si="42"/>
        <v>0</v>
      </c>
      <c r="CR30" s="2">
        <f t="shared" si="43"/>
        <v>1677.93</v>
      </c>
      <c r="CS30" s="2">
        <f t="shared" si="44"/>
        <v>165.81</v>
      </c>
      <c r="CT30" s="2">
        <f t="shared" si="45"/>
        <v>37.74</v>
      </c>
      <c r="CU30" s="2">
        <f t="shared" si="46"/>
        <v>0</v>
      </c>
      <c r="CV30" s="2">
        <f t="shared" si="47"/>
        <v>3.6922199999999998</v>
      </c>
      <c r="CW30" s="2">
        <f t="shared" si="48"/>
        <v>0</v>
      </c>
      <c r="CX30" s="2">
        <f t="shared" si="49"/>
        <v>0</v>
      </c>
      <c r="CY30" s="2">
        <f>((S30*BZ30)/100)</f>
        <v>1.7836000000000001</v>
      </c>
      <c r="CZ30" s="2">
        <f>((S30*CA30)/100)</f>
        <v>1.4014000000000002</v>
      </c>
      <c r="DA30" s="2"/>
      <c r="DB30" s="2">
        <v>3</v>
      </c>
      <c r="DC30" s="2" t="s">
        <v>3</v>
      </c>
      <c r="DD30" s="2" t="s">
        <v>3</v>
      </c>
      <c r="DE30" s="2" t="s">
        <v>22</v>
      </c>
      <c r="DF30" s="2" t="s">
        <v>22</v>
      </c>
      <c r="DG30" s="2" t="s">
        <v>22</v>
      </c>
      <c r="DH30" s="2" t="s">
        <v>3</v>
      </c>
      <c r="DI30" s="2" t="s">
        <v>22</v>
      </c>
      <c r="DJ30" s="2" t="s">
        <v>22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20</v>
      </c>
      <c r="DW30" s="2" t="s">
        <v>20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51696085</v>
      </c>
      <c r="EF30" s="2">
        <v>30</v>
      </c>
      <c r="EG30" s="2" t="s">
        <v>23</v>
      </c>
      <c r="EH30" s="2">
        <v>0</v>
      </c>
      <c r="EI30" s="2" t="s">
        <v>3</v>
      </c>
      <c r="EJ30" s="2">
        <v>1</v>
      </c>
      <c r="EK30" s="2">
        <v>2</v>
      </c>
      <c r="EL30" s="2" t="s">
        <v>31</v>
      </c>
      <c r="EM30" s="2" t="s">
        <v>32</v>
      </c>
      <c r="EN30" s="2"/>
      <c r="EO30" s="2" t="s">
        <v>26</v>
      </c>
      <c r="EP30" s="2"/>
      <c r="EQ30" s="2">
        <v>131072</v>
      </c>
      <c r="ER30" s="2">
        <v>1370.78</v>
      </c>
      <c r="ES30" s="2">
        <v>0</v>
      </c>
      <c r="ET30" s="2">
        <v>1340.63</v>
      </c>
      <c r="EU30" s="2">
        <v>132.47999999999999</v>
      </c>
      <c r="EV30" s="2">
        <v>30.15</v>
      </c>
      <c r="EW30" s="2">
        <v>2.95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98</v>
      </c>
      <c r="FY30" s="2">
        <v>77</v>
      </c>
      <c r="FZ30" s="2"/>
      <c r="GA30" s="2" t="s">
        <v>3</v>
      </c>
      <c r="GB30" s="2"/>
      <c r="GC30" s="2"/>
      <c r="GD30" s="2">
        <v>0</v>
      </c>
      <c r="GE30" s="2"/>
      <c r="GF30" s="2">
        <v>-1260581983</v>
      </c>
      <c r="GG30" s="2">
        <v>2</v>
      </c>
      <c r="GH30" s="2">
        <v>1</v>
      </c>
      <c r="GI30" s="2">
        <v>-2</v>
      </c>
      <c r="GJ30" s="2">
        <v>0</v>
      </c>
      <c r="GK30" s="2">
        <f>ROUND(R30*(R12)/100,2)</f>
        <v>13.97</v>
      </c>
      <c r="GL30" s="2">
        <f t="shared" si="50"/>
        <v>0</v>
      </c>
      <c r="GM30" s="2">
        <f t="shared" si="51"/>
        <v>99.68</v>
      </c>
      <c r="GN30" s="2">
        <f t="shared" si="52"/>
        <v>99.68</v>
      </c>
      <c r="GO30" s="2">
        <f t="shared" si="53"/>
        <v>0</v>
      </c>
      <c r="GP30" s="2">
        <f t="shared" si="54"/>
        <v>0</v>
      </c>
      <c r="GQ30" s="2"/>
      <c r="GR30" s="2">
        <v>0</v>
      </c>
      <c r="GS30" s="2">
        <v>0</v>
      </c>
      <c r="GT30" s="2">
        <v>0</v>
      </c>
      <c r="GU30" s="2" t="s">
        <v>3</v>
      </c>
      <c r="GV30" s="2">
        <f t="shared" si="55"/>
        <v>0</v>
      </c>
      <c r="GW30" s="2">
        <v>1</v>
      </c>
      <c r="GX30" s="2">
        <f t="shared" si="56"/>
        <v>0</v>
      </c>
      <c r="GY30" s="2"/>
      <c r="GZ30" s="2"/>
      <c r="HA30" s="2">
        <v>0</v>
      </c>
      <c r="HB30" s="2">
        <v>0</v>
      </c>
      <c r="HC30" s="2">
        <f t="shared" si="57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>
        <v>17</v>
      </c>
      <c r="B31">
        <v>1</v>
      </c>
      <c r="D31">
        <f>ROW(EtalonRes!A8)</f>
        <v>8</v>
      </c>
      <c r="E31" t="s">
        <v>27</v>
      </c>
      <c r="F31" t="s">
        <v>28</v>
      </c>
      <c r="G31" t="s">
        <v>29</v>
      </c>
      <c r="H31" t="s">
        <v>20</v>
      </c>
      <c r="I31">
        <f>ROUND(4.81/100,9)</f>
        <v>4.8099999999999997E-2</v>
      </c>
      <c r="J31">
        <v>0</v>
      </c>
      <c r="K31">
        <f>ROUND(4.81/100,9)</f>
        <v>4.8099999999999997E-2</v>
      </c>
      <c r="O31">
        <f t="shared" si="21"/>
        <v>1043.44</v>
      </c>
      <c r="P31">
        <f t="shared" si="22"/>
        <v>0</v>
      </c>
      <c r="Q31">
        <f t="shared" si="23"/>
        <v>980.63</v>
      </c>
      <c r="R31">
        <f t="shared" si="24"/>
        <v>275.39</v>
      </c>
      <c r="S31">
        <f t="shared" si="25"/>
        <v>62.81</v>
      </c>
      <c r="T31">
        <f t="shared" si="26"/>
        <v>0</v>
      </c>
      <c r="U31">
        <f t="shared" si="27"/>
        <v>0.17759578199999998</v>
      </c>
      <c r="V31">
        <f t="shared" si="28"/>
        <v>0</v>
      </c>
      <c r="W31">
        <f t="shared" si="29"/>
        <v>0</v>
      </c>
      <c r="X31">
        <f t="shared" si="30"/>
        <v>59.04</v>
      </c>
      <c r="Y31">
        <f t="shared" si="31"/>
        <v>32.03</v>
      </c>
      <c r="AA31">
        <v>56610029</v>
      </c>
      <c r="AB31">
        <f t="shared" si="32"/>
        <v>1439.319</v>
      </c>
      <c r="AC31">
        <f t="shared" si="33"/>
        <v>0</v>
      </c>
      <c r="AD31">
        <f t="shared" si="34"/>
        <v>1407.6614999999999</v>
      </c>
      <c r="AE31">
        <f t="shared" si="35"/>
        <v>139.10400000000001</v>
      </c>
      <c r="AF31">
        <f t="shared" si="36"/>
        <v>31.657499999999999</v>
      </c>
      <c r="AG31">
        <f t="shared" si="37"/>
        <v>0</v>
      </c>
      <c r="AH31">
        <f t="shared" si="38"/>
        <v>3.0975000000000001</v>
      </c>
      <c r="AI31">
        <f t="shared" si="39"/>
        <v>0</v>
      </c>
      <c r="AJ31">
        <f t="shared" si="40"/>
        <v>0</v>
      </c>
      <c r="AK31">
        <v>1370.78</v>
      </c>
      <c r="AL31">
        <v>0</v>
      </c>
      <c r="AM31">
        <v>1340.63</v>
      </c>
      <c r="AN31">
        <v>132.47999999999999</v>
      </c>
      <c r="AO31">
        <v>30.15</v>
      </c>
      <c r="AP31">
        <v>0</v>
      </c>
      <c r="AQ31">
        <v>2.95</v>
      </c>
      <c r="AR31">
        <v>0</v>
      </c>
      <c r="AS31">
        <v>0</v>
      </c>
      <c r="AT31">
        <v>94</v>
      </c>
      <c r="AU31">
        <v>51</v>
      </c>
      <c r="AV31">
        <v>1.1919999999999999</v>
      </c>
      <c r="AW31">
        <v>1</v>
      </c>
      <c r="AZ31">
        <v>1</v>
      </c>
      <c r="BA31">
        <v>34.51</v>
      </c>
      <c r="BB31">
        <v>12.15</v>
      </c>
      <c r="BC31">
        <v>1</v>
      </c>
      <c r="BD31" t="s">
        <v>3</v>
      </c>
      <c r="BE31" t="s">
        <v>3</v>
      </c>
      <c r="BF31" t="s">
        <v>3</v>
      </c>
      <c r="BG31" t="s">
        <v>3</v>
      </c>
      <c r="BH31">
        <v>0</v>
      </c>
      <c r="BI31">
        <v>1</v>
      </c>
      <c r="BJ31" t="s">
        <v>30</v>
      </c>
      <c r="BM31">
        <v>2</v>
      </c>
      <c r="BN31">
        <v>0</v>
      </c>
      <c r="BO31" t="s">
        <v>28</v>
      </c>
      <c r="BP31">
        <v>1</v>
      </c>
      <c r="BQ31">
        <v>30</v>
      </c>
      <c r="BR31">
        <v>0</v>
      </c>
      <c r="BS31">
        <v>34.51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94</v>
      </c>
      <c r="CA31">
        <v>51</v>
      </c>
      <c r="CB31" t="s">
        <v>3</v>
      </c>
      <c r="CE31">
        <v>30</v>
      </c>
      <c r="CF31">
        <v>0</v>
      </c>
      <c r="CG31">
        <v>0</v>
      </c>
      <c r="CM31">
        <v>0</v>
      </c>
      <c r="CN31" t="s">
        <v>708</v>
      </c>
      <c r="CO31">
        <v>0</v>
      </c>
      <c r="CP31">
        <f t="shared" si="41"/>
        <v>1043.44</v>
      </c>
      <c r="CQ31">
        <f t="shared" si="42"/>
        <v>0</v>
      </c>
      <c r="CR31">
        <f t="shared" si="43"/>
        <v>20386.849999999999</v>
      </c>
      <c r="CS31">
        <f t="shared" si="44"/>
        <v>5722.1</v>
      </c>
      <c r="CT31">
        <f t="shared" si="45"/>
        <v>1302.4100000000001</v>
      </c>
      <c r="CU31">
        <f t="shared" si="46"/>
        <v>0</v>
      </c>
      <c r="CV31">
        <f t="shared" si="47"/>
        <v>3.6922199999999998</v>
      </c>
      <c r="CW31">
        <f t="shared" si="48"/>
        <v>0</v>
      </c>
      <c r="CX31">
        <f t="shared" si="49"/>
        <v>0</v>
      </c>
      <c r="CY31">
        <f>S31*(BZ31/100)</f>
        <v>59.041399999999996</v>
      </c>
      <c r="CZ31">
        <f>S31*(CA31/100)</f>
        <v>32.033100000000005</v>
      </c>
      <c r="DB31">
        <v>4</v>
      </c>
      <c r="DC31" t="s">
        <v>3</v>
      </c>
      <c r="DD31" t="s">
        <v>3</v>
      </c>
      <c r="DE31" t="s">
        <v>22</v>
      </c>
      <c r="DF31" t="s">
        <v>22</v>
      </c>
      <c r="DG31" t="s">
        <v>22</v>
      </c>
      <c r="DH31" t="s">
        <v>3</v>
      </c>
      <c r="DI31" t="s">
        <v>22</v>
      </c>
      <c r="DJ31" t="s">
        <v>22</v>
      </c>
      <c r="DK31" t="s">
        <v>3</v>
      </c>
      <c r="DL31" t="s">
        <v>3</v>
      </c>
      <c r="DM31" t="s">
        <v>3</v>
      </c>
      <c r="DN31">
        <v>98</v>
      </c>
      <c r="DO31">
        <v>77</v>
      </c>
      <c r="DP31">
        <v>1.1919999999999999</v>
      </c>
      <c r="DQ31">
        <v>1</v>
      </c>
      <c r="DU31">
        <v>1013</v>
      </c>
      <c r="DV31" t="s">
        <v>20</v>
      </c>
      <c r="DW31" t="s">
        <v>20</v>
      </c>
      <c r="DX31">
        <v>1</v>
      </c>
      <c r="DZ31" t="s">
        <v>3</v>
      </c>
      <c r="EA31" t="s">
        <v>3</v>
      </c>
      <c r="EB31" t="s">
        <v>3</v>
      </c>
      <c r="EC31" t="s">
        <v>3</v>
      </c>
      <c r="EE31">
        <v>51696085</v>
      </c>
      <c r="EF31">
        <v>30</v>
      </c>
      <c r="EG31" t="s">
        <v>23</v>
      </c>
      <c r="EH31">
        <v>0</v>
      </c>
      <c r="EI31" t="s">
        <v>3</v>
      </c>
      <c r="EJ31">
        <v>1</v>
      </c>
      <c r="EK31">
        <v>2</v>
      </c>
      <c r="EL31" t="s">
        <v>31</v>
      </c>
      <c r="EM31" t="s">
        <v>32</v>
      </c>
      <c r="EO31" t="s">
        <v>26</v>
      </c>
      <c r="EQ31">
        <v>131072</v>
      </c>
      <c r="ER31">
        <v>1370.78</v>
      </c>
      <c r="ES31">
        <v>0</v>
      </c>
      <c r="ET31">
        <v>1340.63</v>
      </c>
      <c r="EU31">
        <v>132.47999999999999</v>
      </c>
      <c r="EV31">
        <v>30.15</v>
      </c>
      <c r="EW31">
        <v>2.95</v>
      </c>
      <c r="EX31">
        <v>0</v>
      </c>
      <c r="EY31">
        <v>0</v>
      </c>
      <c r="FQ31">
        <v>0</v>
      </c>
      <c r="FR31">
        <v>0</v>
      </c>
      <c r="FS31">
        <v>0</v>
      </c>
      <c r="FX31">
        <v>98</v>
      </c>
      <c r="FY31">
        <v>77</v>
      </c>
      <c r="GA31" t="s">
        <v>3</v>
      </c>
      <c r="GD31">
        <v>0</v>
      </c>
      <c r="GF31">
        <v>-1260581983</v>
      </c>
      <c r="GG31">
        <v>2</v>
      </c>
      <c r="GH31">
        <v>1</v>
      </c>
      <c r="GI31">
        <v>2</v>
      </c>
      <c r="GJ31">
        <v>0</v>
      </c>
      <c r="GK31">
        <f>ROUND(R31*(S12)/100,2)</f>
        <v>440.62</v>
      </c>
      <c r="GL31">
        <f t="shared" si="50"/>
        <v>0</v>
      </c>
      <c r="GM31">
        <f t="shared" si="51"/>
        <v>1575.13</v>
      </c>
      <c r="GN31">
        <f t="shared" si="52"/>
        <v>1575.13</v>
      </c>
      <c r="GO31">
        <f t="shared" si="53"/>
        <v>0</v>
      </c>
      <c r="GP31">
        <f t="shared" si="54"/>
        <v>0</v>
      </c>
      <c r="GR31">
        <v>0</v>
      </c>
      <c r="GS31">
        <v>3</v>
      </c>
      <c r="GT31">
        <v>0</v>
      </c>
      <c r="GU31" t="s">
        <v>3</v>
      </c>
      <c r="GV31">
        <f t="shared" si="55"/>
        <v>0</v>
      </c>
      <c r="GW31">
        <v>1</v>
      </c>
      <c r="GX31">
        <f t="shared" si="56"/>
        <v>0</v>
      </c>
      <c r="HA31">
        <v>0</v>
      </c>
      <c r="HB31">
        <v>0</v>
      </c>
      <c r="HC31">
        <f t="shared" si="57"/>
        <v>0</v>
      </c>
      <c r="HE31" t="s">
        <v>3</v>
      </c>
      <c r="HF31" t="s">
        <v>3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55" x14ac:dyDescent="0.2">
      <c r="A32" s="2">
        <v>17</v>
      </c>
      <c r="B32" s="2">
        <v>1</v>
      </c>
      <c r="C32" s="2"/>
      <c r="D32" s="2">
        <f>ROW(EtalonRes!A10)</f>
        <v>10</v>
      </c>
      <c r="E32" s="2" t="s">
        <v>33</v>
      </c>
      <c r="F32" s="2" t="s">
        <v>34</v>
      </c>
      <c r="G32" s="2" t="s">
        <v>35</v>
      </c>
      <c r="H32" s="2" t="s">
        <v>20</v>
      </c>
      <c r="I32" s="2">
        <f>ROUND(12.24/100-I28-I30,9)</f>
        <v>3.7580000000000002E-2</v>
      </c>
      <c r="J32" s="2">
        <v>0</v>
      </c>
      <c r="K32" s="2">
        <f>ROUND(12.24/100-I28-I30,9)</f>
        <v>3.7580000000000002E-2</v>
      </c>
      <c r="L32" s="2"/>
      <c r="M32" s="2"/>
      <c r="N32" s="2"/>
      <c r="O32" s="2">
        <f t="shared" si="21"/>
        <v>44.41</v>
      </c>
      <c r="P32" s="2">
        <f t="shared" si="22"/>
        <v>0</v>
      </c>
      <c r="Q32" s="2">
        <f t="shared" si="23"/>
        <v>43.84</v>
      </c>
      <c r="R32" s="2">
        <f t="shared" si="24"/>
        <v>4.32</v>
      </c>
      <c r="S32" s="2">
        <f t="shared" si="25"/>
        <v>0.56999999999999995</v>
      </c>
      <c r="T32" s="2">
        <f t="shared" si="26"/>
        <v>0</v>
      </c>
      <c r="U32" s="2">
        <f t="shared" si="27"/>
        <v>5.597180232E-2</v>
      </c>
      <c r="V32" s="2">
        <f t="shared" si="28"/>
        <v>0</v>
      </c>
      <c r="W32" s="2">
        <f t="shared" si="29"/>
        <v>0</v>
      </c>
      <c r="X32" s="2">
        <f t="shared" si="30"/>
        <v>0.56000000000000005</v>
      </c>
      <c r="Y32" s="2">
        <f t="shared" si="31"/>
        <v>0.44</v>
      </c>
      <c r="Z32" s="2"/>
      <c r="AA32" s="2">
        <v>56622490</v>
      </c>
      <c r="AB32" s="2">
        <f t="shared" si="32"/>
        <v>991.43100000000004</v>
      </c>
      <c r="AC32" s="2">
        <f t="shared" si="33"/>
        <v>0</v>
      </c>
      <c r="AD32" s="2">
        <f t="shared" si="34"/>
        <v>978.66300000000001</v>
      </c>
      <c r="AE32" s="2">
        <f t="shared" si="35"/>
        <v>96.484499999999997</v>
      </c>
      <c r="AF32" s="2">
        <f t="shared" si="36"/>
        <v>12.768000000000001</v>
      </c>
      <c r="AG32" s="2">
        <f t="shared" si="37"/>
        <v>0</v>
      </c>
      <c r="AH32" s="2">
        <f t="shared" si="38"/>
        <v>1.2495000000000001</v>
      </c>
      <c r="AI32" s="2">
        <f t="shared" si="39"/>
        <v>0</v>
      </c>
      <c r="AJ32" s="2">
        <f t="shared" si="40"/>
        <v>0</v>
      </c>
      <c r="AK32" s="2">
        <v>944.22</v>
      </c>
      <c r="AL32" s="2">
        <v>0</v>
      </c>
      <c r="AM32" s="2">
        <v>932.06</v>
      </c>
      <c r="AN32" s="2">
        <v>91.89</v>
      </c>
      <c r="AO32" s="2">
        <v>12.16</v>
      </c>
      <c r="AP32" s="2">
        <v>0</v>
      </c>
      <c r="AQ32" s="2">
        <v>1.19</v>
      </c>
      <c r="AR32" s="2">
        <v>0</v>
      </c>
      <c r="AS32" s="2">
        <v>0</v>
      </c>
      <c r="AT32" s="2">
        <v>98</v>
      </c>
      <c r="AU32" s="2">
        <v>77</v>
      </c>
      <c r="AV32" s="2">
        <v>1.1919999999999999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1</v>
      </c>
      <c r="BJ32" s="2" t="s">
        <v>36</v>
      </c>
      <c r="BK32" s="2"/>
      <c r="BL32" s="2"/>
      <c r="BM32" s="2">
        <v>2</v>
      </c>
      <c r="BN32" s="2">
        <v>0</v>
      </c>
      <c r="BO32" s="2" t="s">
        <v>3</v>
      </c>
      <c r="BP32" s="2">
        <v>0</v>
      </c>
      <c r="BQ32" s="2">
        <v>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98</v>
      </c>
      <c r="CA32" s="2">
        <v>77</v>
      </c>
      <c r="CB32" s="2" t="s">
        <v>3</v>
      </c>
      <c r="CC32" s="2"/>
      <c r="CD32" s="2"/>
      <c r="CE32" s="2">
        <v>30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708</v>
      </c>
      <c r="CO32" s="2">
        <v>0</v>
      </c>
      <c r="CP32" s="2">
        <f t="shared" si="41"/>
        <v>44.410000000000004</v>
      </c>
      <c r="CQ32" s="2">
        <f t="shared" si="42"/>
        <v>0</v>
      </c>
      <c r="CR32" s="2">
        <f t="shared" si="43"/>
        <v>1166.57</v>
      </c>
      <c r="CS32" s="2">
        <f t="shared" si="44"/>
        <v>115.01</v>
      </c>
      <c r="CT32" s="2">
        <f t="shared" si="45"/>
        <v>15.22</v>
      </c>
      <c r="CU32" s="2">
        <f t="shared" si="46"/>
        <v>0</v>
      </c>
      <c r="CV32" s="2">
        <f t="shared" si="47"/>
        <v>1.489404</v>
      </c>
      <c r="CW32" s="2">
        <f t="shared" si="48"/>
        <v>0</v>
      </c>
      <c r="CX32" s="2">
        <f t="shared" si="49"/>
        <v>0</v>
      </c>
      <c r="CY32" s="2">
        <f>((S32*BZ32)/100)</f>
        <v>0.55859999999999987</v>
      </c>
      <c r="CZ32" s="2">
        <f>((S32*CA32)/100)</f>
        <v>0.43889999999999996</v>
      </c>
      <c r="DA32" s="2"/>
      <c r="DB32" s="2">
        <v>5</v>
      </c>
      <c r="DC32" s="2" t="s">
        <v>3</v>
      </c>
      <c r="DD32" s="2" t="s">
        <v>3</v>
      </c>
      <c r="DE32" s="2" t="s">
        <v>22</v>
      </c>
      <c r="DF32" s="2" t="s">
        <v>22</v>
      </c>
      <c r="DG32" s="2" t="s">
        <v>22</v>
      </c>
      <c r="DH32" s="2" t="s">
        <v>3</v>
      </c>
      <c r="DI32" s="2" t="s">
        <v>22</v>
      </c>
      <c r="DJ32" s="2" t="s">
        <v>22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20</v>
      </c>
      <c r="DW32" s="2" t="s">
        <v>20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51696085</v>
      </c>
      <c r="EF32" s="2">
        <v>30</v>
      </c>
      <c r="EG32" s="2" t="s">
        <v>23</v>
      </c>
      <c r="EH32" s="2">
        <v>0</v>
      </c>
      <c r="EI32" s="2" t="s">
        <v>3</v>
      </c>
      <c r="EJ32" s="2">
        <v>1</v>
      </c>
      <c r="EK32" s="2">
        <v>2</v>
      </c>
      <c r="EL32" s="2" t="s">
        <v>31</v>
      </c>
      <c r="EM32" s="2" t="s">
        <v>32</v>
      </c>
      <c r="EN32" s="2"/>
      <c r="EO32" s="2" t="s">
        <v>26</v>
      </c>
      <c r="EP32" s="2"/>
      <c r="EQ32" s="2">
        <v>131072</v>
      </c>
      <c r="ER32" s="2">
        <v>944.22</v>
      </c>
      <c r="ES32" s="2">
        <v>0</v>
      </c>
      <c r="ET32" s="2">
        <v>932.06</v>
      </c>
      <c r="EU32" s="2">
        <v>91.89</v>
      </c>
      <c r="EV32" s="2">
        <v>12.16</v>
      </c>
      <c r="EW32" s="2">
        <v>1.19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98</v>
      </c>
      <c r="FY32" s="2">
        <v>77</v>
      </c>
      <c r="FZ32" s="2"/>
      <c r="GA32" s="2" t="s">
        <v>3</v>
      </c>
      <c r="GB32" s="2"/>
      <c r="GC32" s="2"/>
      <c r="GD32" s="2">
        <v>0</v>
      </c>
      <c r="GE32" s="2"/>
      <c r="GF32" s="2">
        <v>864155608</v>
      </c>
      <c r="GG32" s="2">
        <v>2</v>
      </c>
      <c r="GH32" s="2">
        <v>1</v>
      </c>
      <c r="GI32" s="2">
        <v>-2</v>
      </c>
      <c r="GJ32" s="2">
        <v>0</v>
      </c>
      <c r="GK32" s="2">
        <f>ROUND(R32*(R12)/100,2)</f>
        <v>7.56</v>
      </c>
      <c r="GL32" s="2">
        <f t="shared" si="50"/>
        <v>0</v>
      </c>
      <c r="GM32" s="2">
        <f t="shared" si="51"/>
        <v>52.97</v>
      </c>
      <c r="GN32" s="2">
        <f t="shared" si="52"/>
        <v>52.97</v>
      </c>
      <c r="GO32" s="2">
        <f t="shared" si="53"/>
        <v>0</v>
      </c>
      <c r="GP32" s="2">
        <f t="shared" si="54"/>
        <v>0</v>
      </c>
      <c r="GQ32" s="2"/>
      <c r="GR32" s="2">
        <v>0</v>
      </c>
      <c r="GS32" s="2">
        <v>0</v>
      </c>
      <c r="GT32" s="2">
        <v>0</v>
      </c>
      <c r="GU32" s="2" t="s">
        <v>3</v>
      </c>
      <c r="GV32" s="2">
        <f t="shared" si="55"/>
        <v>0</v>
      </c>
      <c r="GW32" s="2">
        <v>1</v>
      </c>
      <c r="GX32" s="2">
        <f t="shared" si="56"/>
        <v>0</v>
      </c>
      <c r="GY32" s="2"/>
      <c r="GZ32" s="2"/>
      <c r="HA32" s="2">
        <v>0</v>
      </c>
      <c r="HB32" s="2">
        <v>0</v>
      </c>
      <c r="HC32" s="2">
        <f t="shared" si="57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>
        <v>17</v>
      </c>
      <c r="B33">
        <v>1</v>
      </c>
      <c r="D33">
        <f>ROW(EtalonRes!A12)</f>
        <v>12</v>
      </c>
      <c r="E33" t="s">
        <v>33</v>
      </c>
      <c r="F33" t="s">
        <v>34</v>
      </c>
      <c r="G33" t="s">
        <v>35</v>
      </c>
      <c r="H33" t="s">
        <v>20</v>
      </c>
      <c r="I33">
        <f>ROUND(12.24/100-I29-I31,9)</f>
        <v>3.7580000000000002E-2</v>
      </c>
      <c r="J33">
        <v>0</v>
      </c>
      <c r="K33">
        <f>ROUND(12.24/100-I29-I31,9)</f>
        <v>3.7580000000000002E-2</v>
      </c>
      <c r="O33">
        <f t="shared" si="21"/>
        <v>553.20000000000005</v>
      </c>
      <c r="P33">
        <f t="shared" si="22"/>
        <v>0</v>
      </c>
      <c r="Q33">
        <f t="shared" si="23"/>
        <v>533.53</v>
      </c>
      <c r="R33">
        <f t="shared" si="24"/>
        <v>149.08000000000001</v>
      </c>
      <c r="S33">
        <f t="shared" si="25"/>
        <v>19.670000000000002</v>
      </c>
      <c r="T33">
        <f t="shared" si="26"/>
        <v>0</v>
      </c>
      <c r="U33">
        <f t="shared" si="27"/>
        <v>5.597180232E-2</v>
      </c>
      <c r="V33">
        <f t="shared" si="28"/>
        <v>0</v>
      </c>
      <c r="W33">
        <f t="shared" si="29"/>
        <v>0</v>
      </c>
      <c r="X33">
        <f t="shared" si="30"/>
        <v>18.489999999999998</v>
      </c>
      <c r="Y33">
        <f t="shared" si="31"/>
        <v>10.029999999999999</v>
      </c>
      <c r="AA33">
        <v>56610029</v>
      </c>
      <c r="AB33">
        <f t="shared" si="32"/>
        <v>991.43100000000004</v>
      </c>
      <c r="AC33">
        <f t="shared" si="33"/>
        <v>0</v>
      </c>
      <c r="AD33">
        <f t="shared" si="34"/>
        <v>978.66300000000001</v>
      </c>
      <c r="AE33">
        <f t="shared" si="35"/>
        <v>96.484499999999997</v>
      </c>
      <c r="AF33">
        <f t="shared" si="36"/>
        <v>12.768000000000001</v>
      </c>
      <c r="AG33">
        <f t="shared" si="37"/>
        <v>0</v>
      </c>
      <c r="AH33">
        <f t="shared" si="38"/>
        <v>1.2495000000000001</v>
      </c>
      <c r="AI33">
        <f t="shared" si="39"/>
        <v>0</v>
      </c>
      <c r="AJ33">
        <f t="shared" si="40"/>
        <v>0</v>
      </c>
      <c r="AK33">
        <v>944.22</v>
      </c>
      <c r="AL33">
        <v>0</v>
      </c>
      <c r="AM33">
        <v>932.06</v>
      </c>
      <c r="AN33">
        <v>91.89</v>
      </c>
      <c r="AO33">
        <v>12.16</v>
      </c>
      <c r="AP33">
        <v>0</v>
      </c>
      <c r="AQ33">
        <v>1.19</v>
      </c>
      <c r="AR33">
        <v>0</v>
      </c>
      <c r="AS33">
        <v>0</v>
      </c>
      <c r="AT33">
        <v>94</v>
      </c>
      <c r="AU33">
        <v>51</v>
      </c>
      <c r="AV33">
        <v>1.1919999999999999</v>
      </c>
      <c r="AW33">
        <v>1</v>
      </c>
      <c r="AZ33">
        <v>1</v>
      </c>
      <c r="BA33">
        <v>34.51</v>
      </c>
      <c r="BB33">
        <v>12.17</v>
      </c>
      <c r="BC33">
        <v>1</v>
      </c>
      <c r="BD33" t="s">
        <v>3</v>
      </c>
      <c r="BE33" t="s">
        <v>3</v>
      </c>
      <c r="BF33" t="s">
        <v>3</v>
      </c>
      <c r="BG33" t="s">
        <v>3</v>
      </c>
      <c r="BH33">
        <v>0</v>
      </c>
      <c r="BI33">
        <v>1</v>
      </c>
      <c r="BJ33" t="s">
        <v>36</v>
      </c>
      <c r="BM33">
        <v>2</v>
      </c>
      <c r="BN33">
        <v>0</v>
      </c>
      <c r="BO33" t="s">
        <v>34</v>
      </c>
      <c r="BP33">
        <v>1</v>
      </c>
      <c r="BQ33">
        <v>30</v>
      </c>
      <c r="BR33">
        <v>0</v>
      </c>
      <c r="BS33">
        <v>34.51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94</v>
      </c>
      <c r="CA33">
        <v>51</v>
      </c>
      <c r="CB33" t="s">
        <v>3</v>
      </c>
      <c r="CE33">
        <v>30</v>
      </c>
      <c r="CF33">
        <v>0</v>
      </c>
      <c r="CG33">
        <v>0</v>
      </c>
      <c r="CM33">
        <v>0</v>
      </c>
      <c r="CN33" t="s">
        <v>708</v>
      </c>
      <c r="CO33">
        <v>0</v>
      </c>
      <c r="CP33">
        <f t="shared" si="41"/>
        <v>553.19999999999993</v>
      </c>
      <c r="CQ33">
        <f t="shared" si="42"/>
        <v>0</v>
      </c>
      <c r="CR33">
        <f t="shared" si="43"/>
        <v>14197.16</v>
      </c>
      <c r="CS33">
        <f t="shared" si="44"/>
        <v>3969</v>
      </c>
      <c r="CT33">
        <f t="shared" si="45"/>
        <v>525.24</v>
      </c>
      <c r="CU33">
        <f t="shared" si="46"/>
        <v>0</v>
      </c>
      <c r="CV33">
        <f t="shared" si="47"/>
        <v>1.489404</v>
      </c>
      <c r="CW33">
        <f t="shared" si="48"/>
        <v>0</v>
      </c>
      <c r="CX33">
        <f t="shared" si="49"/>
        <v>0</v>
      </c>
      <c r="CY33">
        <f>S33*(BZ33/100)</f>
        <v>18.489799999999999</v>
      </c>
      <c r="CZ33">
        <f>S33*(CA33/100)</f>
        <v>10.031700000000001</v>
      </c>
      <c r="DB33">
        <v>6</v>
      </c>
      <c r="DC33" t="s">
        <v>3</v>
      </c>
      <c r="DD33" t="s">
        <v>3</v>
      </c>
      <c r="DE33" t="s">
        <v>22</v>
      </c>
      <c r="DF33" t="s">
        <v>22</v>
      </c>
      <c r="DG33" t="s">
        <v>22</v>
      </c>
      <c r="DH33" t="s">
        <v>3</v>
      </c>
      <c r="DI33" t="s">
        <v>22</v>
      </c>
      <c r="DJ33" t="s">
        <v>22</v>
      </c>
      <c r="DK33" t="s">
        <v>3</v>
      </c>
      <c r="DL33" t="s">
        <v>3</v>
      </c>
      <c r="DM33" t="s">
        <v>3</v>
      </c>
      <c r="DN33">
        <v>98</v>
      </c>
      <c r="DO33">
        <v>77</v>
      </c>
      <c r="DP33">
        <v>1.1919999999999999</v>
      </c>
      <c r="DQ33">
        <v>1</v>
      </c>
      <c r="DU33">
        <v>1013</v>
      </c>
      <c r="DV33" t="s">
        <v>20</v>
      </c>
      <c r="DW33" t="s">
        <v>20</v>
      </c>
      <c r="DX33">
        <v>1</v>
      </c>
      <c r="DZ33" t="s">
        <v>3</v>
      </c>
      <c r="EA33" t="s">
        <v>3</v>
      </c>
      <c r="EB33" t="s">
        <v>3</v>
      </c>
      <c r="EC33" t="s">
        <v>3</v>
      </c>
      <c r="EE33">
        <v>51696085</v>
      </c>
      <c r="EF33">
        <v>30</v>
      </c>
      <c r="EG33" t="s">
        <v>23</v>
      </c>
      <c r="EH33">
        <v>0</v>
      </c>
      <c r="EI33" t="s">
        <v>3</v>
      </c>
      <c r="EJ33">
        <v>1</v>
      </c>
      <c r="EK33">
        <v>2</v>
      </c>
      <c r="EL33" t="s">
        <v>31</v>
      </c>
      <c r="EM33" t="s">
        <v>32</v>
      </c>
      <c r="EO33" t="s">
        <v>26</v>
      </c>
      <c r="EQ33">
        <v>131072</v>
      </c>
      <c r="ER33">
        <v>944.22</v>
      </c>
      <c r="ES33">
        <v>0</v>
      </c>
      <c r="ET33">
        <v>932.06</v>
      </c>
      <c r="EU33">
        <v>91.89</v>
      </c>
      <c r="EV33">
        <v>12.16</v>
      </c>
      <c r="EW33">
        <v>1.19</v>
      </c>
      <c r="EX33">
        <v>0</v>
      </c>
      <c r="EY33">
        <v>0</v>
      </c>
      <c r="FQ33">
        <v>0</v>
      </c>
      <c r="FR33">
        <v>0</v>
      </c>
      <c r="FS33">
        <v>0</v>
      </c>
      <c r="FX33">
        <v>98</v>
      </c>
      <c r="FY33">
        <v>77</v>
      </c>
      <c r="GA33" t="s">
        <v>3</v>
      </c>
      <c r="GD33">
        <v>0</v>
      </c>
      <c r="GF33">
        <v>864155608</v>
      </c>
      <c r="GG33">
        <v>2</v>
      </c>
      <c r="GH33">
        <v>1</v>
      </c>
      <c r="GI33">
        <v>2</v>
      </c>
      <c r="GJ33">
        <v>0</v>
      </c>
      <c r="GK33">
        <f>ROUND(R33*(S12)/100,2)</f>
        <v>238.53</v>
      </c>
      <c r="GL33">
        <f t="shared" si="50"/>
        <v>0</v>
      </c>
      <c r="GM33">
        <f t="shared" si="51"/>
        <v>820.25</v>
      </c>
      <c r="GN33">
        <f t="shared" si="52"/>
        <v>820.25</v>
      </c>
      <c r="GO33">
        <f t="shared" si="53"/>
        <v>0</v>
      </c>
      <c r="GP33">
        <f t="shared" si="54"/>
        <v>0</v>
      </c>
      <c r="GR33">
        <v>0</v>
      </c>
      <c r="GS33">
        <v>3</v>
      </c>
      <c r="GT33">
        <v>0</v>
      </c>
      <c r="GU33" t="s">
        <v>3</v>
      </c>
      <c r="GV33">
        <f t="shared" si="55"/>
        <v>0</v>
      </c>
      <c r="GW33">
        <v>1</v>
      </c>
      <c r="GX33">
        <f t="shared" si="56"/>
        <v>0</v>
      </c>
      <c r="HA33">
        <v>0</v>
      </c>
      <c r="HB33">
        <v>0</v>
      </c>
      <c r="HC33">
        <f t="shared" si="57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55" x14ac:dyDescent="0.2">
      <c r="A34" s="2">
        <v>17</v>
      </c>
      <c r="B34" s="2">
        <v>1</v>
      </c>
      <c r="C34" s="2"/>
      <c r="D34" s="2">
        <f>ROW(EtalonRes!A13)</f>
        <v>13</v>
      </c>
      <c r="E34" s="2" t="s">
        <v>37</v>
      </c>
      <c r="F34" s="2" t="s">
        <v>38</v>
      </c>
      <c r="G34" s="2" t="s">
        <v>39</v>
      </c>
      <c r="H34" s="2" t="s">
        <v>20</v>
      </c>
      <c r="I34" s="2">
        <f>ROUND(8.02*0.3/100,9)</f>
        <v>2.4060000000000002E-2</v>
      </c>
      <c r="J34" s="2">
        <v>0</v>
      </c>
      <c r="K34" s="2">
        <f>ROUND(8.02*0.3/100,9)</f>
        <v>2.4060000000000002E-2</v>
      </c>
      <c r="L34" s="2"/>
      <c r="M34" s="2"/>
      <c r="N34" s="2"/>
      <c r="O34" s="2">
        <f t="shared" si="21"/>
        <v>33.14</v>
      </c>
      <c r="P34" s="2">
        <f t="shared" si="22"/>
        <v>0</v>
      </c>
      <c r="Q34" s="2">
        <f t="shared" si="23"/>
        <v>0</v>
      </c>
      <c r="R34" s="2">
        <f t="shared" si="24"/>
        <v>0</v>
      </c>
      <c r="S34" s="2">
        <f t="shared" si="25"/>
        <v>33.14</v>
      </c>
      <c r="T34" s="2">
        <f t="shared" si="26"/>
        <v>0</v>
      </c>
      <c r="U34" s="2">
        <f t="shared" si="27"/>
        <v>3.3747810969600005</v>
      </c>
      <c r="V34" s="2">
        <f t="shared" si="28"/>
        <v>0</v>
      </c>
      <c r="W34" s="2">
        <f t="shared" si="29"/>
        <v>0</v>
      </c>
      <c r="X34" s="2">
        <f t="shared" si="30"/>
        <v>34.799999999999997</v>
      </c>
      <c r="Y34" s="2">
        <f t="shared" si="31"/>
        <v>25.52</v>
      </c>
      <c r="Z34" s="2"/>
      <c r="AA34" s="2">
        <v>56622490</v>
      </c>
      <c r="AB34" s="2">
        <f t="shared" si="32"/>
        <v>1103.6865</v>
      </c>
      <c r="AC34" s="2">
        <f t="shared" si="33"/>
        <v>0</v>
      </c>
      <c r="AD34" s="2">
        <f t="shared" si="34"/>
        <v>0</v>
      </c>
      <c r="AE34" s="2">
        <f t="shared" si="35"/>
        <v>0</v>
      </c>
      <c r="AF34" s="2">
        <f t="shared" si="36"/>
        <v>1103.6865</v>
      </c>
      <c r="AG34" s="2">
        <f t="shared" si="37"/>
        <v>0</v>
      </c>
      <c r="AH34" s="2">
        <f t="shared" si="38"/>
        <v>112.39200000000001</v>
      </c>
      <c r="AI34" s="2">
        <f t="shared" si="39"/>
        <v>0</v>
      </c>
      <c r="AJ34" s="2">
        <f t="shared" si="40"/>
        <v>0</v>
      </c>
      <c r="AK34" s="2">
        <v>1051.1300000000001</v>
      </c>
      <c r="AL34" s="2">
        <v>0</v>
      </c>
      <c r="AM34" s="2">
        <v>0</v>
      </c>
      <c r="AN34" s="2">
        <v>0</v>
      </c>
      <c r="AO34" s="2">
        <v>1051.1300000000001</v>
      </c>
      <c r="AP34" s="2">
        <v>0</v>
      </c>
      <c r="AQ34" s="2">
        <v>107.04</v>
      </c>
      <c r="AR34" s="2">
        <v>0</v>
      </c>
      <c r="AS34" s="2">
        <v>0</v>
      </c>
      <c r="AT34" s="2">
        <v>105</v>
      </c>
      <c r="AU34" s="2">
        <v>77</v>
      </c>
      <c r="AV34" s="2">
        <v>1.248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1</v>
      </c>
      <c r="BJ34" s="2" t="s">
        <v>40</v>
      </c>
      <c r="BK34" s="2"/>
      <c r="BL34" s="2"/>
      <c r="BM34" s="2">
        <v>16</v>
      </c>
      <c r="BN34" s="2">
        <v>0</v>
      </c>
      <c r="BO34" s="2" t="s">
        <v>3</v>
      </c>
      <c r="BP34" s="2">
        <v>0</v>
      </c>
      <c r="BQ34" s="2">
        <v>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105</v>
      </c>
      <c r="CA34" s="2">
        <v>77</v>
      </c>
      <c r="CB34" s="2" t="s">
        <v>3</v>
      </c>
      <c r="CC34" s="2"/>
      <c r="CD34" s="2"/>
      <c r="CE34" s="2">
        <v>30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708</v>
      </c>
      <c r="CO34" s="2">
        <v>0</v>
      </c>
      <c r="CP34" s="2">
        <f t="shared" si="41"/>
        <v>33.14</v>
      </c>
      <c r="CQ34" s="2">
        <f t="shared" si="42"/>
        <v>0</v>
      </c>
      <c r="CR34" s="2">
        <f t="shared" si="43"/>
        <v>0</v>
      </c>
      <c r="CS34" s="2">
        <f t="shared" si="44"/>
        <v>0</v>
      </c>
      <c r="CT34" s="2">
        <f t="shared" si="45"/>
        <v>1377.4</v>
      </c>
      <c r="CU34" s="2">
        <f t="shared" si="46"/>
        <v>0</v>
      </c>
      <c r="CV34" s="2">
        <f t="shared" si="47"/>
        <v>140.26521600000001</v>
      </c>
      <c r="CW34" s="2">
        <f t="shared" si="48"/>
        <v>0</v>
      </c>
      <c r="CX34" s="2">
        <f t="shared" si="49"/>
        <v>0</v>
      </c>
      <c r="CY34" s="2">
        <f>((S34*BZ34)/100)</f>
        <v>34.797000000000004</v>
      </c>
      <c r="CZ34" s="2">
        <f>((S34*CA34)/100)</f>
        <v>25.517800000000001</v>
      </c>
      <c r="DA34" s="2"/>
      <c r="DB34" s="2">
        <v>7</v>
      </c>
      <c r="DC34" s="2" t="s">
        <v>3</v>
      </c>
      <c r="DD34" s="2" t="s">
        <v>3</v>
      </c>
      <c r="DE34" s="2" t="s">
        <v>22</v>
      </c>
      <c r="DF34" s="2" t="s">
        <v>22</v>
      </c>
      <c r="DG34" s="2" t="s">
        <v>22</v>
      </c>
      <c r="DH34" s="2" t="s">
        <v>3</v>
      </c>
      <c r="DI34" s="2" t="s">
        <v>22</v>
      </c>
      <c r="DJ34" s="2" t="s">
        <v>22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20</v>
      </c>
      <c r="DW34" s="2" t="s">
        <v>20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51696099</v>
      </c>
      <c r="EF34" s="2">
        <v>30</v>
      </c>
      <c r="EG34" s="2" t="s">
        <v>23</v>
      </c>
      <c r="EH34" s="2">
        <v>0</v>
      </c>
      <c r="EI34" s="2" t="s">
        <v>3</v>
      </c>
      <c r="EJ34" s="2">
        <v>1</v>
      </c>
      <c r="EK34" s="2">
        <v>16</v>
      </c>
      <c r="EL34" s="2" t="s">
        <v>24</v>
      </c>
      <c r="EM34" s="2" t="s">
        <v>25</v>
      </c>
      <c r="EN34" s="2"/>
      <c r="EO34" s="2" t="s">
        <v>26</v>
      </c>
      <c r="EP34" s="2"/>
      <c r="EQ34" s="2">
        <v>131072</v>
      </c>
      <c r="ER34" s="2">
        <v>1051.1300000000001</v>
      </c>
      <c r="ES34" s="2">
        <v>0</v>
      </c>
      <c r="ET34" s="2">
        <v>0</v>
      </c>
      <c r="EU34" s="2">
        <v>0</v>
      </c>
      <c r="EV34" s="2">
        <v>1051.1300000000001</v>
      </c>
      <c r="EW34" s="2">
        <v>107.04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105</v>
      </c>
      <c r="FY34" s="2">
        <v>77</v>
      </c>
      <c r="FZ34" s="2"/>
      <c r="GA34" s="2" t="s">
        <v>3</v>
      </c>
      <c r="GB34" s="2"/>
      <c r="GC34" s="2"/>
      <c r="GD34" s="2">
        <v>0</v>
      </c>
      <c r="GE34" s="2"/>
      <c r="GF34" s="2">
        <v>1725378853</v>
      </c>
      <c r="GG34" s="2">
        <v>2</v>
      </c>
      <c r="GH34" s="2">
        <v>1</v>
      </c>
      <c r="GI34" s="2">
        <v>-2</v>
      </c>
      <c r="GJ34" s="2">
        <v>0</v>
      </c>
      <c r="GK34" s="2">
        <f>ROUND(R34*(R12)/100,2)</f>
        <v>0</v>
      </c>
      <c r="GL34" s="2">
        <f t="shared" si="50"/>
        <v>0</v>
      </c>
      <c r="GM34" s="2">
        <f t="shared" si="51"/>
        <v>93.46</v>
      </c>
      <c r="GN34" s="2">
        <f t="shared" si="52"/>
        <v>93.46</v>
      </c>
      <c r="GO34" s="2">
        <f t="shared" si="53"/>
        <v>0</v>
      </c>
      <c r="GP34" s="2">
        <f t="shared" si="54"/>
        <v>0</v>
      </c>
      <c r="GQ34" s="2"/>
      <c r="GR34" s="2">
        <v>0</v>
      </c>
      <c r="GS34" s="2">
        <v>0</v>
      </c>
      <c r="GT34" s="2">
        <v>0</v>
      </c>
      <c r="GU34" s="2" t="s">
        <v>3</v>
      </c>
      <c r="GV34" s="2">
        <f t="shared" si="55"/>
        <v>0</v>
      </c>
      <c r="GW34" s="2">
        <v>1</v>
      </c>
      <c r="GX34" s="2">
        <f t="shared" si="56"/>
        <v>0</v>
      </c>
      <c r="GY34" s="2"/>
      <c r="GZ34" s="2"/>
      <c r="HA34" s="2">
        <v>0</v>
      </c>
      <c r="HB34" s="2">
        <v>0</v>
      </c>
      <c r="HC34" s="2">
        <f t="shared" si="57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>
        <v>17</v>
      </c>
      <c r="B35">
        <v>1</v>
      </c>
      <c r="D35">
        <f>ROW(EtalonRes!A14)</f>
        <v>14</v>
      </c>
      <c r="E35" t="s">
        <v>37</v>
      </c>
      <c r="F35" t="s">
        <v>38</v>
      </c>
      <c r="G35" t="s">
        <v>39</v>
      </c>
      <c r="H35" t="s">
        <v>20</v>
      </c>
      <c r="I35">
        <f>ROUND(8.02*0.3/100,9)</f>
        <v>2.4060000000000002E-2</v>
      </c>
      <c r="J35">
        <v>0</v>
      </c>
      <c r="K35">
        <f>ROUND(8.02*0.3/100,9)</f>
        <v>2.4060000000000002E-2</v>
      </c>
      <c r="O35">
        <f t="shared" si="21"/>
        <v>1143.6600000000001</v>
      </c>
      <c r="P35">
        <f t="shared" si="22"/>
        <v>0</v>
      </c>
      <c r="Q35">
        <f t="shared" si="23"/>
        <v>0</v>
      </c>
      <c r="R35">
        <f t="shared" si="24"/>
        <v>0</v>
      </c>
      <c r="S35">
        <f t="shared" si="25"/>
        <v>1143.6600000000001</v>
      </c>
      <c r="T35">
        <f t="shared" si="26"/>
        <v>0</v>
      </c>
      <c r="U35">
        <f t="shared" si="27"/>
        <v>3.3747810969600005</v>
      </c>
      <c r="V35">
        <f t="shared" si="28"/>
        <v>0</v>
      </c>
      <c r="W35">
        <f t="shared" si="29"/>
        <v>0</v>
      </c>
      <c r="X35">
        <f t="shared" si="30"/>
        <v>994.98</v>
      </c>
      <c r="Y35">
        <f t="shared" si="31"/>
        <v>468.9</v>
      </c>
      <c r="AA35">
        <v>56610029</v>
      </c>
      <c r="AB35">
        <f t="shared" si="32"/>
        <v>1103.6865</v>
      </c>
      <c r="AC35">
        <f t="shared" si="33"/>
        <v>0</v>
      </c>
      <c r="AD35">
        <f t="shared" si="34"/>
        <v>0</v>
      </c>
      <c r="AE35">
        <f t="shared" si="35"/>
        <v>0</v>
      </c>
      <c r="AF35">
        <f t="shared" si="36"/>
        <v>1103.6865</v>
      </c>
      <c r="AG35">
        <f t="shared" si="37"/>
        <v>0</v>
      </c>
      <c r="AH35">
        <f t="shared" si="38"/>
        <v>112.39200000000001</v>
      </c>
      <c r="AI35">
        <f t="shared" si="39"/>
        <v>0</v>
      </c>
      <c r="AJ35">
        <f t="shared" si="40"/>
        <v>0</v>
      </c>
      <c r="AK35">
        <v>1051.1300000000001</v>
      </c>
      <c r="AL35">
        <v>0</v>
      </c>
      <c r="AM35">
        <v>0</v>
      </c>
      <c r="AN35">
        <v>0</v>
      </c>
      <c r="AO35">
        <v>1051.1300000000001</v>
      </c>
      <c r="AP35">
        <v>0</v>
      </c>
      <c r="AQ35">
        <v>107.04</v>
      </c>
      <c r="AR35">
        <v>0</v>
      </c>
      <c r="AS35">
        <v>0</v>
      </c>
      <c r="AT35">
        <v>87</v>
      </c>
      <c r="AU35">
        <v>41</v>
      </c>
      <c r="AV35">
        <v>1.248</v>
      </c>
      <c r="AW35">
        <v>1</v>
      </c>
      <c r="AZ35">
        <v>1</v>
      </c>
      <c r="BA35">
        <v>34.51</v>
      </c>
      <c r="BB35">
        <v>1</v>
      </c>
      <c r="BC35">
        <v>1</v>
      </c>
      <c r="BD35" t="s">
        <v>3</v>
      </c>
      <c r="BE35" t="s">
        <v>3</v>
      </c>
      <c r="BF35" t="s">
        <v>3</v>
      </c>
      <c r="BG35" t="s">
        <v>3</v>
      </c>
      <c r="BH35">
        <v>0</v>
      </c>
      <c r="BI35">
        <v>1</v>
      </c>
      <c r="BJ35" t="s">
        <v>40</v>
      </c>
      <c r="BM35">
        <v>16</v>
      </c>
      <c r="BN35">
        <v>0</v>
      </c>
      <c r="BO35" t="s">
        <v>38</v>
      </c>
      <c r="BP35">
        <v>1</v>
      </c>
      <c r="BQ35">
        <v>30</v>
      </c>
      <c r="BR35">
        <v>0</v>
      </c>
      <c r="BS35">
        <v>34.51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87</v>
      </c>
      <c r="CA35">
        <v>41</v>
      </c>
      <c r="CB35" t="s">
        <v>3</v>
      </c>
      <c r="CE35">
        <v>30</v>
      </c>
      <c r="CF35">
        <v>0</v>
      </c>
      <c r="CG35">
        <v>0</v>
      </c>
      <c r="CM35">
        <v>0</v>
      </c>
      <c r="CN35" t="s">
        <v>708</v>
      </c>
      <c r="CO35">
        <v>0</v>
      </c>
      <c r="CP35">
        <f t="shared" si="41"/>
        <v>1143.6600000000001</v>
      </c>
      <c r="CQ35">
        <f t="shared" si="42"/>
        <v>0</v>
      </c>
      <c r="CR35">
        <f t="shared" si="43"/>
        <v>0</v>
      </c>
      <c r="CS35">
        <f t="shared" si="44"/>
        <v>0</v>
      </c>
      <c r="CT35">
        <f t="shared" si="45"/>
        <v>47534.07</v>
      </c>
      <c r="CU35">
        <f t="shared" si="46"/>
        <v>0</v>
      </c>
      <c r="CV35">
        <f t="shared" si="47"/>
        <v>140.26521600000001</v>
      </c>
      <c r="CW35">
        <f t="shared" si="48"/>
        <v>0</v>
      </c>
      <c r="CX35">
        <f t="shared" si="49"/>
        <v>0</v>
      </c>
      <c r="CY35">
        <f>S35*(BZ35/100)</f>
        <v>994.9842000000001</v>
      </c>
      <c r="CZ35">
        <f>S35*(CA35/100)</f>
        <v>468.9006</v>
      </c>
      <c r="DB35">
        <v>8</v>
      </c>
      <c r="DC35" t="s">
        <v>3</v>
      </c>
      <c r="DD35" t="s">
        <v>3</v>
      </c>
      <c r="DE35" t="s">
        <v>22</v>
      </c>
      <c r="DF35" t="s">
        <v>22</v>
      </c>
      <c r="DG35" t="s">
        <v>22</v>
      </c>
      <c r="DH35" t="s">
        <v>3</v>
      </c>
      <c r="DI35" t="s">
        <v>22</v>
      </c>
      <c r="DJ35" t="s">
        <v>22</v>
      </c>
      <c r="DK35" t="s">
        <v>3</v>
      </c>
      <c r="DL35" t="s">
        <v>3</v>
      </c>
      <c r="DM35" t="s">
        <v>3</v>
      </c>
      <c r="DN35">
        <v>105</v>
      </c>
      <c r="DO35">
        <v>77</v>
      </c>
      <c r="DP35">
        <v>1.248</v>
      </c>
      <c r="DQ35">
        <v>1</v>
      </c>
      <c r="DU35">
        <v>1013</v>
      </c>
      <c r="DV35" t="s">
        <v>20</v>
      </c>
      <c r="DW35" t="s">
        <v>20</v>
      </c>
      <c r="DX35">
        <v>1</v>
      </c>
      <c r="DZ35" t="s">
        <v>3</v>
      </c>
      <c r="EA35" t="s">
        <v>3</v>
      </c>
      <c r="EB35" t="s">
        <v>3</v>
      </c>
      <c r="EC35" t="s">
        <v>3</v>
      </c>
      <c r="EE35">
        <v>51696099</v>
      </c>
      <c r="EF35">
        <v>30</v>
      </c>
      <c r="EG35" t="s">
        <v>23</v>
      </c>
      <c r="EH35">
        <v>0</v>
      </c>
      <c r="EI35" t="s">
        <v>3</v>
      </c>
      <c r="EJ35">
        <v>1</v>
      </c>
      <c r="EK35">
        <v>16</v>
      </c>
      <c r="EL35" t="s">
        <v>24</v>
      </c>
      <c r="EM35" t="s">
        <v>25</v>
      </c>
      <c r="EO35" t="s">
        <v>26</v>
      </c>
      <c r="EQ35">
        <v>131072</v>
      </c>
      <c r="ER35">
        <v>1051.1300000000001</v>
      </c>
      <c r="ES35">
        <v>0</v>
      </c>
      <c r="ET35">
        <v>0</v>
      </c>
      <c r="EU35">
        <v>0</v>
      </c>
      <c r="EV35">
        <v>1051.1300000000001</v>
      </c>
      <c r="EW35">
        <v>107.04</v>
      </c>
      <c r="EX35">
        <v>0</v>
      </c>
      <c r="EY35">
        <v>0</v>
      </c>
      <c r="FQ35">
        <v>0</v>
      </c>
      <c r="FR35">
        <v>0</v>
      </c>
      <c r="FS35">
        <v>0</v>
      </c>
      <c r="FX35">
        <v>105</v>
      </c>
      <c r="FY35">
        <v>77</v>
      </c>
      <c r="GA35" t="s">
        <v>3</v>
      </c>
      <c r="GD35">
        <v>0</v>
      </c>
      <c r="GF35">
        <v>1725378853</v>
      </c>
      <c r="GG35">
        <v>2</v>
      </c>
      <c r="GH35">
        <v>1</v>
      </c>
      <c r="GI35">
        <v>2</v>
      </c>
      <c r="GJ35">
        <v>0</v>
      </c>
      <c r="GK35">
        <f>ROUND(R35*(S12)/100,2)</f>
        <v>0</v>
      </c>
      <c r="GL35">
        <f t="shared" si="50"/>
        <v>0</v>
      </c>
      <c r="GM35">
        <f t="shared" si="51"/>
        <v>2607.54</v>
      </c>
      <c r="GN35">
        <f t="shared" si="52"/>
        <v>2607.54</v>
      </c>
      <c r="GO35">
        <f t="shared" si="53"/>
        <v>0</v>
      </c>
      <c r="GP35">
        <f t="shared" si="54"/>
        <v>0</v>
      </c>
      <c r="GR35">
        <v>0</v>
      </c>
      <c r="GS35">
        <v>3</v>
      </c>
      <c r="GT35">
        <v>0</v>
      </c>
      <c r="GU35" t="s">
        <v>3</v>
      </c>
      <c r="GV35">
        <f t="shared" si="55"/>
        <v>0</v>
      </c>
      <c r="GW35">
        <v>1</v>
      </c>
      <c r="GX35">
        <f t="shared" si="56"/>
        <v>0</v>
      </c>
      <c r="HA35">
        <v>0</v>
      </c>
      <c r="HB35">
        <v>0</v>
      </c>
      <c r="HC35">
        <f t="shared" si="57"/>
        <v>0</v>
      </c>
      <c r="HE35" t="s">
        <v>3</v>
      </c>
      <c r="HF35" t="s">
        <v>3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S35">
        <v>0</v>
      </c>
      <c r="IK35">
        <v>0</v>
      </c>
    </row>
    <row r="36" spans="1:255" x14ac:dyDescent="0.2">
      <c r="A36" s="2">
        <v>17</v>
      </c>
      <c r="B36" s="2">
        <v>1</v>
      </c>
      <c r="C36" s="2"/>
      <c r="D36" s="2">
        <f>ROW(EtalonRes!A15)</f>
        <v>15</v>
      </c>
      <c r="E36" s="2" t="s">
        <v>41</v>
      </c>
      <c r="F36" s="2" t="s">
        <v>42</v>
      </c>
      <c r="G36" s="2" t="s">
        <v>43</v>
      </c>
      <c r="H36" s="2" t="s">
        <v>20</v>
      </c>
      <c r="I36" s="2">
        <f>ROUND(8.02*0.7/100,9)</f>
        <v>5.6140000000000002E-2</v>
      </c>
      <c r="J36" s="2">
        <v>0</v>
      </c>
      <c r="K36" s="2">
        <f>ROUND(8.02*0.7/100,9)</f>
        <v>5.6140000000000002E-2</v>
      </c>
      <c r="L36" s="2"/>
      <c r="M36" s="2"/>
      <c r="N36" s="2"/>
      <c r="O36" s="2">
        <f t="shared" si="21"/>
        <v>7.77</v>
      </c>
      <c r="P36" s="2">
        <f t="shared" si="22"/>
        <v>0</v>
      </c>
      <c r="Q36" s="2">
        <f t="shared" si="23"/>
        <v>7.77</v>
      </c>
      <c r="R36" s="2">
        <f t="shared" si="24"/>
        <v>0.78</v>
      </c>
      <c r="S36" s="2">
        <f t="shared" si="25"/>
        <v>0</v>
      </c>
      <c r="T36" s="2">
        <f t="shared" si="26"/>
        <v>0</v>
      </c>
      <c r="U36" s="2">
        <f t="shared" si="27"/>
        <v>0</v>
      </c>
      <c r="V36" s="2">
        <f t="shared" si="28"/>
        <v>0</v>
      </c>
      <c r="W36" s="2">
        <f t="shared" si="29"/>
        <v>0</v>
      </c>
      <c r="X36" s="2">
        <f t="shared" si="30"/>
        <v>0</v>
      </c>
      <c r="Y36" s="2">
        <f t="shared" si="31"/>
        <v>0</v>
      </c>
      <c r="Z36" s="2"/>
      <c r="AA36" s="2">
        <v>56622490</v>
      </c>
      <c r="AB36" s="2">
        <f t="shared" si="32"/>
        <v>136.51050000000001</v>
      </c>
      <c r="AC36" s="2">
        <f t="shared" si="33"/>
        <v>0</v>
      </c>
      <c r="AD36" s="2">
        <f t="shared" si="34"/>
        <v>136.51050000000001</v>
      </c>
      <c r="AE36" s="2">
        <f t="shared" si="35"/>
        <v>13.629</v>
      </c>
      <c r="AF36" s="2">
        <f t="shared" si="36"/>
        <v>0</v>
      </c>
      <c r="AG36" s="2">
        <f t="shared" si="37"/>
        <v>0</v>
      </c>
      <c r="AH36" s="2">
        <f t="shared" si="38"/>
        <v>0</v>
      </c>
      <c r="AI36" s="2">
        <f t="shared" si="39"/>
        <v>0</v>
      </c>
      <c r="AJ36" s="2">
        <f t="shared" si="40"/>
        <v>0</v>
      </c>
      <c r="AK36" s="2">
        <v>130.01</v>
      </c>
      <c r="AL36" s="2">
        <v>0</v>
      </c>
      <c r="AM36" s="2">
        <v>130.01</v>
      </c>
      <c r="AN36" s="2">
        <v>12.98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98</v>
      </c>
      <c r="AU36" s="2">
        <v>77</v>
      </c>
      <c r="AV36" s="2">
        <v>1.014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1</v>
      </c>
      <c r="BJ36" s="2" t="s">
        <v>44</v>
      </c>
      <c r="BK36" s="2"/>
      <c r="BL36" s="2"/>
      <c r="BM36" s="2">
        <v>5</v>
      </c>
      <c r="BN36" s="2">
        <v>0</v>
      </c>
      <c r="BO36" s="2" t="s">
        <v>3</v>
      </c>
      <c r="BP36" s="2">
        <v>0</v>
      </c>
      <c r="BQ36" s="2">
        <v>30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98</v>
      </c>
      <c r="CA36" s="2">
        <v>77</v>
      </c>
      <c r="CB36" s="2" t="s">
        <v>3</v>
      </c>
      <c r="CC36" s="2"/>
      <c r="CD36" s="2"/>
      <c r="CE36" s="2">
        <v>30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708</v>
      </c>
      <c r="CO36" s="2">
        <v>0</v>
      </c>
      <c r="CP36" s="2">
        <f t="shared" si="41"/>
        <v>7.77</v>
      </c>
      <c r="CQ36" s="2">
        <f t="shared" si="42"/>
        <v>0</v>
      </c>
      <c r="CR36" s="2">
        <f t="shared" si="43"/>
        <v>138.41999999999999</v>
      </c>
      <c r="CS36" s="2">
        <f t="shared" si="44"/>
        <v>13.82</v>
      </c>
      <c r="CT36" s="2">
        <f t="shared" si="45"/>
        <v>0</v>
      </c>
      <c r="CU36" s="2">
        <f t="shared" si="46"/>
        <v>0</v>
      </c>
      <c r="CV36" s="2">
        <f t="shared" si="47"/>
        <v>0</v>
      </c>
      <c r="CW36" s="2">
        <f t="shared" si="48"/>
        <v>0</v>
      </c>
      <c r="CX36" s="2">
        <f t="shared" si="49"/>
        <v>0</v>
      </c>
      <c r="CY36" s="2">
        <f>((S36*BZ36)/100)</f>
        <v>0</v>
      </c>
      <c r="CZ36" s="2">
        <f>((S36*CA36)/100)</f>
        <v>0</v>
      </c>
      <c r="DA36" s="2"/>
      <c r="DB36" s="2">
        <v>9</v>
      </c>
      <c r="DC36" s="2" t="s">
        <v>3</v>
      </c>
      <c r="DD36" s="2" t="s">
        <v>3</v>
      </c>
      <c r="DE36" s="2" t="s">
        <v>22</v>
      </c>
      <c r="DF36" s="2" t="s">
        <v>22</v>
      </c>
      <c r="DG36" s="2" t="s">
        <v>22</v>
      </c>
      <c r="DH36" s="2" t="s">
        <v>3</v>
      </c>
      <c r="DI36" s="2" t="s">
        <v>22</v>
      </c>
      <c r="DJ36" s="2" t="s">
        <v>22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20</v>
      </c>
      <c r="DW36" s="2" t="s">
        <v>20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51696088</v>
      </c>
      <c r="EF36" s="2">
        <v>30</v>
      </c>
      <c r="EG36" s="2" t="s">
        <v>23</v>
      </c>
      <c r="EH36" s="2">
        <v>0</v>
      </c>
      <c r="EI36" s="2" t="s">
        <v>3</v>
      </c>
      <c r="EJ36" s="2">
        <v>1</v>
      </c>
      <c r="EK36" s="2">
        <v>5</v>
      </c>
      <c r="EL36" s="2" t="s">
        <v>45</v>
      </c>
      <c r="EM36" s="2" t="s">
        <v>46</v>
      </c>
      <c r="EN36" s="2"/>
      <c r="EO36" s="2" t="s">
        <v>26</v>
      </c>
      <c r="EP36" s="2"/>
      <c r="EQ36" s="2">
        <v>131072</v>
      </c>
      <c r="ER36" s="2">
        <v>130.01</v>
      </c>
      <c r="ES36" s="2">
        <v>0</v>
      </c>
      <c r="ET36" s="2">
        <v>130.01</v>
      </c>
      <c r="EU36" s="2">
        <v>12.98</v>
      </c>
      <c r="EV36" s="2">
        <v>0</v>
      </c>
      <c r="EW36" s="2">
        <v>0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98</v>
      </c>
      <c r="FY36" s="2">
        <v>77</v>
      </c>
      <c r="FZ36" s="2"/>
      <c r="GA36" s="2" t="s">
        <v>3</v>
      </c>
      <c r="GB36" s="2"/>
      <c r="GC36" s="2"/>
      <c r="GD36" s="2">
        <v>0</v>
      </c>
      <c r="GE36" s="2"/>
      <c r="GF36" s="2">
        <v>1539452637</v>
      </c>
      <c r="GG36" s="2">
        <v>2</v>
      </c>
      <c r="GH36" s="2">
        <v>1</v>
      </c>
      <c r="GI36" s="2">
        <v>-2</v>
      </c>
      <c r="GJ36" s="2">
        <v>0</v>
      </c>
      <c r="GK36" s="2">
        <f>ROUND(R36*(R12)/100,2)</f>
        <v>1.37</v>
      </c>
      <c r="GL36" s="2">
        <f t="shared" si="50"/>
        <v>0</v>
      </c>
      <c r="GM36" s="2">
        <f t="shared" si="51"/>
        <v>9.14</v>
      </c>
      <c r="GN36" s="2">
        <f t="shared" si="52"/>
        <v>9.14</v>
      </c>
      <c r="GO36" s="2">
        <f t="shared" si="53"/>
        <v>0</v>
      </c>
      <c r="GP36" s="2">
        <f t="shared" si="54"/>
        <v>0</v>
      </c>
      <c r="GQ36" s="2"/>
      <c r="GR36" s="2">
        <v>0</v>
      </c>
      <c r="GS36" s="2">
        <v>0</v>
      </c>
      <c r="GT36" s="2">
        <v>0</v>
      </c>
      <c r="GU36" s="2" t="s">
        <v>3</v>
      </c>
      <c r="GV36" s="2">
        <f t="shared" si="55"/>
        <v>0</v>
      </c>
      <c r="GW36" s="2">
        <v>1</v>
      </c>
      <c r="GX36" s="2">
        <f t="shared" si="56"/>
        <v>0</v>
      </c>
      <c r="GY36" s="2"/>
      <c r="GZ36" s="2"/>
      <c r="HA36" s="2">
        <v>0</v>
      </c>
      <c r="HB36" s="2">
        <v>0</v>
      </c>
      <c r="HC36" s="2">
        <f t="shared" si="57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>
        <v>17</v>
      </c>
      <c r="B37">
        <v>1</v>
      </c>
      <c r="D37">
        <f>ROW(EtalonRes!A16)</f>
        <v>16</v>
      </c>
      <c r="E37" t="s">
        <v>41</v>
      </c>
      <c r="F37" t="s">
        <v>42</v>
      </c>
      <c r="G37" t="s">
        <v>43</v>
      </c>
      <c r="H37" t="s">
        <v>20</v>
      </c>
      <c r="I37">
        <f>ROUND(8.02*0.7/100,9)</f>
        <v>5.6140000000000002E-2</v>
      </c>
      <c r="J37">
        <v>0</v>
      </c>
      <c r="K37">
        <f>ROUND(8.02*0.7/100,9)</f>
        <v>5.6140000000000002E-2</v>
      </c>
      <c r="O37">
        <f t="shared" si="21"/>
        <v>93.86</v>
      </c>
      <c r="P37">
        <f t="shared" si="22"/>
        <v>0</v>
      </c>
      <c r="Q37">
        <f t="shared" si="23"/>
        <v>93.86</v>
      </c>
      <c r="R37">
        <f t="shared" si="24"/>
        <v>26.92</v>
      </c>
      <c r="S37">
        <f t="shared" si="25"/>
        <v>0</v>
      </c>
      <c r="T37">
        <f t="shared" si="26"/>
        <v>0</v>
      </c>
      <c r="U37">
        <f t="shared" si="27"/>
        <v>0</v>
      </c>
      <c r="V37">
        <f t="shared" si="28"/>
        <v>0</v>
      </c>
      <c r="W37">
        <f t="shared" si="29"/>
        <v>0</v>
      </c>
      <c r="X37">
        <f t="shared" si="30"/>
        <v>0</v>
      </c>
      <c r="Y37">
        <f t="shared" si="31"/>
        <v>0</v>
      </c>
      <c r="AA37">
        <v>56610029</v>
      </c>
      <c r="AB37">
        <f t="shared" si="32"/>
        <v>136.51050000000001</v>
      </c>
      <c r="AC37">
        <f t="shared" si="33"/>
        <v>0</v>
      </c>
      <c r="AD37">
        <f t="shared" si="34"/>
        <v>136.51050000000001</v>
      </c>
      <c r="AE37">
        <f t="shared" si="35"/>
        <v>13.629</v>
      </c>
      <c r="AF37">
        <f t="shared" si="36"/>
        <v>0</v>
      </c>
      <c r="AG37">
        <f t="shared" si="37"/>
        <v>0</v>
      </c>
      <c r="AH37">
        <f t="shared" si="38"/>
        <v>0</v>
      </c>
      <c r="AI37">
        <f t="shared" si="39"/>
        <v>0</v>
      </c>
      <c r="AJ37">
        <f t="shared" si="40"/>
        <v>0</v>
      </c>
      <c r="AK37">
        <v>130.01</v>
      </c>
      <c r="AL37">
        <v>0</v>
      </c>
      <c r="AM37">
        <v>130.01</v>
      </c>
      <c r="AN37">
        <v>12.98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94</v>
      </c>
      <c r="AU37">
        <v>51</v>
      </c>
      <c r="AV37">
        <v>1.014</v>
      </c>
      <c r="AW37">
        <v>1</v>
      </c>
      <c r="AZ37">
        <v>1</v>
      </c>
      <c r="BA37">
        <v>34.51</v>
      </c>
      <c r="BB37">
        <v>12.08</v>
      </c>
      <c r="BC37">
        <v>1</v>
      </c>
      <c r="BD37" t="s">
        <v>3</v>
      </c>
      <c r="BE37" t="s">
        <v>3</v>
      </c>
      <c r="BF37" t="s">
        <v>3</v>
      </c>
      <c r="BG37" t="s">
        <v>3</v>
      </c>
      <c r="BH37">
        <v>0</v>
      </c>
      <c r="BI37">
        <v>1</v>
      </c>
      <c r="BJ37" t="s">
        <v>44</v>
      </c>
      <c r="BM37">
        <v>5</v>
      </c>
      <c r="BN37">
        <v>0</v>
      </c>
      <c r="BO37" t="s">
        <v>42</v>
      </c>
      <c r="BP37">
        <v>1</v>
      </c>
      <c r="BQ37">
        <v>30</v>
      </c>
      <c r="BR37">
        <v>0</v>
      </c>
      <c r="BS37">
        <v>34.51</v>
      </c>
      <c r="BT37">
        <v>1</v>
      </c>
      <c r="BU37">
        <v>1</v>
      </c>
      <c r="BV37">
        <v>1</v>
      </c>
      <c r="BW37">
        <v>1</v>
      </c>
      <c r="BX37">
        <v>1</v>
      </c>
      <c r="BY37" t="s">
        <v>3</v>
      </c>
      <c r="BZ37">
        <v>94</v>
      </c>
      <c r="CA37">
        <v>51</v>
      </c>
      <c r="CB37" t="s">
        <v>3</v>
      </c>
      <c r="CE37">
        <v>30</v>
      </c>
      <c r="CF37">
        <v>0</v>
      </c>
      <c r="CG37">
        <v>0</v>
      </c>
      <c r="CM37">
        <v>0</v>
      </c>
      <c r="CN37" t="s">
        <v>708</v>
      </c>
      <c r="CO37">
        <v>0</v>
      </c>
      <c r="CP37">
        <f t="shared" si="41"/>
        <v>93.86</v>
      </c>
      <c r="CQ37">
        <f t="shared" si="42"/>
        <v>0</v>
      </c>
      <c r="CR37">
        <f t="shared" si="43"/>
        <v>1672.11</v>
      </c>
      <c r="CS37">
        <f t="shared" si="44"/>
        <v>476.93</v>
      </c>
      <c r="CT37">
        <f t="shared" si="45"/>
        <v>0</v>
      </c>
      <c r="CU37">
        <f t="shared" si="46"/>
        <v>0</v>
      </c>
      <c r="CV37">
        <f t="shared" si="47"/>
        <v>0</v>
      </c>
      <c r="CW37">
        <f t="shared" si="48"/>
        <v>0</v>
      </c>
      <c r="CX37">
        <f t="shared" si="49"/>
        <v>0</v>
      </c>
      <c r="CY37">
        <f>S37*(BZ37/100)</f>
        <v>0</v>
      </c>
      <c r="CZ37">
        <f>S37*(CA37/100)</f>
        <v>0</v>
      </c>
      <c r="DB37">
        <v>10</v>
      </c>
      <c r="DC37" t="s">
        <v>3</v>
      </c>
      <c r="DD37" t="s">
        <v>3</v>
      </c>
      <c r="DE37" t="s">
        <v>22</v>
      </c>
      <c r="DF37" t="s">
        <v>22</v>
      </c>
      <c r="DG37" t="s">
        <v>22</v>
      </c>
      <c r="DH37" t="s">
        <v>3</v>
      </c>
      <c r="DI37" t="s">
        <v>22</v>
      </c>
      <c r="DJ37" t="s">
        <v>22</v>
      </c>
      <c r="DK37" t="s">
        <v>3</v>
      </c>
      <c r="DL37" t="s">
        <v>3</v>
      </c>
      <c r="DM37" t="s">
        <v>3</v>
      </c>
      <c r="DN37">
        <v>98</v>
      </c>
      <c r="DO37">
        <v>77</v>
      </c>
      <c r="DP37">
        <v>1.014</v>
      </c>
      <c r="DQ37">
        <v>1</v>
      </c>
      <c r="DU37">
        <v>1013</v>
      </c>
      <c r="DV37" t="s">
        <v>20</v>
      </c>
      <c r="DW37" t="s">
        <v>20</v>
      </c>
      <c r="DX37">
        <v>1</v>
      </c>
      <c r="DZ37" t="s">
        <v>3</v>
      </c>
      <c r="EA37" t="s">
        <v>3</v>
      </c>
      <c r="EB37" t="s">
        <v>3</v>
      </c>
      <c r="EC37" t="s">
        <v>3</v>
      </c>
      <c r="EE37">
        <v>51696088</v>
      </c>
      <c r="EF37">
        <v>30</v>
      </c>
      <c r="EG37" t="s">
        <v>23</v>
      </c>
      <c r="EH37">
        <v>0</v>
      </c>
      <c r="EI37" t="s">
        <v>3</v>
      </c>
      <c r="EJ37">
        <v>1</v>
      </c>
      <c r="EK37">
        <v>5</v>
      </c>
      <c r="EL37" t="s">
        <v>45</v>
      </c>
      <c r="EM37" t="s">
        <v>46</v>
      </c>
      <c r="EO37" t="s">
        <v>26</v>
      </c>
      <c r="EQ37">
        <v>131072</v>
      </c>
      <c r="ER37">
        <v>130.01</v>
      </c>
      <c r="ES37">
        <v>0</v>
      </c>
      <c r="ET37">
        <v>130.01</v>
      </c>
      <c r="EU37">
        <v>12.98</v>
      </c>
      <c r="EV37">
        <v>0</v>
      </c>
      <c r="EW37">
        <v>0</v>
      </c>
      <c r="EX37">
        <v>0</v>
      </c>
      <c r="EY37">
        <v>0</v>
      </c>
      <c r="FQ37">
        <v>0</v>
      </c>
      <c r="FR37">
        <v>0</v>
      </c>
      <c r="FS37">
        <v>0</v>
      </c>
      <c r="FX37">
        <v>98</v>
      </c>
      <c r="FY37">
        <v>77</v>
      </c>
      <c r="GA37" t="s">
        <v>3</v>
      </c>
      <c r="GD37">
        <v>0</v>
      </c>
      <c r="GF37">
        <v>1539452637</v>
      </c>
      <c r="GG37">
        <v>2</v>
      </c>
      <c r="GH37">
        <v>1</v>
      </c>
      <c r="GI37">
        <v>2</v>
      </c>
      <c r="GJ37">
        <v>0</v>
      </c>
      <c r="GK37">
        <f>ROUND(R37*(S12)/100,2)</f>
        <v>43.07</v>
      </c>
      <c r="GL37">
        <f t="shared" si="50"/>
        <v>0</v>
      </c>
      <c r="GM37">
        <f t="shared" si="51"/>
        <v>136.93</v>
      </c>
      <c r="GN37">
        <f t="shared" si="52"/>
        <v>136.93</v>
      </c>
      <c r="GO37">
        <f t="shared" si="53"/>
        <v>0</v>
      </c>
      <c r="GP37">
        <f t="shared" si="54"/>
        <v>0</v>
      </c>
      <c r="GR37">
        <v>0</v>
      </c>
      <c r="GS37">
        <v>3</v>
      </c>
      <c r="GT37">
        <v>0</v>
      </c>
      <c r="GU37" t="s">
        <v>3</v>
      </c>
      <c r="GV37">
        <f t="shared" si="55"/>
        <v>0</v>
      </c>
      <c r="GW37">
        <v>1</v>
      </c>
      <c r="GX37">
        <f t="shared" si="56"/>
        <v>0</v>
      </c>
      <c r="HA37">
        <v>0</v>
      </c>
      <c r="HB37">
        <v>0</v>
      </c>
      <c r="HC37">
        <f t="shared" si="57"/>
        <v>0</v>
      </c>
      <c r="HE37" t="s">
        <v>3</v>
      </c>
      <c r="HF37" t="s">
        <v>3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HS37">
        <v>0</v>
      </c>
      <c r="IK37">
        <v>0</v>
      </c>
    </row>
    <row r="38" spans="1:255" x14ac:dyDescent="0.2">
      <c r="A38" s="2">
        <v>17</v>
      </c>
      <c r="B38" s="2">
        <v>1</v>
      </c>
      <c r="C38" s="2"/>
      <c r="D38" s="2">
        <f>ROW(EtalonRes!A20)</f>
        <v>20</v>
      </c>
      <c r="E38" s="2" t="s">
        <v>47</v>
      </c>
      <c r="F38" s="2" t="s">
        <v>48</v>
      </c>
      <c r="G38" s="2" t="s">
        <v>49</v>
      </c>
      <c r="H38" s="2" t="s">
        <v>50</v>
      </c>
      <c r="I38" s="2">
        <v>0</v>
      </c>
      <c r="J38" s="2">
        <v>0</v>
      </c>
      <c r="K38" s="2">
        <v>0</v>
      </c>
      <c r="L38" s="2"/>
      <c r="M38" s="2"/>
      <c r="N38" s="2"/>
      <c r="O38" s="2">
        <f t="shared" si="21"/>
        <v>0</v>
      </c>
      <c r="P38" s="2">
        <f t="shared" si="22"/>
        <v>0</v>
      </c>
      <c r="Q38" s="2">
        <f t="shared" si="23"/>
        <v>0</v>
      </c>
      <c r="R38" s="2">
        <f t="shared" si="24"/>
        <v>0</v>
      </c>
      <c r="S38" s="2">
        <f t="shared" si="25"/>
        <v>0</v>
      </c>
      <c r="T38" s="2">
        <f t="shared" si="26"/>
        <v>0</v>
      </c>
      <c r="U38" s="2">
        <f t="shared" si="27"/>
        <v>0</v>
      </c>
      <c r="V38" s="2">
        <f t="shared" si="28"/>
        <v>0</v>
      </c>
      <c r="W38" s="2">
        <f t="shared" si="29"/>
        <v>0</v>
      </c>
      <c r="X38" s="2">
        <f t="shared" si="30"/>
        <v>0</v>
      </c>
      <c r="Y38" s="2">
        <f t="shared" si="31"/>
        <v>0</v>
      </c>
      <c r="Z38" s="2"/>
      <c r="AA38" s="2">
        <v>56622490</v>
      </c>
      <c r="AB38" s="2">
        <f t="shared" si="32"/>
        <v>21174.121999999999</v>
      </c>
      <c r="AC38" s="2">
        <f t="shared" si="33"/>
        <v>19554.14</v>
      </c>
      <c r="AD38" s="2">
        <f t="shared" si="34"/>
        <v>0</v>
      </c>
      <c r="AE38" s="2">
        <f t="shared" si="35"/>
        <v>0</v>
      </c>
      <c r="AF38" s="2">
        <f t="shared" si="36"/>
        <v>1619.982</v>
      </c>
      <c r="AG38" s="2">
        <f t="shared" si="37"/>
        <v>0</v>
      </c>
      <c r="AH38" s="2">
        <f t="shared" si="38"/>
        <v>144.9</v>
      </c>
      <c r="AI38" s="2">
        <f t="shared" si="39"/>
        <v>0</v>
      </c>
      <c r="AJ38" s="2">
        <f t="shared" si="40"/>
        <v>0</v>
      </c>
      <c r="AK38" s="2">
        <v>21096.98</v>
      </c>
      <c r="AL38" s="2">
        <v>19554.14</v>
      </c>
      <c r="AM38" s="2">
        <v>0</v>
      </c>
      <c r="AN38" s="2">
        <v>0</v>
      </c>
      <c r="AO38" s="2">
        <v>1542.84</v>
      </c>
      <c r="AP38" s="2">
        <v>0</v>
      </c>
      <c r="AQ38" s="2">
        <v>138</v>
      </c>
      <c r="AR38" s="2">
        <v>0</v>
      </c>
      <c r="AS38" s="2">
        <v>0</v>
      </c>
      <c r="AT38" s="2">
        <v>112</v>
      </c>
      <c r="AU38" s="2">
        <v>70</v>
      </c>
      <c r="AV38" s="2">
        <v>1.0669999999999999</v>
      </c>
      <c r="AW38" s="2">
        <v>1.081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1</v>
      </c>
      <c r="BJ38" s="2" t="s">
        <v>51</v>
      </c>
      <c r="BK38" s="2"/>
      <c r="BL38" s="2"/>
      <c r="BM38" s="2">
        <v>242</v>
      </c>
      <c r="BN38" s="2">
        <v>0</v>
      </c>
      <c r="BO38" s="2" t="s">
        <v>3</v>
      </c>
      <c r="BP38" s="2">
        <v>0</v>
      </c>
      <c r="BQ38" s="2">
        <v>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112</v>
      </c>
      <c r="CA38" s="2">
        <v>70</v>
      </c>
      <c r="CB38" s="2" t="s">
        <v>3</v>
      </c>
      <c r="CC38" s="2"/>
      <c r="CD38" s="2"/>
      <c r="CE38" s="2">
        <v>30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708</v>
      </c>
      <c r="CO38" s="2">
        <v>0</v>
      </c>
      <c r="CP38" s="2">
        <f t="shared" si="41"/>
        <v>0</v>
      </c>
      <c r="CQ38" s="2">
        <f t="shared" si="42"/>
        <v>21138.03</v>
      </c>
      <c r="CR38" s="2">
        <f t="shared" si="43"/>
        <v>0</v>
      </c>
      <c r="CS38" s="2">
        <f t="shared" si="44"/>
        <v>0</v>
      </c>
      <c r="CT38" s="2">
        <f t="shared" si="45"/>
        <v>1728.52</v>
      </c>
      <c r="CU38" s="2">
        <f t="shared" si="46"/>
        <v>0</v>
      </c>
      <c r="CV38" s="2">
        <f t="shared" si="47"/>
        <v>154.60829999999999</v>
      </c>
      <c r="CW38" s="2">
        <f t="shared" si="48"/>
        <v>0</v>
      </c>
      <c r="CX38" s="2">
        <f t="shared" si="49"/>
        <v>0</v>
      </c>
      <c r="CY38" s="2">
        <f>((S38*BZ38)/100)</f>
        <v>0</v>
      </c>
      <c r="CZ38" s="2">
        <f>((S38*CA38)/100)</f>
        <v>0</v>
      </c>
      <c r="DA38" s="2"/>
      <c r="DB38" s="2">
        <v>11</v>
      </c>
      <c r="DC38" s="2" t="s">
        <v>3</v>
      </c>
      <c r="DD38" s="2" t="s">
        <v>3</v>
      </c>
      <c r="DE38" s="2" t="s">
        <v>22</v>
      </c>
      <c r="DF38" s="2" t="s">
        <v>22</v>
      </c>
      <c r="DG38" s="2" t="s">
        <v>22</v>
      </c>
      <c r="DH38" s="2" t="s">
        <v>3</v>
      </c>
      <c r="DI38" s="2" t="s">
        <v>22</v>
      </c>
      <c r="DJ38" s="2" t="s">
        <v>22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50</v>
      </c>
      <c r="DW38" s="2" t="s">
        <v>50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51696281</v>
      </c>
      <c r="EF38" s="2">
        <v>30</v>
      </c>
      <c r="EG38" s="2" t="s">
        <v>23</v>
      </c>
      <c r="EH38" s="2">
        <v>0</v>
      </c>
      <c r="EI38" s="2" t="s">
        <v>3</v>
      </c>
      <c r="EJ38" s="2">
        <v>1</v>
      </c>
      <c r="EK38" s="2">
        <v>242</v>
      </c>
      <c r="EL38" s="2" t="s">
        <v>52</v>
      </c>
      <c r="EM38" s="2" t="s">
        <v>53</v>
      </c>
      <c r="EN38" s="2"/>
      <c r="EO38" s="2" t="s">
        <v>26</v>
      </c>
      <c r="EP38" s="2"/>
      <c r="EQ38" s="2">
        <v>131072</v>
      </c>
      <c r="ER38" s="2">
        <v>21096.98</v>
      </c>
      <c r="ES38" s="2">
        <v>19554.14</v>
      </c>
      <c r="ET38" s="2">
        <v>0</v>
      </c>
      <c r="EU38" s="2">
        <v>0</v>
      </c>
      <c r="EV38" s="2">
        <v>1542.84</v>
      </c>
      <c r="EW38" s="2">
        <v>138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2</v>
      </c>
      <c r="FT38" s="2"/>
      <c r="FU38" s="2"/>
      <c r="FV38" s="2"/>
      <c r="FW38" s="2"/>
      <c r="FX38" s="2">
        <v>112</v>
      </c>
      <c r="FY38" s="2">
        <v>70</v>
      </c>
      <c r="FZ38" s="2"/>
      <c r="GA38" s="2" t="s">
        <v>3</v>
      </c>
      <c r="GB38" s="2"/>
      <c r="GC38" s="2"/>
      <c r="GD38" s="2">
        <v>0</v>
      </c>
      <c r="GE38" s="2"/>
      <c r="GF38" s="2">
        <v>-1466514599</v>
      </c>
      <c r="GG38" s="2">
        <v>2</v>
      </c>
      <c r="GH38" s="2">
        <v>1</v>
      </c>
      <c r="GI38" s="2">
        <v>-2</v>
      </c>
      <c r="GJ38" s="2">
        <v>0</v>
      </c>
      <c r="GK38" s="2">
        <f>ROUND(R38*(R12)/100,2)</f>
        <v>0</v>
      </c>
      <c r="GL38" s="2">
        <f t="shared" si="50"/>
        <v>0</v>
      </c>
      <c r="GM38" s="2">
        <f t="shared" si="51"/>
        <v>0</v>
      </c>
      <c r="GN38" s="2">
        <f t="shared" si="52"/>
        <v>0</v>
      </c>
      <c r="GO38" s="2">
        <f t="shared" si="53"/>
        <v>0</v>
      </c>
      <c r="GP38" s="2">
        <f t="shared" si="54"/>
        <v>0</v>
      </c>
      <c r="GQ38" s="2"/>
      <c r="GR38" s="2">
        <v>0</v>
      </c>
      <c r="GS38" s="2">
        <v>0</v>
      </c>
      <c r="GT38" s="2">
        <v>0</v>
      </c>
      <c r="GU38" s="2" t="s">
        <v>3</v>
      </c>
      <c r="GV38" s="2">
        <f t="shared" si="55"/>
        <v>0</v>
      </c>
      <c r="GW38" s="2">
        <v>1</v>
      </c>
      <c r="GX38" s="2">
        <f t="shared" si="56"/>
        <v>0</v>
      </c>
      <c r="GY38" s="2"/>
      <c r="GZ38" s="2"/>
      <c r="HA38" s="2">
        <v>0</v>
      </c>
      <c r="HB38" s="2">
        <v>0</v>
      </c>
      <c r="HC38" s="2">
        <f t="shared" si="57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>
        <v>17</v>
      </c>
      <c r="B39">
        <v>1</v>
      </c>
      <c r="D39">
        <f>ROW(EtalonRes!A24)</f>
        <v>24</v>
      </c>
      <c r="E39" t="s">
        <v>47</v>
      </c>
      <c r="F39" t="s">
        <v>48</v>
      </c>
      <c r="G39" t="s">
        <v>49</v>
      </c>
      <c r="H39" t="s">
        <v>50</v>
      </c>
      <c r="I39">
        <v>0</v>
      </c>
      <c r="J39">
        <v>0</v>
      </c>
      <c r="K39">
        <v>0</v>
      </c>
      <c r="O39">
        <f t="shared" si="21"/>
        <v>0</v>
      </c>
      <c r="P39">
        <f t="shared" si="22"/>
        <v>0</v>
      </c>
      <c r="Q39">
        <f t="shared" si="23"/>
        <v>0</v>
      </c>
      <c r="R39">
        <f t="shared" si="24"/>
        <v>0</v>
      </c>
      <c r="S39">
        <f t="shared" si="25"/>
        <v>0</v>
      </c>
      <c r="T39">
        <f t="shared" si="26"/>
        <v>0</v>
      </c>
      <c r="U39">
        <f t="shared" si="27"/>
        <v>0</v>
      </c>
      <c r="V39">
        <f t="shared" si="28"/>
        <v>0</v>
      </c>
      <c r="W39">
        <f t="shared" si="29"/>
        <v>0</v>
      </c>
      <c r="X39">
        <f t="shared" si="30"/>
        <v>0</v>
      </c>
      <c r="Y39">
        <f t="shared" si="31"/>
        <v>0</v>
      </c>
      <c r="AA39">
        <v>56610029</v>
      </c>
      <c r="AB39">
        <f t="shared" si="32"/>
        <v>21174.121999999999</v>
      </c>
      <c r="AC39">
        <f t="shared" si="33"/>
        <v>19554.14</v>
      </c>
      <c r="AD39">
        <f t="shared" si="34"/>
        <v>0</v>
      </c>
      <c r="AE39">
        <f t="shared" si="35"/>
        <v>0</v>
      </c>
      <c r="AF39">
        <f t="shared" si="36"/>
        <v>1619.982</v>
      </c>
      <c r="AG39">
        <f t="shared" si="37"/>
        <v>0</v>
      </c>
      <c r="AH39">
        <f t="shared" si="38"/>
        <v>144.9</v>
      </c>
      <c r="AI39">
        <f t="shared" si="39"/>
        <v>0</v>
      </c>
      <c r="AJ39">
        <f t="shared" si="40"/>
        <v>0</v>
      </c>
      <c r="AK39">
        <v>21096.98</v>
      </c>
      <c r="AL39">
        <v>19554.14</v>
      </c>
      <c r="AM39">
        <v>0</v>
      </c>
      <c r="AN39">
        <v>0</v>
      </c>
      <c r="AO39">
        <v>1542.84</v>
      </c>
      <c r="AP39">
        <v>0</v>
      </c>
      <c r="AQ39">
        <v>138</v>
      </c>
      <c r="AR39">
        <v>0</v>
      </c>
      <c r="AS39">
        <v>0</v>
      </c>
      <c r="AT39">
        <v>92</v>
      </c>
      <c r="AU39">
        <v>41</v>
      </c>
      <c r="AV39">
        <v>1.0669999999999999</v>
      </c>
      <c r="AW39">
        <v>1.081</v>
      </c>
      <c r="AZ39">
        <v>1</v>
      </c>
      <c r="BA39">
        <v>34.51</v>
      </c>
      <c r="BB39">
        <v>1</v>
      </c>
      <c r="BC39">
        <v>7.65</v>
      </c>
      <c r="BD39" t="s">
        <v>3</v>
      </c>
      <c r="BE39" t="s">
        <v>3</v>
      </c>
      <c r="BF39" t="s">
        <v>3</v>
      </c>
      <c r="BG39" t="s">
        <v>3</v>
      </c>
      <c r="BH39">
        <v>0</v>
      </c>
      <c r="BI39">
        <v>1</v>
      </c>
      <c r="BJ39" t="s">
        <v>51</v>
      </c>
      <c r="BM39">
        <v>242</v>
      </c>
      <c r="BN39">
        <v>0</v>
      </c>
      <c r="BO39" t="s">
        <v>48</v>
      </c>
      <c r="BP39">
        <v>1</v>
      </c>
      <c r="BQ39">
        <v>30</v>
      </c>
      <c r="BR39">
        <v>0</v>
      </c>
      <c r="BS39">
        <v>34.51</v>
      </c>
      <c r="BT39">
        <v>1</v>
      </c>
      <c r="BU39">
        <v>1</v>
      </c>
      <c r="BV39">
        <v>1</v>
      </c>
      <c r="BW39">
        <v>1</v>
      </c>
      <c r="BX39">
        <v>1</v>
      </c>
      <c r="BY39" t="s">
        <v>3</v>
      </c>
      <c r="BZ39">
        <v>92</v>
      </c>
      <c r="CA39">
        <v>41</v>
      </c>
      <c r="CB39" t="s">
        <v>3</v>
      </c>
      <c r="CE39">
        <v>30</v>
      </c>
      <c r="CF39">
        <v>0</v>
      </c>
      <c r="CG39">
        <v>0</v>
      </c>
      <c r="CM39">
        <v>0</v>
      </c>
      <c r="CN39" t="s">
        <v>708</v>
      </c>
      <c r="CO39">
        <v>0</v>
      </c>
      <c r="CP39">
        <f t="shared" si="41"/>
        <v>0</v>
      </c>
      <c r="CQ39">
        <f t="shared" si="42"/>
        <v>161705.93</v>
      </c>
      <c r="CR39">
        <f t="shared" si="43"/>
        <v>0</v>
      </c>
      <c r="CS39">
        <f t="shared" si="44"/>
        <v>0</v>
      </c>
      <c r="CT39">
        <f t="shared" si="45"/>
        <v>59651.23</v>
      </c>
      <c r="CU39">
        <f t="shared" si="46"/>
        <v>0</v>
      </c>
      <c r="CV39">
        <f t="shared" si="47"/>
        <v>154.60829999999999</v>
      </c>
      <c r="CW39">
        <f t="shared" si="48"/>
        <v>0</v>
      </c>
      <c r="CX39">
        <f t="shared" si="49"/>
        <v>0</v>
      </c>
      <c r="CY39">
        <f>S39*(BZ39/100)</f>
        <v>0</v>
      </c>
      <c r="CZ39">
        <f>S39*(CA39/100)</f>
        <v>0</v>
      </c>
      <c r="DB39">
        <v>12</v>
      </c>
      <c r="DC39" t="s">
        <v>3</v>
      </c>
      <c r="DD39" t="s">
        <v>3</v>
      </c>
      <c r="DE39" t="s">
        <v>22</v>
      </c>
      <c r="DF39" t="s">
        <v>22</v>
      </c>
      <c r="DG39" t="s">
        <v>22</v>
      </c>
      <c r="DH39" t="s">
        <v>3</v>
      </c>
      <c r="DI39" t="s">
        <v>22</v>
      </c>
      <c r="DJ39" t="s">
        <v>22</v>
      </c>
      <c r="DK39" t="s">
        <v>3</v>
      </c>
      <c r="DL39" t="s">
        <v>3</v>
      </c>
      <c r="DM39" t="s">
        <v>3</v>
      </c>
      <c r="DN39">
        <v>112</v>
      </c>
      <c r="DO39">
        <v>70</v>
      </c>
      <c r="DP39">
        <v>1.0669999999999999</v>
      </c>
      <c r="DQ39">
        <v>1.081</v>
      </c>
      <c r="DU39">
        <v>1013</v>
      </c>
      <c r="DV39" t="s">
        <v>50</v>
      </c>
      <c r="DW39" t="s">
        <v>50</v>
      </c>
      <c r="DX39">
        <v>1</v>
      </c>
      <c r="DZ39" t="s">
        <v>3</v>
      </c>
      <c r="EA39" t="s">
        <v>3</v>
      </c>
      <c r="EB39" t="s">
        <v>3</v>
      </c>
      <c r="EC39" t="s">
        <v>3</v>
      </c>
      <c r="EE39">
        <v>51696281</v>
      </c>
      <c r="EF39">
        <v>30</v>
      </c>
      <c r="EG39" t="s">
        <v>23</v>
      </c>
      <c r="EH39">
        <v>0</v>
      </c>
      <c r="EI39" t="s">
        <v>3</v>
      </c>
      <c r="EJ39">
        <v>1</v>
      </c>
      <c r="EK39">
        <v>242</v>
      </c>
      <c r="EL39" t="s">
        <v>52</v>
      </c>
      <c r="EM39" t="s">
        <v>53</v>
      </c>
      <c r="EO39" t="s">
        <v>26</v>
      </c>
      <c r="EQ39">
        <v>131072</v>
      </c>
      <c r="ER39">
        <v>21096.98</v>
      </c>
      <c r="ES39">
        <v>19554.14</v>
      </c>
      <c r="ET39">
        <v>0</v>
      </c>
      <c r="EU39">
        <v>0</v>
      </c>
      <c r="EV39">
        <v>1542.84</v>
      </c>
      <c r="EW39">
        <v>138</v>
      </c>
      <c r="EX39">
        <v>0</v>
      </c>
      <c r="EY39">
        <v>0</v>
      </c>
      <c r="FQ39">
        <v>0</v>
      </c>
      <c r="FR39">
        <v>0</v>
      </c>
      <c r="FS39">
        <v>2</v>
      </c>
      <c r="FX39">
        <v>112</v>
      </c>
      <c r="FY39">
        <v>70</v>
      </c>
      <c r="GA39" t="s">
        <v>3</v>
      </c>
      <c r="GD39">
        <v>0</v>
      </c>
      <c r="GF39">
        <v>-1466514599</v>
      </c>
      <c r="GG39">
        <v>2</v>
      </c>
      <c r="GH39">
        <v>1</v>
      </c>
      <c r="GI39">
        <v>2</v>
      </c>
      <c r="GJ39">
        <v>0</v>
      </c>
      <c r="GK39">
        <f>ROUND(R39*(S12)/100,2)</f>
        <v>0</v>
      </c>
      <c r="GL39">
        <f t="shared" si="50"/>
        <v>0</v>
      </c>
      <c r="GM39">
        <f t="shared" si="51"/>
        <v>0</v>
      </c>
      <c r="GN39">
        <f t="shared" si="52"/>
        <v>0</v>
      </c>
      <c r="GO39">
        <f t="shared" si="53"/>
        <v>0</v>
      </c>
      <c r="GP39">
        <f t="shared" si="54"/>
        <v>0</v>
      </c>
      <c r="GR39">
        <v>0</v>
      </c>
      <c r="GS39">
        <v>3</v>
      </c>
      <c r="GT39">
        <v>0</v>
      </c>
      <c r="GU39" t="s">
        <v>3</v>
      </c>
      <c r="GV39">
        <f t="shared" si="55"/>
        <v>0</v>
      </c>
      <c r="GW39">
        <v>1</v>
      </c>
      <c r="GX39">
        <f t="shared" si="56"/>
        <v>0</v>
      </c>
      <c r="HA39">
        <v>0</v>
      </c>
      <c r="HB39">
        <v>0</v>
      </c>
      <c r="HC39">
        <f t="shared" si="57"/>
        <v>0</v>
      </c>
      <c r="HE39" t="s">
        <v>3</v>
      </c>
      <c r="HF39" t="s">
        <v>3</v>
      </c>
      <c r="HM39" t="s">
        <v>3</v>
      </c>
      <c r="HN39" t="s">
        <v>3</v>
      </c>
      <c r="HO39" t="s">
        <v>3</v>
      </c>
      <c r="HP39" t="s">
        <v>3</v>
      </c>
      <c r="HQ39" t="s">
        <v>3</v>
      </c>
      <c r="HS39">
        <v>0</v>
      </c>
      <c r="IK39">
        <v>0</v>
      </c>
    </row>
    <row r="40" spans="1:255" x14ac:dyDescent="0.2">
      <c r="A40" s="2">
        <v>17</v>
      </c>
      <c r="B40" s="2">
        <v>1</v>
      </c>
      <c r="C40" s="2"/>
      <c r="D40" s="2"/>
      <c r="E40" s="2" t="s">
        <v>54</v>
      </c>
      <c r="F40" s="2" t="s">
        <v>55</v>
      </c>
      <c r="G40" s="2" t="s">
        <v>56</v>
      </c>
      <c r="H40" s="2" t="s">
        <v>57</v>
      </c>
      <c r="I40" s="2">
        <f>ROUND(-(I38)*1000,9)</f>
        <v>0</v>
      </c>
      <c r="J40" s="2">
        <v>0</v>
      </c>
      <c r="K40" s="2">
        <f>ROUND(-(I38)*1000,9)</f>
        <v>0</v>
      </c>
      <c r="L40" s="2"/>
      <c r="M40" s="2"/>
      <c r="N40" s="2"/>
      <c r="O40" s="2">
        <f t="shared" si="21"/>
        <v>0</v>
      </c>
      <c r="P40" s="2">
        <f t="shared" si="22"/>
        <v>0</v>
      </c>
      <c r="Q40" s="2">
        <f t="shared" si="23"/>
        <v>0</v>
      </c>
      <c r="R40" s="2">
        <f t="shared" si="24"/>
        <v>0</v>
      </c>
      <c r="S40" s="2">
        <f t="shared" si="25"/>
        <v>0</v>
      </c>
      <c r="T40" s="2">
        <f t="shared" si="26"/>
        <v>0</v>
      </c>
      <c r="U40" s="2">
        <f t="shared" si="27"/>
        <v>0</v>
      </c>
      <c r="V40" s="2">
        <f t="shared" si="28"/>
        <v>0</v>
      </c>
      <c r="W40" s="2">
        <f t="shared" si="29"/>
        <v>0</v>
      </c>
      <c r="X40" s="2">
        <f t="shared" si="30"/>
        <v>0</v>
      </c>
      <c r="Y40" s="2">
        <f t="shared" si="31"/>
        <v>0</v>
      </c>
      <c r="Z40" s="2"/>
      <c r="AA40" s="2">
        <v>56622490</v>
      </c>
      <c r="AB40" s="2">
        <f t="shared" si="32"/>
        <v>15.01</v>
      </c>
      <c r="AC40" s="2">
        <f t="shared" si="33"/>
        <v>15.01</v>
      </c>
      <c r="AD40" s="2">
        <f t="shared" si="34"/>
        <v>0</v>
      </c>
      <c r="AE40" s="2">
        <f t="shared" si="35"/>
        <v>0</v>
      </c>
      <c r="AF40" s="2">
        <f t="shared" si="36"/>
        <v>0</v>
      </c>
      <c r="AG40" s="2">
        <f t="shared" si="37"/>
        <v>0</v>
      </c>
      <c r="AH40" s="2">
        <f t="shared" si="38"/>
        <v>0</v>
      </c>
      <c r="AI40" s="2">
        <f t="shared" si="39"/>
        <v>0</v>
      </c>
      <c r="AJ40" s="2">
        <f t="shared" si="40"/>
        <v>0</v>
      </c>
      <c r="AK40" s="2">
        <v>15.01</v>
      </c>
      <c r="AL40" s="2">
        <v>15.01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1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3</v>
      </c>
      <c r="BI40" s="2">
        <v>1</v>
      </c>
      <c r="BJ40" s="2" t="s">
        <v>58</v>
      </c>
      <c r="BK40" s="2"/>
      <c r="BL40" s="2"/>
      <c r="BM40" s="2">
        <v>1617</v>
      </c>
      <c r="BN40" s="2">
        <v>0</v>
      </c>
      <c r="BO40" s="2" t="s">
        <v>3</v>
      </c>
      <c r="BP40" s="2">
        <v>0</v>
      </c>
      <c r="BQ40" s="2">
        <v>200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0</v>
      </c>
      <c r="CA40" s="2">
        <v>0</v>
      </c>
      <c r="CB40" s="2" t="s">
        <v>3</v>
      </c>
      <c r="CC40" s="2"/>
      <c r="CD40" s="2"/>
      <c r="CE40" s="2">
        <v>30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708</v>
      </c>
      <c r="CO40" s="2">
        <v>0</v>
      </c>
      <c r="CP40" s="2">
        <f t="shared" si="41"/>
        <v>0</v>
      </c>
      <c r="CQ40" s="2">
        <f t="shared" si="42"/>
        <v>15.01</v>
      </c>
      <c r="CR40" s="2">
        <f t="shared" si="43"/>
        <v>0</v>
      </c>
      <c r="CS40" s="2">
        <f t="shared" si="44"/>
        <v>0</v>
      </c>
      <c r="CT40" s="2">
        <f t="shared" si="45"/>
        <v>0</v>
      </c>
      <c r="CU40" s="2">
        <f t="shared" si="46"/>
        <v>0</v>
      </c>
      <c r="CV40" s="2">
        <f t="shared" si="47"/>
        <v>0</v>
      </c>
      <c r="CW40" s="2">
        <f t="shared" si="48"/>
        <v>0</v>
      </c>
      <c r="CX40" s="2">
        <f t="shared" si="49"/>
        <v>0</v>
      </c>
      <c r="CY40" s="2">
        <f>((S40*BZ40)/100)</f>
        <v>0</v>
      </c>
      <c r="CZ40" s="2">
        <f>((S40*CA40)/100)</f>
        <v>0</v>
      </c>
      <c r="DA40" s="2"/>
      <c r="DB40" s="2">
        <v>13</v>
      </c>
      <c r="DC40" s="2" t="s">
        <v>3</v>
      </c>
      <c r="DD40" s="2" t="s">
        <v>3</v>
      </c>
      <c r="DE40" s="2" t="s">
        <v>22</v>
      </c>
      <c r="DF40" s="2" t="s">
        <v>22</v>
      </c>
      <c r="DG40" s="2" t="s">
        <v>22</v>
      </c>
      <c r="DH40" s="2" t="s">
        <v>3</v>
      </c>
      <c r="DI40" s="2" t="s">
        <v>22</v>
      </c>
      <c r="DJ40" s="2" t="s">
        <v>22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1003</v>
      </c>
      <c r="DV40" s="2" t="s">
        <v>57</v>
      </c>
      <c r="DW40" s="2" t="s">
        <v>57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51697656</v>
      </c>
      <c r="EF40" s="2">
        <v>200</v>
      </c>
      <c r="EG40" s="2" t="s">
        <v>59</v>
      </c>
      <c r="EH40" s="2">
        <v>0</v>
      </c>
      <c r="EI40" s="2" t="s">
        <v>3</v>
      </c>
      <c r="EJ40" s="2">
        <v>1</v>
      </c>
      <c r="EK40" s="2">
        <v>1617</v>
      </c>
      <c r="EL40" s="2" t="s">
        <v>60</v>
      </c>
      <c r="EM40" s="2" t="s">
        <v>61</v>
      </c>
      <c r="EN40" s="2"/>
      <c r="EO40" s="2" t="s">
        <v>26</v>
      </c>
      <c r="EP40" s="2"/>
      <c r="EQ40" s="2">
        <v>131072</v>
      </c>
      <c r="ER40" s="2">
        <v>15.01</v>
      </c>
      <c r="ES40" s="2">
        <v>15.01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0</v>
      </c>
      <c r="FY40" s="2">
        <v>0</v>
      </c>
      <c r="FZ40" s="2"/>
      <c r="GA40" s="2" t="s">
        <v>3</v>
      </c>
      <c r="GB40" s="2"/>
      <c r="GC40" s="2"/>
      <c r="GD40" s="2">
        <v>0</v>
      </c>
      <c r="GE40" s="2"/>
      <c r="GF40" s="2">
        <v>1181244062</v>
      </c>
      <c r="GG40" s="2">
        <v>2</v>
      </c>
      <c r="GH40" s="2">
        <v>1</v>
      </c>
      <c r="GI40" s="2">
        <v>-2</v>
      </c>
      <c r="GJ40" s="2">
        <v>0</v>
      </c>
      <c r="GK40" s="2">
        <f>ROUND(R40*(R12)/100,2)</f>
        <v>0</v>
      </c>
      <c r="GL40" s="2">
        <f t="shared" si="50"/>
        <v>0</v>
      </c>
      <c r="GM40" s="2">
        <f t="shared" si="51"/>
        <v>0</v>
      </c>
      <c r="GN40" s="2">
        <f t="shared" si="52"/>
        <v>0</v>
      </c>
      <c r="GO40" s="2">
        <f t="shared" si="53"/>
        <v>0</v>
      </c>
      <c r="GP40" s="2">
        <f t="shared" si="54"/>
        <v>0</v>
      </c>
      <c r="GQ40" s="2"/>
      <c r="GR40" s="2">
        <v>0</v>
      </c>
      <c r="GS40" s="2">
        <v>0</v>
      </c>
      <c r="GT40" s="2">
        <v>0</v>
      </c>
      <c r="GU40" s="2" t="s">
        <v>3</v>
      </c>
      <c r="GV40" s="2">
        <f t="shared" si="55"/>
        <v>0</v>
      </c>
      <c r="GW40" s="2">
        <v>1</v>
      </c>
      <c r="GX40" s="2">
        <f t="shared" si="56"/>
        <v>0</v>
      </c>
      <c r="GY40" s="2"/>
      <c r="GZ40" s="2"/>
      <c r="HA40" s="2">
        <v>0</v>
      </c>
      <c r="HB40" s="2">
        <v>0</v>
      </c>
      <c r="HC40" s="2">
        <f t="shared" si="57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>
        <v>17</v>
      </c>
      <c r="B41">
        <v>1</v>
      </c>
      <c r="E41" t="s">
        <v>54</v>
      </c>
      <c r="F41" t="s">
        <v>55</v>
      </c>
      <c r="G41" t="s">
        <v>56</v>
      </c>
      <c r="H41" t="s">
        <v>57</v>
      </c>
      <c r="I41">
        <f>ROUND(-(I39)*1000,9)</f>
        <v>0</v>
      </c>
      <c r="J41">
        <v>0</v>
      </c>
      <c r="K41">
        <f>ROUND(-(I39)*1000,9)</f>
        <v>0</v>
      </c>
      <c r="O41">
        <f t="shared" si="21"/>
        <v>0</v>
      </c>
      <c r="P41">
        <f t="shared" si="22"/>
        <v>0</v>
      </c>
      <c r="Q41">
        <f t="shared" si="23"/>
        <v>0</v>
      </c>
      <c r="R41">
        <f t="shared" si="24"/>
        <v>0</v>
      </c>
      <c r="S41">
        <f t="shared" si="25"/>
        <v>0</v>
      </c>
      <c r="T41">
        <f t="shared" si="26"/>
        <v>0</v>
      </c>
      <c r="U41">
        <f t="shared" si="27"/>
        <v>0</v>
      </c>
      <c r="V41">
        <f t="shared" si="28"/>
        <v>0</v>
      </c>
      <c r="W41">
        <f t="shared" si="29"/>
        <v>0</v>
      </c>
      <c r="X41">
        <f t="shared" si="30"/>
        <v>0</v>
      </c>
      <c r="Y41">
        <f t="shared" si="31"/>
        <v>0</v>
      </c>
      <c r="AA41">
        <v>56610029</v>
      </c>
      <c r="AB41">
        <f t="shared" si="32"/>
        <v>15.01</v>
      </c>
      <c r="AC41">
        <f t="shared" si="33"/>
        <v>15.01</v>
      </c>
      <c r="AD41">
        <f t="shared" si="34"/>
        <v>0</v>
      </c>
      <c r="AE41">
        <f t="shared" si="35"/>
        <v>0</v>
      </c>
      <c r="AF41">
        <f t="shared" si="36"/>
        <v>0</v>
      </c>
      <c r="AG41">
        <f t="shared" si="37"/>
        <v>0</v>
      </c>
      <c r="AH41">
        <f t="shared" si="38"/>
        <v>0</v>
      </c>
      <c r="AI41">
        <f t="shared" si="39"/>
        <v>0</v>
      </c>
      <c r="AJ41">
        <f t="shared" si="40"/>
        <v>0</v>
      </c>
      <c r="AK41">
        <v>15.01</v>
      </c>
      <c r="AL41">
        <v>15.01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1</v>
      </c>
      <c r="AZ41">
        <v>1</v>
      </c>
      <c r="BA41">
        <v>1</v>
      </c>
      <c r="BB41">
        <v>1</v>
      </c>
      <c r="BC41">
        <v>9.11</v>
      </c>
      <c r="BD41" t="s">
        <v>3</v>
      </c>
      <c r="BE41" t="s">
        <v>3</v>
      </c>
      <c r="BF41" t="s">
        <v>3</v>
      </c>
      <c r="BG41" t="s">
        <v>3</v>
      </c>
      <c r="BH41">
        <v>3</v>
      </c>
      <c r="BI41">
        <v>1</v>
      </c>
      <c r="BJ41" t="s">
        <v>58</v>
      </c>
      <c r="BM41">
        <v>1617</v>
      </c>
      <c r="BN41">
        <v>0</v>
      </c>
      <c r="BO41" t="s">
        <v>55</v>
      </c>
      <c r="BP41">
        <v>1</v>
      </c>
      <c r="BQ41">
        <v>200</v>
      </c>
      <c r="BR41">
        <v>0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 t="s">
        <v>3</v>
      </c>
      <c r="BZ41">
        <v>0</v>
      </c>
      <c r="CA41">
        <v>0</v>
      </c>
      <c r="CB41" t="s">
        <v>3</v>
      </c>
      <c r="CE41">
        <v>30</v>
      </c>
      <c r="CF41">
        <v>0</v>
      </c>
      <c r="CG41">
        <v>0</v>
      </c>
      <c r="CM41">
        <v>0</v>
      </c>
      <c r="CN41" t="s">
        <v>708</v>
      </c>
      <c r="CO41">
        <v>0</v>
      </c>
      <c r="CP41">
        <f t="shared" si="41"/>
        <v>0</v>
      </c>
      <c r="CQ41">
        <f t="shared" si="42"/>
        <v>136.74</v>
      </c>
      <c r="CR41">
        <f t="shared" si="43"/>
        <v>0</v>
      </c>
      <c r="CS41">
        <f t="shared" si="44"/>
        <v>0</v>
      </c>
      <c r="CT41">
        <f t="shared" si="45"/>
        <v>0</v>
      </c>
      <c r="CU41">
        <f t="shared" si="46"/>
        <v>0</v>
      </c>
      <c r="CV41">
        <f t="shared" si="47"/>
        <v>0</v>
      </c>
      <c r="CW41">
        <f t="shared" si="48"/>
        <v>0</v>
      </c>
      <c r="CX41">
        <f t="shared" si="49"/>
        <v>0</v>
      </c>
      <c r="CY41">
        <f>S41*(BZ41/100)</f>
        <v>0</v>
      </c>
      <c r="CZ41">
        <f>S41*(CA41/100)</f>
        <v>0</v>
      </c>
      <c r="DB41">
        <v>14</v>
      </c>
      <c r="DC41" t="s">
        <v>3</v>
      </c>
      <c r="DD41" t="s">
        <v>3</v>
      </c>
      <c r="DE41" t="s">
        <v>22</v>
      </c>
      <c r="DF41" t="s">
        <v>22</v>
      </c>
      <c r="DG41" t="s">
        <v>22</v>
      </c>
      <c r="DH41" t="s">
        <v>3</v>
      </c>
      <c r="DI41" t="s">
        <v>22</v>
      </c>
      <c r="DJ41" t="s">
        <v>22</v>
      </c>
      <c r="DK41" t="s">
        <v>3</v>
      </c>
      <c r="DL41" t="s">
        <v>3</v>
      </c>
      <c r="DM41" t="s">
        <v>3</v>
      </c>
      <c r="DN41">
        <v>0</v>
      </c>
      <c r="DO41">
        <v>0</v>
      </c>
      <c r="DP41">
        <v>1</v>
      </c>
      <c r="DQ41">
        <v>1</v>
      </c>
      <c r="DU41">
        <v>1003</v>
      </c>
      <c r="DV41" t="s">
        <v>57</v>
      </c>
      <c r="DW41" t="s">
        <v>57</v>
      </c>
      <c r="DX41">
        <v>1</v>
      </c>
      <c r="DZ41" t="s">
        <v>3</v>
      </c>
      <c r="EA41" t="s">
        <v>3</v>
      </c>
      <c r="EB41" t="s">
        <v>3</v>
      </c>
      <c r="EC41" t="s">
        <v>3</v>
      </c>
      <c r="EE41">
        <v>51697656</v>
      </c>
      <c r="EF41">
        <v>200</v>
      </c>
      <c r="EG41" t="s">
        <v>59</v>
      </c>
      <c r="EH41">
        <v>0</v>
      </c>
      <c r="EI41" t="s">
        <v>3</v>
      </c>
      <c r="EJ41">
        <v>1</v>
      </c>
      <c r="EK41">
        <v>1617</v>
      </c>
      <c r="EL41" t="s">
        <v>60</v>
      </c>
      <c r="EM41" t="s">
        <v>61</v>
      </c>
      <c r="EO41" t="s">
        <v>26</v>
      </c>
      <c r="EQ41">
        <v>131072</v>
      </c>
      <c r="ER41">
        <v>15.01</v>
      </c>
      <c r="ES41">
        <v>15.01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FQ41">
        <v>0</v>
      </c>
      <c r="FR41">
        <v>0</v>
      </c>
      <c r="FS41">
        <v>0</v>
      </c>
      <c r="FX41">
        <v>0</v>
      </c>
      <c r="FY41">
        <v>0</v>
      </c>
      <c r="GA41" t="s">
        <v>3</v>
      </c>
      <c r="GD41">
        <v>0</v>
      </c>
      <c r="GF41">
        <v>1181244062</v>
      </c>
      <c r="GG41">
        <v>2</v>
      </c>
      <c r="GH41">
        <v>1</v>
      </c>
      <c r="GI41">
        <v>2</v>
      </c>
      <c r="GJ41">
        <v>0</v>
      </c>
      <c r="GK41">
        <f>ROUND(R41*(S12)/100,2)</f>
        <v>0</v>
      </c>
      <c r="GL41">
        <f t="shared" si="50"/>
        <v>0</v>
      </c>
      <c r="GM41">
        <f t="shared" si="51"/>
        <v>0</v>
      </c>
      <c r="GN41">
        <f t="shared" si="52"/>
        <v>0</v>
      </c>
      <c r="GO41">
        <f t="shared" si="53"/>
        <v>0</v>
      </c>
      <c r="GP41">
        <f t="shared" si="54"/>
        <v>0</v>
      </c>
      <c r="GR41">
        <v>0</v>
      </c>
      <c r="GS41">
        <v>3</v>
      </c>
      <c r="GT41">
        <v>0</v>
      </c>
      <c r="GU41" t="s">
        <v>3</v>
      </c>
      <c r="GV41">
        <f t="shared" si="55"/>
        <v>0</v>
      </c>
      <c r="GW41">
        <v>1</v>
      </c>
      <c r="GX41">
        <f t="shared" si="56"/>
        <v>0</v>
      </c>
      <c r="HA41">
        <v>0</v>
      </c>
      <c r="HB41">
        <v>0</v>
      </c>
      <c r="HC41">
        <f t="shared" si="57"/>
        <v>0</v>
      </c>
      <c r="HE41" t="s">
        <v>3</v>
      </c>
      <c r="HF41" t="s">
        <v>3</v>
      </c>
      <c r="HM41" t="s">
        <v>3</v>
      </c>
      <c r="HN41" t="s">
        <v>3</v>
      </c>
      <c r="HO41" t="s">
        <v>3</v>
      </c>
      <c r="HP41" t="s">
        <v>3</v>
      </c>
      <c r="HQ41" t="s">
        <v>3</v>
      </c>
      <c r="HS41">
        <v>0</v>
      </c>
      <c r="IK41">
        <v>0</v>
      </c>
    </row>
    <row r="42" spans="1:255" x14ac:dyDescent="0.2">
      <c r="A42" s="2">
        <v>17</v>
      </c>
      <c r="B42" s="2">
        <v>1</v>
      </c>
      <c r="C42" s="2"/>
      <c r="D42" s="2"/>
      <c r="E42" s="2" t="s">
        <v>62</v>
      </c>
      <c r="F42" s="2" t="s">
        <v>63</v>
      </c>
      <c r="G42" s="2" t="s">
        <v>64</v>
      </c>
      <c r="H42" s="2" t="s">
        <v>57</v>
      </c>
      <c r="I42" s="2">
        <f>ROUND((I38)*1000,9)</f>
        <v>0</v>
      </c>
      <c r="J42" s="2">
        <v>0</v>
      </c>
      <c r="K42" s="2">
        <f>ROUND((I38)*1000,9)</f>
        <v>0</v>
      </c>
      <c r="L42" s="2"/>
      <c r="M42" s="2"/>
      <c r="N42" s="2"/>
      <c r="O42" s="2">
        <f t="shared" si="21"/>
        <v>0</v>
      </c>
      <c r="P42" s="2">
        <f t="shared" si="22"/>
        <v>0</v>
      </c>
      <c r="Q42" s="2">
        <f t="shared" si="23"/>
        <v>0</v>
      </c>
      <c r="R42" s="2">
        <f t="shared" si="24"/>
        <v>0</v>
      </c>
      <c r="S42" s="2">
        <f t="shared" si="25"/>
        <v>0</v>
      </c>
      <c r="T42" s="2">
        <f t="shared" si="26"/>
        <v>0</v>
      </c>
      <c r="U42" s="2">
        <f t="shared" si="27"/>
        <v>0</v>
      </c>
      <c r="V42" s="2">
        <f t="shared" si="28"/>
        <v>0</v>
      </c>
      <c r="W42" s="2">
        <f t="shared" si="29"/>
        <v>0</v>
      </c>
      <c r="X42" s="2">
        <f t="shared" si="30"/>
        <v>0</v>
      </c>
      <c r="Y42" s="2">
        <f t="shared" si="31"/>
        <v>0</v>
      </c>
      <c r="Z42" s="2"/>
      <c r="AA42" s="2">
        <v>56622490</v>
      </c>
      <c r="AB42" s="2">
        <f t="shared" si="32"/>
        <v>24.4</v>
      </c>
      <c r="AC42" s="2">
        <f t="shared" si="33"/>
        <v>24.4</v>
      </c>
      <c r="AD42" s="2">
        <f t="shared" si="34"/>
        <v>0</v>
      </c>
      <c r="AE42" s="2">
        <f t="shared" si="35"/>
        <v>0</v>
      </c>
      <c r="AF42" s="2">
        <f t="shared" si="36"/>
        <v>0</v>
      </c>
      <c r="AG42" s="2">
        <f t="shared" si="37"/>
        <v>0</v>
      </c>
      <c r="AH42" s="2">
        <f t="shared" si="38"/>
        <v>0</v>
      </c>
      <c r="AI42" s="2">
        <f t="shared" si="39"/>
        <v>0</v>
      </c>
      <c r="AJ42" s="2">
        <f t="shared" si="40"/>
        <v>0</v>
      </c>
      <c r="AK42" s="2">
        <v>24.4</v>
      </c>
      <c r="AL42" s="2">
        <v>24.4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3</v>
      </c>
      <c r="BI42" s="2">
        <v>1</v>
      </c>
      <c r="BJ42" s="2" t="s">
        <v>65</v>
      </c>
      <c r="BK42" s="2"/>
      <c r="BL42" s="2"/>
      <c r="BM42" s="2">
        <v>1617</v>
      </c>
      <c r="BN42" s="2">
        <v>0</v>
      </c>
      <c r="BO42" s="2" t="s">
        <v>3</v>
      </c>
      <c r="BP42" s="2">
        <v>0</v>
      </c>
      <c r="BQ42" s="2">
        <v>200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0</v>
      </c>
      <c r="CA42" s="2">
        <v>0</v>
      </c>
      <c r="CB42" s="2" t="s">
        <v>3</v>
      </c>
      <c r="CC42" s="2"/>
      <c r="CD42" s="2"/>
      <c r="CE42" s="2">
        <v>30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708</v>
      </c>
      <c r="CO42" s="2">
        <v>0</v>
      </c>
      <c r="CP42" s="2">
        <f t="shared" si="41"/>
        <v>0</v>
      </c>
      <c r="CQ42" s="2">
        <f t="shared" si="42"/>
        <v>24.4</v>
      </c>
      <c r="CR42" s="2">
        <f t="shared" si="43"/>
        <v>0</v>
      </c>
      <c r="CS42" s="2">
        <f t="shared" si="44"/>
        <v>0</v>
      </c>
      <c r="CT42" s="2">
        <f t="shared" si="45"/>
        <v>0</v>
      </c>
      <c r="CU42" s="2">
        <f t="shared" si="46"/>
        <v>0</v>
      </c>
      <c r="CV42" s="2">
        <f t="shared" si="47"/>
        <v>0</v>
      </c>
      <c r="CW42" s="2">
        <f t="shared" si="48"/>
        <v>0</v>
      </c>
      <c r="CX42" s="2">
        <f t="shared" si="49"/>
        <v>0</v>
      </c>
      <c r="CY42" s="2">
        <f>((S42*BZ42)/100)</f>
        <v>0</v>
      </c>
      <c r="CZ42" s="2">
        <f>((S42*CA42)/100)</f>
        <v>0</v>
      </c>
      <c r="DA42" s="2"/>
      <c r="DB42" s="2">
        <v>15</v>
      </c>
      <c r="DC42" s="2" t="s">
        <v>3</v>
      </c>
      <c r="DD42" s="2" t="s">
        <v>3</v>
      </c>
      <c r="DE42" s="2" t="s">
        <v>22</v>
      </c>
      <c r="DF42" s="2" t="s">
        <v>22</v>
      </c>
      <c r="DG42" s="2" t="s">
        <v>22</v>
      </c>
      <c r="DH42" s="2" t="s">
        <v>3</v>
      </c>
      <c r="DI42" s="2" t="s">
        <v>22</v>
      </c>
      <c r="DJ42" s="2" t="s">
        <v>22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1003</v>
      </c>
      <c r="DV42" s="2" t="s">
        <v>57</v>
      </c>
      <c r="DW42" s="2" t="s">
        <v>57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51697656</v>
      </c>
      <c r="EF42" s="2">
        <v>200</v>
      </c>
      <c r="EG42" s="2" t="s">
        <v>59</v>
      </c>
      <c r="EH42" s="2">
        <v>0</v>
      </c>
      <c r="EI42" s="2" t="s">
        <v>3</v>
      </c>
      <c r="EJ42" s="2">
        <v>1</v>
      </c>
      <c r="EK42" s="2">
        <v>1617</v>
      </c>
      <c r="EL42" s="2" t="s">
        <v>60</v>
      </c>
      <c r="EM42" s="2" t="s">
        <v>61</v>
      </c>
      <c r="EN42" s="2"/>
      <c r="EO42" s="2" t="s">
        <v>26</v>
      </c>
      <c r="EP42" s="2"/>
      <c r="EQ42" s="2">
        <v>131072</v>
      </c>
      <c r="ER42" s="2">
        <v>24.4</v>
      </c>
      <c r="ES42" s="2">
        <v>24.4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0</v>
      </c>
      <c r="FY42" s="2">
        <v>0</v>
      </c>
      <c r="FZ42" s="2"/>
      <c r="GA42" s="2" t="s">
        <v>3</v>
      </c>
      <c r="GB42" s="2"/>
      <c r="GC42" s="2"/>
      <c r="GD42" s="2">
        <v>0</v>
      </c>
      <c r="GE42" s="2"/>
      <c r="GF42" s="2">
        <v>-1982695880</v>
      </c>
      <c r="GG42" s="2">
        <v>2</v>
      </c>
      <c r="GH42" s="2">
        <v>1</v>
      </c>
      <c r="GI42" s="2">
        <v>-2</v>
      </c>
      <c r="GJ42" s="2">
        <v>0</v>
      </c>
      <c r="GK42" s="2">
        <f>ROUND(R42*(R12)/100,2)</f>
        <v>0</v>
      </c>
      <c r="GL42" s="2">
        <f t="shared" si="50"/>
        <v>0</v>
      </c>
      <c r="GM42" s="2">
        <f t="shared" si="51"/>
        <v>0</v>
      </c>
      <c r="GN42" s="2">
        <f t="shared" si="52"/>
        <v>0</v>
      </c>
      <c r="GO42" s="2">
        <f t="shared" si="53"/>
        <v>0</v>
      </c>
      <c r="GP42" s="2">
        <f t="shared" si="54"/>
        <v>0</v>
      </c>
      <c r="GQ42" s="2"/>
      <c r="GR42" s="2">
        <v>0</v>
      </c>
      <c r="GS42" s="2">
        <v>0</v>
      </c>
      <c r="GT42" s="2">
        <v>0</v>
      </c>
      <c r="GU42" s="2" t="s">
        <v>3</v>
      </c>
      <c r="GV42" s="2">
        <f t="shared" si="55"/>
        <v>0</v>
      </c>
      <c r="GW42" s="2">
        <v>1</v>
      </c>
      <c r="GX42" s="2">
        <f t="shared" si="56"/>
        <v>0</v>
      </c>
      <c r="GY42" s="2"/>
      <c r="GZ42" s="2"/>
      <c r="HA42" s="2">
        <v>0</v>
      </c>
      <c r="HB42" s="2">
        <v>0</v>
      </c>
      <c r="HC42" s="2">
        <f t="shared" si="57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>
        <v>17</v>
      </c>
      <c r="B43">
        <v>1</v>
      </c>
      <c r="E43" t="s">
        <v>62</v>
      </c>
      <c r="F43" t="s">
        <v>63</v>
      </c>
      <c r="G43" t="s">
        <v>64</v>
      </c>
      <c r="H43" t="s">
        <v>57</v>
      </c>
      <c r="I43">
        <f>ROUND((I39)*1000,9)</f>
        <v>0</v>
      </c>
      <c r="J43">
        <v>0</v>
      </c>
      <c r="K43">
        <f>ROUND((I39)*1000,9)</f>
        <v>0</v>
      </c>
      <c r="O43">
        <f t="shared" si="21"/>
        <v>0</v>
      </c>
      <c r="P43">
        <f t="shared" si="22"/>
        <v>0</v>
      </c>
      <c r="Q43">
        <f t="shared" si="23"/>
        <v>0</v>
      </c>
      <c r="R43">
        <f t="shared" si="24"/>
        <v>0</v>
      </c>
      <c r="S43">
        <f t="shared" si="25"/>
        <v>0</v>
      </c>
      <c r="T43">
        <f t="shared" si="26"/>
        <v>0</v>
      </c>
      <c r="U43">
        <f t="shared" si="27"/>
        <v>0</v>
      </c>
      <c r="V43">
        <f t="shared" si="28"/>
        <v>0</v>
      </c>
      <c r="W43">
        <f t="shared" si="29"/>
        <v>0</v>
      </c>
      <c r="X43">
        <f t="shared" si="30"/>
        <v>0</v>
      </c>
      <c r="Y43">
        <f t="shared" si="31"/>
        <v>0</v>
      </c>
      <c r="AA43">
        <v>56610029</v>
      </c>
      <c r="AB43">
        <f t="shared" si="32"/>
        <v>24.4</v>
      </c>
      <c r="AC43">
        <f t="shared" si="33"/>
        <v>24.4</v>
      </c>
      <c r="AD43">
        <f t="shared" si="34"/>
        <v>0</v>
      </c>
      <c r="AE43">
        <f t="shared" si="35"/>
        <v>0</v>
      </c>
      <c r="AF43">
        <f t="shared" si="36"/>
        <v>0</v>
      </c>
      <c r="AG43">
        <f t="shared" si="37"/>
        <v>0</v>
      </c>
      <c r="AH43">
        <f t="shared" si="38"/>
        <v>0</v>
      </c>
      <c r="AI43">
        <f t="shared" si="39"/>
        <v>0</v>
      </c>
      <c r="AJ43">
        <f t="shared" si="40"/>
        <v>0</v>
      </c>
      <c r="AK43">
        <v>24.4</v>
      </c>
      <c r="AL43">
        <v>24.4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1</v>
      </c>
      <c r="AZ43">
        <v>1</v>
      </c>
      <c r="BA43">
        <v>1</v>
      </c>
      <c r="BB43">
        <v>1</v>
      </c>
      <c r="BC43">
        <v>9.2200000000000006</v>
      </c>
      <c r="BD43" t="s">
        <v>3</v>
      </c>
      <c r="BE43" t="s">
        <v>3</v>
      </c>
      <c r="BF43" t="s">
        <v>3</v>
      </c>
      <c r="BG43" t="s">
        <v>3</v>
      </c>
      <c r="BH43">
        <v>3</v>
      </c>
      <c r="BI43">
        <v>1</v>
      </c>
      <c r="BJ43" t="s">
        <v>65</v>
      </c>
      <c r="BM43">
        <v>1617</v>
      </c>
      <c r="BN43">
        <v>0</v>
      </c>
      <c r="BO43" t="s">
        <v>63</v>
      </c>
      <c r="BP43">
        <v>1</v>
      </c>
      <c r="BQ43">
        <v>200</v>
      </c>
      <c r="BR43">
        <v>0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 t="s">
        <v>3</v>
      </c>
      <c r="BZ43">
        <v>0</v>
      </c>
      <c r="CA43">
        <v>0</v>
      </c>
      <c r="CB43" t="s">
        <v>3</v>
      </c>
      <c r="CE43">
        <v>30</v>
      </c>
      <c r="CF43">
        <v>0</v>
      </c>
      <c r="CG43">
        <v>0</v>
      </c>
      <c r="CM43">
        <v>0</v>
      </c>
      <c r="CN43" t="s">
        <v>708</v>
      </c>
      <c r="CO43">
        <v>0</v>
      </c>
      <c r="CP43">
        <f t="shared" si="41"/>
        <v>0</v>
      </c>
      <c r="CQ43">
        <f t="shared" si="42"/>
        <v>224.97</v>
      </c>
      <c r="CR43">
        <f t="shared" si="43"/>
        <v>0</v>
      </c>
      <c r="CS43">
        <f t="shared" si="44"/>
        <v>0</v>
      </c>
      <c r="CT43">
        <f t="shared" si="45"/>
        <v>0</v>
      </c>
      <c r="CU43">
        <f t="shared" si="46"/>
        <v>0</v>
      </c>
      <c r="CV43">
        <f t="shared" si="47"/>
        <v>0</v>
      </c>
      <c r="CW43">
        <f t="shared" si="48"/>
        <v>0</v>
      </c>
      <c r="CX43">
        <f t="shared" si="49"/>
        <v>0</v>
      </c>
      <c r="CY43">
        <f>S43*(BZ43/100)</f>
        <v>0</v>
      </c>
      <c r="CZ43">
        <f>S43*(CA43/100)</f>
        <v>0</v>
      </c>
      <c r="DB43">
        <v>16</v>
      </c>
      <c r="DC43" t="s">
        <v>3</v>
      </c>
      <c r="DD43" t="s">
        <v>3</v>
      </c>
      <c r="DE43" t="s">
        <v>22</v>
      </c>
      <c r="DF43" t="s">
        <v>22</v>
      </c>
      <c r="DG43" t="s">
        <v>22</v>
      </c>
      <c r="DH43" t="s">
        <v>3</v>
      </c>
      <c r="DI43" t="s">
        <v>22</v>
      </c>
      <c r="DJ43" t="s">
        <v>22</v>
      </c>
      <c r="DK43" t="s">
        <v>3</v>
      </c>
      <c r="DL43" t="s">
        <v>3</v>
      </c>
      <c r="DM43" t="s">
        <v>3</v>
      </c>
      <c r="DN43">
        <v>0</v>
      </c>
      <c r="DO43">
        <v>0</v>
      </c>
      <c r="DP43">
        <v>1</v>
      </c>
      <c r="DQ43">
        <v>1</v>
      </c>
      <c r="DU43">
        <v>1003</v>
      </c>
      <c r="DV43" t="s">
        <v>57</v>
      </c>
      <c r="DW43" t="s">
        <v>57</v>
      </c>
      <c r="DX43">
        <v>1</v>
      </c>
      <c r="DZ43" t="s">
        <v>3</v>
      </c>
      <c r="EA43" t="s">
        <v>3</v>
      </c>
      <c r="EB43" t="s">
        <v>3</v>
      </c>
      <c r="EC43" t="s">
        <v>3</v>
      </c>
      <c r="EE43">
        <v>51697656</v>
      </c>
      <c r="EF43">
        <v>200</v>
      </c>
      <c r="EG43" t="s">
        <v>59</v>
      </c>
      <c r="EH43">
        <v>0</v>
      </c>
      <c r="EI43" t="s">
        <v>3</v>
      </c>
      <c r="EJ43">
        <v>1</v>
      </c>
      <c r="EK43">
        <v>1617</v>
      </c>
      <c r="EL43" t="s">
        <v>60</v>
      </c>
      <c r="EM43" t="s">
        <v>61</v>
      </c>
      <c r="EO43" t="s">
        <v>26</v>
      </c>
      <c r="EQ43">
        <v>131072</v>
      </c>
      <c r="ER43">
        <v>24.4</v>
      </c>
      <c r="ES43">
        <v>24.4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FQ43">
        <v>0</v>
      </c>
      <c r="FR43">
        <v>0</v>
      </c>
      <c r="FS43">
        <v>0</v>
      </c>
      <c r="FX43">
        <v>0</v>
      </c>
      <c r="FY43">
        <v>0</v>
      </c>
      <c r="GA43" t="s">
        <v>3</v>
      </c>
      <c r="GD43">
        <v>0</v>
      </c>
      <c r="GF43">
        <v>-1982695880</v>
      </c>
      <c r="GG43">
        <v>2</v>
      </c>
      <c r="GH43">
        <v>1</v>
      </c>
      <c r="GI43">
        <v>2</v>
      </c>
      <c r="GJ43">
        <v>0</v>
      </c>
      <c r="GK43">
        <f>ROUND(R43*(S12)/100,2)</f>
        <v>0</v>
      </c>
      <c r="GL43">
        <f t="shared" si="50"/>
        <v>0</v>
      </c>
      <c r="GM43">
        <f t="shared" si="51"/>
        <v>0</v>
      </c>
      <c r="GN43">
        <f t="shared" si="52"/>
        <v>0</v>
      </c>
      <c r="GO43">
        <f t="shared" si="53"/>
        <v>0</v>
      </c>
      <c r="GP43">
        <f t="shared" si="54"/>
        <v>0</v>
      </c>
      <c r="GR43">
        <v>0</v>
      </c>
      <c r="GS43">
        <v>3</v>
      </c>
      <c r="GT43">
        <v>0</v>
      </c>
      <c r="GU43" t="s">
        <v>3</v>
      </c>
      <c r="GV43">
        <f t="shared" si="55"/>
        <v>0</v>
      </c>
      <c r="GW43">
        <v>1</v>
      </c>
      <c r="GX43">
        <f t="shared" si="56"/>
        <v>0</v>
      </c>
      <c r="HA43">
        <v>0</v>
      </c>
      <c r="HB43">
        <v>0</v>
      </c>
      <c r="HC43">
        <f t="shared" si="57"/>
        <v>0</v>
      </c>
      <c r="HE43" t="s">
        <v>3</v>
      </c>
      <c r="HF43" t="s">
        <v>3</v>
      </c>
      <c r="HM43" t="s">
        <v>3</v>
      </c>
      <c r="HN43" t="s">
        <v>3</v>
      </c>
      <c r="HO43" t="s">
        <v>3</v>
      </c>
      <c r="HP43" t="s">
        <v>3</v>
      </c>
      <c r="HQ43" t="s">
        <v>3</v>
      </c>
      <c r="HS43">
        <v>0</v>
      </c>
      <c r="IK43">
        <v>0</v>
      </c>
    </row>
    <row r="44" spans="1:255" x14ac:dyDescent="0.2">
      <c r="A44" s="2">
        <v>17</v>
      </c>
      <c r="B44" s="2">
        <v>1</v>
      </c>
      <c r="C44" s="2"/>
      <c r="D44" s="2">
        <f>ROW(EtalonRes!A29)</f>
        <v>29</v>
      </c>
      <c r="E44" s="2" t="s">
        <v>66</v>
      </c>
      <c r="F44" s="2" t="s">
        <v>67</v>
      </c>
      <c r="G44" s="2" t="s">
        <v>68</v>
      </c>
      <c r="H44" s="2" t="s">
        <v>69</v>
      </c>
      <c r="I44" s="2">
        <v>0</v>
      </c>
      <c r="J44" s="2">
        <v>0</v>
      </c>
      <c r="K44" s="2">
        <v>0</v>
      </c>
      <c r="L44" s="2"/>
      <c r="M44" s="2"/>
      <c r="N44" s="2"/>
      <c r="O44" s="2">
        <f t="shared" si="21"/>
        <v>0</v>
      </c>
      <c r="P44" s="2">
        <f t="shared" si="22"/>
        <v>0</v>
      </c>
      <c r="Q44" s="2">
        <f t="shared" si="23"/>
        <v>0</v>
      </c>
      <c r="R44" s="2">
        <f t="shared" si="24"/>
        <v>0</v>
      </c>
      <c r="S44" s="2">
        <f t="shared" si="25"/>
        <v>0</v>
      </c>
      <c r="T44" s="2">
        <f t="shared" si="26"/>
        <v>0</v>
      </c>
      <c r="U44" s="2">
        <f t="shared" si="27"/>
        <v>0</v>
      </c>
      <c r="V44" s="2">
        <f t="shared" si="28"/>
        <v>0</v>
      </c>
      <c r="W44" s="2">
        <f t="shared" si="29"/>
        <v>0</v>
      </c>
      <c r="X44" s="2">
        <f t="shared" si="30"/>
        <v>0</v>
      </c>
      <c r="Y44" s="2">
        <f t="shared" si="31"/>
        <v>0</v>
      </c>
      <c r="Z44" s="2"/>
      <c r="AA44" s="2">
        <v>56622490</v>
      </c>
      <c r="AB44" s="2">
        <f t="shared" si="32"/>
        <v>1927.6949999999999</v>
      </c>
      <c r="AC44" s="2">
        <f t="shared" si="33"/>
        <v>0</v>
      </c>
      <c r="AD44" s="2">
        <f t="shared" si="34"/>
        <v>271.64550000000003</v>
      </c>
      <c r="AE44" s="2">
        <f t="shared" si="35"/>
        <v>29.8095</v>
      </c>
      <c r="AF44" s="2">
        <f t="shared" si="36"/>
        <v>1656.0495000000001</v>
      </c>
      <c r="AG44" s="2">
        <f t="shared" si="37"/>
        <v>0</v>
      </c>
      <c r="AH44" s="2">
        <f t="shared" si="38"/>
        <v>155.24250000000001</v>
      </c>
      <c r="AI44" s="2">
        <f t="shared" si="39"/>
        <v>0</v>
      </c>
      <c r="AJ44" s="2">
        <f t="shared" si="40"/>
        <v>0</v>
      </c>
      <c r="AK44" s="2">
        <v>1835.9</v>
      </c>
      <c r="AL44" s="2">
        <v>0</v>
      </c>
      <c r="AM44" s="2">
        <v>258.70999999999998</v>
      </c>
      <c r="AN44" s="2">
        <v>28.39</v>
      </c>
      <c r="AO44" s="2">
        <v>1577.19</v>
      </c>
      <c r="AP44" s="2">
        <v>0</v>
      </c>
      <c r="AQ44" s="2">
        <v>147.85</v>
      </c>
      <c r="AR44" s="2">
        <v>0</v>
      </c>
      <c r="AS44" s="2">
        <v>0</v>
      </c>
      <c r="AT44" s="2">
        <v>112</v>
      </c>
      <c r="AU44" s="2">
        <v>70</v>
      </c>
      <c r="AV44" s="2">
        <v>1.0669999999999999</v>
      </c>
      <c r="AW44" s="2">
        <v>1.081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1</v>
      </c>
      <c r="BJ44" s="2" t="s">
        <v>70</v>
      </c>
      <c r="BK44" s="2"/>
      <c r="BL44" s="2"/>
      <c r="BM44" s="2">
        <v>2254</v>
      </c>
      <c r="BN44" s="2">
        <v>0</v>
      </c>
      <c r="BO44" s="2" t="s">
        <v>3</v>
      </c>
      <c r="BP44" s="2">
        <v>0</v>
      </c>
      <c r="BQ44" s="2">
        <v>30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112</v>
      </c>
      <c r="CA44" s="2">
        <v>70</v>
      </c>
      <c r="CB44" s="2" t="s">
        <v>3</v>
      </c>
      <c r="CC44" s="2"/>
      <c r="CD44" s="2"/>
      <c r="CE44" s="2">
        <v>30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708</v>
      </c>
      <c r="CO44" s="2">
        <v>0</v>
      </c>
      <c r="CP44" s="2">
        <f t="shared" si="41"/>
        <v>0</v>
      </c>
      <c r="CQ44" s="2">
        <f t="shared" si="42"/>
        <v>0</v>
      </c>
      <c r="CR44" s="2">
        <f t="shared" si="43"/>
        <v>289.85000000000002</v>
      </c>
      <c r="CS44" s="2">
        <f t="shared" si="44"/>
        <v>31.81</v>
      </c>
      <c r="CT44" s="2">
        <f t="shared" si="45"/>
        <v>1767</v>
      </c>
      <c r="CU44" s="2">
        <f t="shared" si="46"/>
        <v>0</v>
      </c>
      <c r="CV44" s="2">
        <f t="shared" si="47"/>
        <v>165.64374749999999</v>
      </c>
      <c r="CW44" s="2">
        <f t="shared" si="48"/>
        <v>0</v>
      </c>
      <c r="CX44" s="2">
        <f t="shared" si="49"/>
        <v>0</v>
      </c>
      <c r="CY44" s="2">
        <f>((S44*BZ44)/100)</f>
        <v>0</v>
      </c>
      <c r="CZ44" s="2">
        <f>((S44*CA44)/100)</f>
        <v>0</v>
      </c>
      <c r="DA44" s="2"/>
      <c r="DB44" s="2">
        <v>17</v>
      </c>
      <c r="DC44" s="2" t="s">
        <v>3</v>
      </c>
      <c r="DD44" s="2" t="s">
        <v>3</v>
      </c>
      <c r="DE44" s="2" t="s">
        <v>22</v>
      </c>
      <c r="DF44" s="2" t="s">
        <v>22</v>
      </c>
      <c r="DG44" s="2" t="s">
        <v>22</v>
      </c>
      <c r="DH44" s="2" t="s">
        <v>3</v>
      </c>
      <c r="DI44" s="2" t="s">
        <v>22</v>
      </c>
      <c r="DJ44" s="2" t="s">
        <v>22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69</v>
      </c>
      <c r="DW44" s="2" t="s">
        <v>69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51698335</v>
      </c>
      <c r="EF44" s="2">
        <v>30</v>
      </c>
      <c r="EG44" s="2" t="s">
        <v>23</v>
      </c>
      <c r="EH44" s="2">
        <v>0</v>
      </c>
      <c r="EI44" s="2" t="s">
        <v>3</v>
      </c>
      <c r="EJ44" s="2">
        <v>1</v>
      </c>
      <c r="EK44" s="2">
        <v>2254</v>
      </c>
      <c r="EL44" s="2" t="s">
        <v>71</v>
      </c>
      <c r="EM44" s="2" t="s">
        <v>72</v>
      </c>
      <c r="EN44" s="2"/>
      <c r="EO44" s="2" t="s">
        <v>26</v>
      </c>
      <c r="EP44" s="2"/>
      <c r="EQ44" s="2">
        <v>131072</v>
      </c>
      <c r="ER44" s="2">
        <v>1835.9</v>
      </c>
      <c r="ES44" s="2">
        <v>0</v>
      </c>
      <c r="ET44" s="2">
        <v>258.70999999999998</v>
      </c>
      <c r="EU44" s="2">
        <v>28.39</v>
      </c>
      <c r="EV44" s="2">
        <v>1577.19</v>
      </c>
      <c r="EW44" s="2">
        <v>147.85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112</v>
      </c>
      <c r="FY44" s="2">
        <v>70</v>
      </c>
      <c r="FZ44" s="2"/>
      <c r="GA44" s="2" t="s">
        <v>3</v>
      </c>
      <c r="GB44" s="2"/>
      <c r="GC44" s="2"/>
      <c r="GD44" s="2">
        <v>0</v>
      </c>
      <c r="GE44" s="2"/>
      <c r="GF44" s="2">
        <v>-1068329133</v>
      </c>
      <c r="GG44" s="2">
        <v>2</v>
      </c>
      <c r="GH44" s="2">
        <v>1</v>
      </c>
      <c r="GI44" s="2">
        <v>-2</v>
      </c>
      <c r="GJ44" s="2">
        <v>0</v>
      </c>
      <c r="GK44" s="2">
        <f>ROUND(R44*(R12)/100,2)</f>
        <v>0</v>
      </c>
      <c r="GL44" s="2">
        <f t="shared" si="50"/>
        <v>0</v>
      </c>
      <c r="GM44" s="2">
        <f t="shared" si="51"/>
        <v>0</v>
      </c>
      <c r="GN44" s="2">
        <f t="shared" si="52"/>
        <v>0</v>
      </c>
      <c r="GO44" s="2">
        <f t="shared" si="53"/>
        <v>0</v>
      </c>
      <c r="GP44" s="2">
        <f t="shared" si="54"/>
        <v>0</v>
      </c>
      <c r="GQ44" s="2"/>
      <c r="GR44" s="2">
        <v>0</v>
      </c>
      <c r="GS44" s="2">
        <v>0</v>
      </c>
      <c r="GT44" s="2">
        <v>0</v>
      </c>
      <c r="GU44" s="2" t="s">
        <v>3</v>
      </c>
      <c r="GV44" s="2">
        <f t="shared" si="55"/>
        <v>0</v>
      </c>
      <c r="GW44" s="2">
        <v>1</v>
      </c>
      <c r="GX44" s="2">
        <f t="shared" si="56"/>
        <v>0</v>
      </c>
      <c r="GY44" s="2"/>
      <c r="GZ44" s="2"/>
      <c r="HA44" s="2">
        <v>0</v>
      </c>
      <c r="HB44" s="2">
        <v>0</v>
      </c>
      <c r="HC44" s="2">
        <f t="shared" si="57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>
        <v>17</v>
      </c>
      <c r="B45">
        <v>1</v>
      </c>
      <c r="D45">
        <f>ROW(EtalonRes!A34)</f>
        <v>34</v>
      </c>
      <c r="E45" t="s">
        <v>66</v>
      </c>
      <c r="F45" t="s">
        <v>67</v>
      </c>
      <c r="G45" t="s">
        <v>68</v>
      </c>
      <c r="H45" t="s">
        <v>69</v>
      </c>
      <c r="I45">
        <v>0</v>
      </c>
      <c r="J45">
        <v>0</v>
      </c>
      <c r="K45">
        <v>0</v>
      </c>
      <c r="O45">
        <f t="shared" si="21"/>
        <v>0</v>
      </c>
      <c r="P45">
        <f t="shared" si="22"/>
        <v>0</v>
      </c>
      <c r="Q45">
        <f t="shared" si="23"/>
        <v>0</v>
      </c>
      <c r="R45">
        <f t="shared" si="24"/>
        <v>0</v>
      </c>
      <c r="S45">
        <f t="shared" si="25"/>
        <v>0</v>
      </c>
      <c r="T45">
        <f t="shared" si="26"/>
        <v>0</v>
      </c>
      <c r="U45">
        <f t="shared" si="27"/>
        <v>0</v>
      </c>
      <c r="V45">
        <f t="shared" si="28"/>
        <v>0</v>
      </c>
      <c r="W45">
        <f t="shared" si="29"/>
        <v>0</v>
      </c>
      <c r="X45">
        <f t="shared" si="30"/>
        <v>0</v>
      </c>
      <c r="Y45">
        <f t="shared" si="31"/>
        <v>0</v>
      </c>
      <c r="AA45">
        <v>56610029</v>
      </c>
      <c r="AB45">
        <f t="shared" si="32"/>
        <v>1927.6949999999999</v>
      </c>
      <c r="AC45">
        <f t="shared" si="33"/>
        <v>0</v>
      </c>
      <c r="AD45">
        <f t="shared" si="34"/>
        <v>271.64550000000003</v>
      </c>
      <c r="AE45">
        <f t="shared" si="35"/>
        <v>29.8095</v>
      </c>
      <c r="AF45">
        <f t="shared" si="36"/>
        <v>1656.0495000000001</v>
      </c>
      <c r="AG45">
        <f t="shared" si="37"/>
        <v>0</v>
      </c>
      <c r="AH45">
        <f t="shared" si="38"/>
        <v>155.24250000000001</v>
      </c>
      <c r="AI45">
        <f t="shared" si="39"/>
        <v>0</v>
      </c>
      <c r="AJ45">
        <f t="shared" si="40"/>
        <v>0</v>
      </c>
      <c r="AK45">
        <v>1835.9</v>
      </c>
      <c r="AL45">
        <v>0</v>
      </c>
      <c r="AM45">
        <v>258.70999999999998</v>
      </c>
      <c r="AN45">
        <v>28.39</v>
      </c>
      <c r="AO45">
        <v>1577.19</v>
      </c>
      <c r="AP45">
        <v>0</v>
      </c>
      <c r="AQ45">
        <v>147.85</v>
      </c>
      <c r="AR45">
        <v>0</v>
      </c>
      <c r="AS45">
        <v>0</v>
      </c>
      <c r="AT45">
        <v>92</v>
      </c>
      <c r="AU45">
        <v>41</v>
      </c>
      <c r="AV45">
        <v>1.0669999999999999</v>
      </c>
      <c r="AW45">
        <v>1.081</v>
      </c>
      <c r="AZ45">
        <v>1</v>
      </c>
      <c r="BA45">
        <v>34.51</v>
      </c>
      <c r="BB45">
        <v>11.8</v>
      </c>
      <c r="BC45">
        <v>1</v>
      </c>
      <c r="BD45" t="s">
        <v>3</v>
      </c>
      <c r="BE45" t="s">
        <v>3</v>
      </c>
      <c r="BF45" t="s">
        <v>3</v>
      </c>
      <c r="BG45" t="s">
        <v>3</v>
      </c>
      <c r="BH45">
        <v>0</v>
      </c>
      <c r="BI45">
        <v>1</v>
      </c>
      <c r="BJ45" t="s">
        <v>70</v>
      </c>
      <c r="BM45">
        <v>2254</v>
      </c>
      <c r="BN45">
        <v>0</v>
      </c>
      <c r="BO45" t="s">
        <v>67</v>
      </c>
      <c r="BP45">
        <v>1</v>
      </c>
      <c r="BQ45">
        <v>30</v>
      </c>
      <c r="BR45">
        <v>0</v>
      </c>
      <c r="BS45">
        <v>34.51</v>
      </c>
      <c r="BT45">
        <v>1</v>
      </c>
      <c r="BU45">
        <v>1</v>
      </c>
      <c r="BV45">
        <v>1</v>
      </c>
      <c r="BW45">
        <v>1</v>
      </c>
      <c r="BX45">
        <v>1</v>
      </c>
      <c r="BY45" t="s">
        <v>3</v>
      </c>
      <c r="BZ45">
        <v>92</v>
      </c>
      <c r="CA45">
        <v>41</v>
      </c>
      <c r="CB45" t="s">
        <v>3</v>
      </c>
      <c r="CE45">
        <v>30</v>
      </c>
      <c r="CF45">
        <v>0</v>
      </c>
      <c r="CG45">
        <v>0</v>
      </c>
      <c r="CM45">
        <v>0</v>
      </c>
      <c r="CN45" t="s">
        <v>708</v>
      </c>
      <c r="CO45">
        <v>0</v>
      </c>
      <c r="CP45">
        <f t="shared" si="41"/>
        <v>0</v>
      </c>
      <c r="CQ45">
        <f t="shared" si="42"/>
        <v>0</v>
      </c>
      <c r="CR45">
        <f t="shared" si="43"/>
        <v>3420.23</v>
      </c>
      <c r="CS45">
        <f t="shared" si="44"/>
        <v>1097.76</v>
      </c>
      <c r="CT45">
        <f t="shared" si="45"/>
        <v>60979.17</v>
      </c>
      <c r="CU45">
        <f t="shared" si="46"/>
        <v>0</v>
      </c>
      <c r="CV45">
        <f t="shared" si="47"/>
        <v>165.64374749999999</v>
      </c>
      <c r="CW45">
        <f t="shared" si="48"/>
        <v>0</v>
      </c>
      <c r="CX45">
        <f t="shared" si="49"/>
        <v>0</v>
      </c>
      <c r="CY45">
        <f>S45*(BZ45/100)</f>
        <v>0</v>
      </c>
      <c r="CZ45">
        <f>S45*(CA45/100)</f>
        <v>0</v>
      </c>
      <c r="DB45">
        <v>18</v>
      </c>
      <c r="DC45" t="s">
        <v>3</v>
      </c>
      <c r="DD45" t="s">
        <v>3</v>
      </c>
      <c r="DE45" t="s">
        <v>22</v>
      </c>
      <c r="DF45" t="s">
        <v>22</v>
      </c>
      <c r="DG45" t="s">
        <v>22</v>
      </c>
      <c r="DH45" t="s">
        <v>3</v>
      </c>
      <c r="DI45" t="s">
        <v>22</v>
      </c>
      <c r="DJ45" t="s">
        <v>22</v>
      </c>
      <c r="DK45" t="s">
        <v>3</v>
      </c>
      <c r="DL45" t="s">
        <v>3</v>
      </c>
      <c r="DM45" t="s">
        <v>3</v>
      </c>
      <c r="DN45">
        <v>112</v>
      </c>
      <c r="DO45">
        <v>70</v>
      </c>
      <c r="DP45">
        <v>1.0669999999999999</v>
      </c>
      <c r="DQ45">
        <v>1.081</v>
      </c>
      <c r="DU45">
        <v>1013</v>
      </c>
      <c r="DV45" t="s">
        <v>69</v>
      </c>
      <c r="DW45" t="s">
        <v>69</v>
      </c>
      <c r="DX45">
        <v>1</v>
      </c>
      <c r="DZ45" t="s">
        <v>3</v>
      </c>
      <c r="EA45" t="s">
        <v>3</v>
      </c>
      <c r="EB45" t="s">
        <v>3</v>
      </c>
      <c r="EC45" t="s">
        <v>3</v>
      </c>
      <c r="EE45">
        <v>51698335</v>
      </c>
      <c r="EF45">
        <v>30</v>
      </c>
      <c r="EG45" t="s">
        <v>23</v>
      </c>
      <c r="EH45">
        <v>0</v>
      </c>
      <c r="EI45" t="s">
        <v>3</v>
      </c>
      <c r="EJ45">
        <v>1</v>
      </c>
      <c r="EK45">
        <v>2254</v>
      </c>
      <c r="EL45" t="s">
        <v>71</v>
      </c>
      <c r="EM45" t="s">
        <v>72</v>
      </c>
      <c r="EO45" t="s">
        <v>26</v>
      </c>
      <c r="EQ45">
        <v>131072</v>
      </c>
      <c r="ER45">
        <v>1835.9</v>
      </c>
      <c r="ES45">
        <v>0</v>
      </c>
      <c r="ET45">
        <v>258.70999999999998</v>
      </c>
      <c r="EU45">
        <v>28.39</v>
      </c>
      <c r="EV45">
        <v>1577.19</v>
      </c>
      <c r="EW45">
        <v>147.85</v>
      </c>
      <c r="EX45">
        <v>0</v>
      </c>
      <c r="EY45">
        <v>0</v>
      </c>
      <c r="FQ45">
        <v>0</v>
      </c>
      <c r="FR45">
        <v>0</v>
      </c>
      <c r="FS45">
        <v>0</v>
      </c>
      <c r="FX45">
        <v>112</v>
      </c>
      <c r="FY45">
        <v>70</v>
      </c>
      <c r="GA45" t="s">
        <v>3</v>
      </c>
      <c r="GD45">
        <v>0</v>
      </c>
      <c r="GF45">
        <v>-1068329133</v>
      </c>
      <c r="GG45">
        <v>2</v>
      </c>
      <c r="GH45">
        <v>1</v>
      </c>
      <c r="GI45">
        <v>2</v>
      </c>
      <c r="GJ45">
        <v>0</v>
      </c>
      <c r="GK45">
        <f>ROUND(R45*(S12)/100,2)</f>
        <v>0</v>
      </c>
      <c r="GL45">
        <f t="shared" si="50"/>
        <v>0</v>
      </c>
      <c r="GM45">
        <f t="shared" si="51"/>
        <v>0</v>
      </c>
      <c r="GN45">
        <f t="shared" si="52"/>
        <v>0</v>
      </c>
      <c r="GO45">
        <f t="shared" si="53"/>
        <v>0</v>
      </c>
      <c r="GP45">
        <f t="shared" si="54"/>
        <v>0</v>
      </c>
      <c r="GR45">
        <v>0</v>
      </c>
      <c r="GS45">
        <v>3</v>
      </c>
      <c r="GT45">
        <v>0</v>
      </c>
      <c r="GU45" t="s">
        <v>3</v>
      </c>
      <c r="GV45">
        <f t="shared" si="55"/>
        <v>0</v>
      </c>
      <c r="GW45">
        <v>1</v>
      </c>
      <c r="GX45">
        <f t="shared" si="56"/>
        <v>0</v>
      </c>
      <c r="HA45">
        <v>0</v>
      </c>
      <c r="HB45">
        <v>0</v>
      </c>
      <c r="HC45">
        <f t="shared" si="57"/>
        <v>0</v>
      </c>
      <c r="HE45" t="s">
        <v>3</v>
      </c>
      <c r="HF45" t="s">
        <v>3</v>
      </c>
      <c r="HM45" t="s">
        <v>3</v>
      </c>
      <c r="HN45" t="s">
        <v>3</v>
      </c>
      <c r="HO45" t="s">
        <v>3</v>
      </c>
      <c r="HP45" t="s">
        <v>3</v>
      </c>
      <c r="HQ45" t="s">
        <v>3</v>
      </c>
      <c r="HS45">
        <v>0</v>
      </c>
      <c r="IK45">
        <v>0</v>
      </c>
    </row>
    <row r="46" spans="1:255" x14ac:dyDescent="0.2">
      <c r="A46" s="2">
        <v>17</v>
      </c>
      <c r="B46" s="2">
        <v>1</v>
      </c>
      <c r="C46" s="2"/>
      <c r="D46" s="2">
        <f>ROW(EtalonRes!A40)</f>
        <v>40</v>
      </c>
      <c r="E46" s="2" t="s">
        <v>73</v>
      </c>
      <c r="F46" s="2" t="s">
        <v>74</v>
      </c>
      <c r="G46" s="2" t="s">
        <v>75</v>
      </c>
      <c r="H46" s="2" t="s">
        <v>69</v>
      </c>
      <c r="I46" s="2">
        <v>0</v>
      </c>
      <c r="J46" s="2">
        <v>0</v>
      </c>
      <c r="K46" s="2">
        <v>0</v>
      </c>
      <c r="L46" s="2"/>
      <c r="M46" s="2"/>
      <c r="N46" s="2"/>
      <c r="O46" s="2">
        <f t="shared" si="21"/>
        <v>0</v>
      </c>
      <c r="P46" s="2">
        <f t="shared" si="22"/>
        <v>0</v>
      </c>
      <c r="Q46" s="2">
        <f t="shared" si="23"/>
        <v>0</v>
      </c>
      <c r="R46" s="2">
        <f t="shared" si="24"/>
        <v>0</v>
      </c>
      <c r="S46" s="2">
        <f t="shared" si="25"/>
        <v>0</v>
      </c>
      <c r="T46" s="2">
        <f t="shared" si="26"/>
        <v>0</v>
      </c>
      <c r="U46" s="2">
        <f t="shared" si="27"/>
        <v>0</v>
      </c>
      <c r="V46" s="2">
        <f t="shared" si="28"/>
        <v>0</v>
      </c>
      <c r="W46" s="2">
        <f t="shared" si="29"/>
        <v>0</v>
      </c>
      <c r="X46" s="2">
        <f t="shared" si="30"/>
        <v>0</v>
      </c>
      <c r="Y46" s="2">
        <f t="shared" si="31"/>
        <v>0</v>
      </c>
      <c r="Z46" s="2"/>
      <c r="AA46" s="2">
        <v>56622490</v>
      </c>
      <c r="AB46" s="2">
        <f t="shared" si="32"/>
        <v>1495.0844999999999</v>
      </c>
      <c r="AC46" s="2">
        <f t="shared" si="33"/>
        <v>0</v>
      </c>
      <c r="AD46" s="2">
        <f t="shared" si="34"/>
        <v>268.76850000000002</v>
      </c>
      <c r="AE46" s="2">
        <f t="shared" si="35"/>
        <v>29.484000000000002</v>
      </c>
      <c r="AF46" s="2">
        <f t="shared" si="36"/>
        <v>1226.316</v>
      </c>
      <c r="AG46" s="2">
        <f t="shared" si="37"/>
        <v>0</v>
      </c>
      <c r="AH46" s="2">
        <f t="shared" si="38"/>
        <v>113.19</v>
      </c>
      <c r="AI46" s="2">
        <f t="shared" si="39"/>
        <v>0</v>
      </c>
      <c r="AJ46" s="2">
        <f t="shared" si="40"/>
        <v>0</v>
      </c>
      <c r="AK46" s="2">
        <v>1423.89</v>
      </c>
      <c r="AL46" s="2">
        <v>0</v>
      </c>
      <c r="AM46" s="2">
        <v>255.97</v>
      </c>
      <c r="AN46" s="2">
        <v>28.08</v>
      </c>
      <c r="AO46" s="2">
        <v>1167.92</v>
      </c>
      <c r="AP46" s="2">
        <v>0</v>
      </c>
      <c r="AQ46" s="2">
        <v>107.8</v>
      </c>
      <c r="AR46" s="2">
        <v>0</v>
      </c>
      <c r="AS46" s="2">
        <v>0</v>
      </c>
      <c r="AT46" s="2">
        <v>112</v>
      </c>
      <c r="AU46" s="2">
        <v>70</v>
      </c>
      <c r="AV46" s="2">
        <v>1.0669999999999999</v>
      </c>
      <c r="AW46" s="2">
        <v>1.081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1</v>
      </c>
      <c r="BJ46" s="2" t="s">
        <v>76</v>
      </c>
      <c r="BK46" s="2"/>
      <c r="BL46" s="2"/>
      <c r="BM46" s="2">
        <v>2254</v>
      </c>
      <c r="BN46" s="2">
        <v>0</v>
      </c>
      <c r="BO46" s="2" t="s">
        <v>3</v>
      </c>
      <c r="BP46" s="2">
        <v>0</v>
      </c>
      <c r="BQ46" s="2">
        <v>30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112</v>
      </c>
      <c r="CA46" s="2">
        <v>70</v>
      </c>
      <c r="CB46" s="2" t="s">
        <v>3</v>
      </c>
      <c r="CC46" s="2"/>
      <c r="CD46" s="2"/>
      <c r="CE46" s="2">
        <v>30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708</v>
      </c>
      <c r="CO46" s="2">
        <v>0</v>
      </c>
      <c r="CP46" s="2">
        <f t="shared" si="41"/>
        <v>0</v>
      </c>
      <c r="CQ46" s="2">
        <f t="shared" si="42"/>
        <v>0</v>
      </c>
      <c r="CR46" s="2">
        <f t="shared" si="43"/>
        <v>286.77999999999997</v>
      </c>
      <c r="CS46" s="2">
        <f t="shared" si="44"/>
        <v>31.46</v>
      </c>
      <c r="CT46" s="2">
        <f t="shared" si="45"/>
        <v>1308.48</v>
      </c>
      <c r="CU46" s="2">
        <f t="shared" si="46"/>
        <v>0</v>
      </c>
      <c r="CV46" s="2">
        <f t="shared" si="47"/>
        <v>120.77372999999999</v>
      </c>
      <c r="CW46" s="2">
        <f t="shared" si="48"/>
        <v>0</v>
      </c>
      <c r="CX46" s="2">
        <f t="shared" si="49"/>
        <v>0</v>
      </c>
      <c r="CY46" s="2">
        <f>((S46*BZ46)/100)</f>
        <v>0</v>
      </c>
      <c r="CZ46" s="2">
        <f>((S46*CA46)/100)</f>
        <v>0</v>
      </c>
      <c r="DA46" s="2"/>
      <c r="DB46" s="2">
        <v>19</v>
      </c>
      <c r="DC46" s="2" t="s">
        <v>3</v>
      </c>
      <c r="DD46" s="2" t="s">
        <v>3</v>
      </c>
      <c r="DE46" s="2" t="s">
        <v>22</v>
      </c>
      <c r="DF46" s="2" t="s">
        <v>22</v>
      </c>
      <c r="DG46" s="2" t="s">
        <v>22</v>
      </c>
      <c r="DH46" s="2" t="s">
        <v>3</v>
      </c>
      <c r="DI46" s="2" t="s">
        <v>22</v>
      </c>
      <c r="DJ46" s="2" t="s">
        <v>22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69</v>
      </c>
      <c r="DW46" s="2" t="s">
        <v>69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51698335</v>
      </c>
      <c r="EF46" s="2">
        <v>30</v>
      </c>
      <c r="EG46" s="2" t="s">
        <v>23</v>
      </c>
      <c r="EH46" s="2">
        <v>0</v>
      </c>
      <c r="EI46" s="2" t="s">
        <v>3</v>
      </c>
      <c r="EJ46" s="2">
        <v>1</v>
      </c>
      <c r="EK46" s="2">
        <v>2254</v>
      </c>
      <c r="EL46" s="2" t="s">
        <v>71</v>
      </c>
      <c r="EM46" s="2" t="s">
        <v>72</v>
      </c>
      <c r="EN46" s="2"/>
      <c r="EO46" s="2" t="s">
        <v>26</v>
      </c>
      <c r="EP46" s="2"/>
      <c r="EQ46" s="2">
        <v>131072</v>
      </c>
      <c r="ER46" s="2">
        <v>1423.89</v>
      </c>
      <c r="ES46" s="2">
        <v>0</v>
      </c>
      <c r="ET46" s="2">
        <v>255.97</v>
      </c>
      <c r="EU46" s="2">
        <v>28.08</v>
      </c>
      <c r="EV46" s="2">
        <v>1167.92</v>
      </c>
      <c r="EW46" s="2">
        <v>107.8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112</v>
      </c>
      <c r="FY46" s="2">
        <v>70</v>
      </c>
      <c r="FZ46" s="2"/>
      <c r="GA46" s="2" t="s">
        <v>3</v>
      </c>
      <c r="GB46" s="2"/>
      <c r="GC46" s="2"/>
      <c r="GD46" s="2">
        <v>0</v>
      </c>
      <c r="GE46" s="2"/>
      <c r="GF46" s="2">
        <v>-654616270</v>
      </c>
      <c r="GG46" s="2">
        <v>2</v>
      </c>
      <c r="GH46" s="2">
        <v>1</v>
      </c>
      <c r="GI46" s="2">
        <v>-2</v>
      </c>
      <c r="GJ46" s="2">
        <v>0</v>
      </c>
      <c r="GK46" s="2">
        <f>ROUND(R46*(R12)/100,2)</f>
        <v>0</v>
      </c>
      <c r="GL46" s="2">
        <f t="shared" si="50"/>
        <v>0</v>
      </c>
      <c r="GM46" s="2">
        <f t="shared" si="51"/>
        <v>0</v>
      </c>
      <c r="GN46" s="2">
        <f t="shared" si="52"/>
        <v>0</v>
      </c>
      <c r="GO46" s="2">
        <f t="shared" si="53"/>
        <v>0</v>
      </c>
      <c r="GP46" s="2">
        <f t="shared" si="54"/>
        <v>0</v>
      </c>
      <c r="GQ46" s="2"/>
      <c r="GR46" s="2">
        <v>0</v>
      </c>
      <c r="GS46" s="2">
        <v>0</v>
      </c>
      <c r="GT46" s="2">
        <v>0</v>
      </c>
      <c r="GU46" s="2" t="s">
        <v>3</v>
      </c>
      <c r="GV46" s="2">
        <f t="shared" si="55"/>
        <v>0</v>
      </c>
      <c r="GW46" s="2">
        <v>1</v>
      </c>
      <c r="GX46" s="2">
        <f t="shared" si="56"/>
        <v>0</v>
      </c>
      <c r="GY46" s="2"/>
      <c r="GZ46" s="2"/>
      <c r="HA46" s="2">
        <v>0</v>
      </c>
      <c r="HB46" s="2">
        <v>0</v>
      </c>
      <c r="HC46" s="2">
        <f t="shared" si="57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>
        <v>17</v>
      </c>
      <c r="B47">
        <v>1</v>
      </c>
      <c r="D47">
        <f>ROW(EtalonRes!A46)</f>
        <v>46</v>
      </c>
      <c r="E47" t="s">
        <v>73</v>
      </c>
      <c r="F47" t="s">
        <v>74</v>
      </c>
      <c r="G47" t="s">
        <v>75</v>
      </c>
      <c r="H47" t="s">
        <v>69</v>
      </c>
      <c r="I47">
        <v>0</v>
      </c>
      <c r="J47">
        <v>0</v>
      </c>
      <c r="K47">
        <v>0</v>
      </c>
      <c r="O47">
        <f t="shared" si="21"/>
        <v>0</v>
      </c>
      <c r="P47">
        <f t="shared" si="22"/>
        <v>0</v>
      </c>
      <c r="Q47">
        <f t="shared" si="23"/>
        <v>0</v>
      </c>
      <c r="R47">
        <f t="shared" si="24"/>
        <v>0</v>
      </c>
      <c r="S47">
        <f t="shared" si="25"/>
        <v>0</v>
      </c>
      <c r="T47">
        <f t="shared" si="26"/>
        <v>0</v>
      </c>
      <c r="U47">
        <f t="shared" si="27"/>
        <v>0</v>
      </c>
      <c r="V47">
        <f t="shared" si="28"/>
        <v>0</v>
      </c>
      <c r="W47">
        <f t="shared" si="29"/>
        <v>0</v>
      </c>
      <c r="X47">
        <f t="shared" si="30"/>
        <v>0</v>
      </c>
      <c r="Y47">
        <f t="shared" si="31"/>
        <v>0</v>
      </c>
      <c r="AA47">
        <v>56610029</v>
      </c>
      <c r="AB47">
        <f t="shared" si="32"/>
        <v>1495.0844999999999</v>
      </c>
      <c r="AC47">
        <f t="shared" si="33"/>
        <v>0</v>
      </c>
      <c r="AD47">
        <f t="shared" si="34"/>
        <v>268.76850000000002</v>
      </c>
      <c r="AE47">
        <f t="shared" si="35"/>
        <v>29.484000000000002</v>
      </c>
      <c r="AF47">
        <f t="shared" si="36"/>
        <v>1226.316</v>
      </c>
      <c r="AG47">
        <f t="shared" si="37"/>
        <v>0</v>
      </c>
      <c r="AH47">
        <f t="shared" si="38"/>
        <v>113.19</v>
      </c>
      <c r="AI47">
        <f t="shared" si="39"/>
        <v>0</v>
      </c>
      <c r="AJ47">
        <f t="shared" si="40"/>
        <v>0</v>
      </c>
      <c r="AK47">
        <v>1423.89</v>
      </c>
      <c r="AL47">
        <v>0</v>
      </c>
      <c r="AM47">
        <v>255.97</v>
      </c>
      <c r="AN47">
        <v>28.08</v>
      </c>
      <c r="AO47">
        <v>1167.92</v>
      </c>
      <c r="AP47">
        <v>0</v>
      </c>
      <c r="AQ47">
        <v>107.8</v>
      </c>
      <c r="AR47">
        <v>0</v>
      </c>
      <c r="AS47">
        <v>0</v>
      </c>
      <c r="AT47">
        <v>92</v>
      </c>
      <c r="AU47">
        <v>41</v>
      </c>
      <c r="AV47">
        <v>1.0669999999999999</v>
      </c>
      <c r="AW47">
        <v>1.081</v>
      </c>
      <c r="AZ47">
        <v>1</v>
      </c>
      <c r="BA47">
        <v>34.51</v>
      </c>
      <c r="BB47">
        <v>11.8</v>
      </c>
      <c r="BC47">
        <v>1</v>
      </c>
      <c r="BD47" t="s">
        <v>3</v>
      </c>
      <c r="BE47" t="s">
        <v>3</v>
      </c>
      <c r="BF47" t="s">
        <v>3</v>
      </c>
      <c r="BG47" t="s">
        <v>3</v>
      </c>
      <c r="BH47">
        <v>0</v>
      </c>
      <c r="BI47">
        <v>1</v>
      </c>
      <c r="BJ47" t="s">
        <v>76</v>
      </c>
      <c r="BM47">
        <v>2254</v>
      </c>
      <c r="BN47">
        <v>0</v>
      </c>
      <c r="BO47" t="s">
        <v>74</v>
      </c>
      <c r="BP47">
        <v>1</v>
      </c>
      <c r="BQ47">
        <v>30</v>
      </c>
      <c r="BR47">
        <v>0</v>
      </c>
      <c r="BS47">
        <v>34.51</v>
      </c>
      <c r="BT47">
        <v>1</v>
      </c>
      <c r="BU47">
        <v>1</v>
      </c>
      <c r="BV47">
        <v>1</v>
      </c>
      <c r="BW47">
        <v>1</v>
      </c>
      <c r="BX47">
        <v>1</v>
      </c>
      <c r="BY47" t="s">
        <v>3</v>
      </c>
      <c r="BZ47">
        <v>92</v>
      </c>
      <c r="CA47">
        <v>41</v>
      </c>
      <c r="CB47" t="s">
        <v>3</v>
      </c>
      <c r="CE47">
        <v>30</v>
      </c>
      <c r="CF47">
        <v>0</v>
      </c>
      <c r="CG47">
        <v>0</v>
      </c>
      <c r="CM47">
        <v>0</v>
      </c>
      <c r="CN47" t="s">
        <v>708</v>
      </c>
      <c r="CO47">
        <v>0</v>
      </c>
      <c r="CP47">
        <f t="shared" si="41"/>
        <v>0</v>
      </c>
      <c r="CQ47">
        <f t="shared" si="42"/>
        <v>0</v>
      </c>
      <c r="CR47">
        <f t="shared" si="43"/>
        <v>3384</v>
      </c>
      <c r="CS47">
        <f t="shared" si="44"/>
        <v>1085.68</v>
      </c>
      <c r="CT47">
        <f t="shared" si="45"/>
        <v>45155.64</v>
      </c>
      <c r="CU47">
        <f t="shared" si="46"/>
        <v>0</v>
      </c>
      <c r="CV47">
        <f t="shared" si="47"/>
        <v>120.77372999999999</v>
      </c>
      <c r="CW47">
        <f t="shared" si="48"/>
        <v>0</v>
      </c>
      <c r="CX47">
        <f t="shared" si="49"/>
        <v>0</v>
      </c>
      <c r="CY47">
        <f>S47*(BZ47/100)</f>
        <v>0</v>
      </c>
      <c r="CZ47">
        <f>S47*(CA47/100)</f>
        <v>0</v>
      </c>
      <c r="DB47">
        <v>20</v>
      </c>
      <c r="DC47" t="s">
        <v>3</v>
      </c>
      <c r="DD47" t="s">
        <v>3</v>
      </c>
      <c r="DE47" t="s">
        <v>22</v>
      </c>
      <c r="DF47" t="s">
        <v>22</v>
      </c>
      <c r="DG47" t="s">
        <v>22</v>
      </c>
      <c r="DH47" t="s">
        <v>3</v>
      </c>
      <c r="DI47" t="s">
        <v>22</v>
      </c>
      <c r="DJ47" t="s">
        <v>22</v>
      </c>
      <c r="DK47" t="s">
        <v>3</v>
      </c>
      <c r="DL47" t="s">
        <v>3</v>
      </c>
      <c r="DM47" t="s">
        <v>3</v>
      </c>
      <c r="DN47">
        <v>112</v>
      </c>
      <c r="DO47">
        <v>70</v>
      </c>
      <c r="DP47">
        <v>1.0669999999999999</v>
      </c>
      <c r="DQ47">
        <v>1.081</v>
      </c>
      <c r="DU47">
        <v>1013</v>
      </c>
      <c r="DV47" t="s">
        <v>69</v>
      </c>
      <c r="DW47" t="s">
        <v>69</v>
      </c>
      <c r="DX47">
        <v>1</v>
      </c>
      <c r="DZ47" t="s">
        <v>3</v>
      </c>
      <c r="EA47" t="s">
        <v>3</v>
      </c>
      <c r="EB47" t="s">
        <v>3</v>
      </c>
      <c r="EC47" t="s">
        <v>3</v>
      </c>
      <c r="EE47">
        <v>51698335</v>
      </c>
      <c r="EF47">
        <v>30</v>
      </c>
      <c r="EG47" t="s">
        <v>23</v>
      </c>
      <c r="EH47">
        <v>0</v>
      </c>
      <c r="EI47" t="s">
        <v>3</v>
      </c>
      <c r="EJ47">
        <v>1</v>
      </c>
      <c r="EK47">
        <v>2254</v>
      </c>
      <c r="EL47" t="s">
        <v>71</v>
      </c>
      <c r="EM47" t="s">
        <v>72</v>
      </c>
      <c r="EO47" t="s">
        <v>26</v>
      </c>
      <c r="EQ47">
        <v>131072</v>
      </c>
      <c r="ER47">
        <v>1423.89</v>
      </c>
      <c r="ES47">
        <v>0</v>
      </c>
      <c r="ET47">
        <v>255.97</v>
      </c>
      <c r="EU47">
        <v>28.08</v>
      </c>
      <c r="EV47">
        <v>1167.92</v>
      </c>
      <c r="EW47">
        <v>107.8</v>
      </c>
      <c r="EX47">
        <v>0</v>
      </c>
      <c r="EY47">
        <v>0</v>
      </c>
      <c r="FQ47">
        <v>0</v>
      </c>
      <c r="FR47">
        <v>0</v>
      </c>
      <c r="FS47">
        <v>0</v>
      </c>
      <c r="FX47">
        <v>112</v>
      </c>
      <c r="FY47">
        <v>70</v>
      </c>
      <c r="GA47" t="s">
        <v>3</v>
      </c>
      <c r="GD47">
        <v>0</v>
      </c>
      <c r="GF47">
        <v>-654616270</v>
      </c>
      <c r="GG47">
        <v>2</v>
      </c>
      <c r="GH47">
        <v>1</v>
      </c>
      <c r="GI47">
        <v>2</v>
      </c>
      <c r="GJ47">
        <v>0</v>
      </c>
      <c r="GK47">
        <f>ROUND(R47*(S12)/100,2)</f>
        <v>0</v>
      </c>
      <c r="GL47">
        <f t="shared" si="50"/>
        <v>0</v>
      </c>
      <c r="GM47">
        <f t="shared" si="51"/>
        <v>0</v>
      </c>
      <c r="GN47">
        <f t="shared" si="52"/>
        <v>0</v>
      </c>
      <c r="GO47">
        <f t="shared" si="53"/>
        <v>0</v>
      </c>
      <c r="GP47">
        <f t="shared" si="54"/>
        <v>0</v>
      </c>
      <c r="GR47">
        <v>0</v>
      </c>
      <c r="GS47">
        <v>3</v>
      </c>
      <c r="GT47">
        <v>0</v>
      </c>
      <c r="GU47" t="s">
        <v>3</v>
      </c>
      <c r="GV47">
        <f t="shared" si="55"/>
        <v>0</v>
      </c>
      <c r="GW47">
        <v>1</v>
      </c>
      <c r="GX47">
        <f t="shared" si="56"/>
        <v>0</v>
      </c>
      <c r="HA47">
        <v>0</v>
      </c>
      <c r="HB47">
        <v>0</v>
      </c>
      <c r="HC47">
        <f t="shared" si="57"/>
        <v>0</v>
      </c>
      <c r="HE47" t="s">
        <v>3</v>
      </c>
      <c r="HF47" t="s">
        <v>3</v>
      </c>
      <c r="HM47" t="s">
        <v>3</v>
      </c>
      <c r="HN47" t="s">
        <v>3</v>
      </c>
      <c r="HO47" t="s">
        <v>3</v>
      </c>
      <c r="HP47" t="s">
        <v>3</v>
      </c>
      <c r="HQ47" t="s">
        <v>3</v>
      </c>
      <c r="HS47">
        <v>0</v>
      </c>
      <c r="IK47">
        <v>0</v>
      </c>
    </row>
    <row r="48" spans="1:255" x14ac:dyDescent="0.2">
      <c r="A48" s="2">
        <v>17</v>
      </c>
      <c r="B48" s="2">
        <v>1</v>
      </c>
      <c r="C48" s="2"/>
      <c r="D48" s="2"/>
      <c r="E48" s="2" t="s">
        <v>77</v>
      </c>
      <c r="F48" s="2" t="s">
        <v>78</v>
      </c>
      <c r="G48" s="2" t="s">
        <v>79</v>
      </c>
      <c r="H48" s="2" t="s">
        <v>57</v>
      </c>
      <c r="I48" s="2">
        <f>ROUND((I44+I46)*1000,9)</f>
        <v>0</v>
      </c>
      <c r="J48" s="2">
        <v>0</v>
      </c>
      <c r="K48" s="2">
        <f>ROUND((I44+I46)*1000,9)</f>
        <v>0</v>
      </c>
      <c r="L48" s="2"/>
      <c r="M48" s="2"/>
      <c r="N48" s="2"/>
      <c r="O48" s="2">
        <f t="shared" si="21"/>
        <v>0</v>
      </c>
      <c r="P48" s="2">
        <f t="shared" si="22"/>
        <v>0</v>
      </c>
      <c r="Q48" s="2">
        <f t="shared" si="23"/>
        <v>0</v>
      </c>
      <c r="R48" s="2">
        <f t="shared" si="24"/>
        <v>0</v>
      </c>
      <c r="S48" s="2">
        <f t="shared" si="25"/>
        <v>0</v>
      </c>
      <c r="T48" s="2">
        <f t="shared" si="26"/>
        <v>0</v>
      </c>
      <c r="U48" s="2">
        <f t="shared" si="27"/>
        <v>0</v>
      </c>
      <c r="V48" s="2">
        <f t="shared" si="28"/>
        <v>0</v>
      </c>
      <c r="W48" s="2">
        <f t="shared" si="29"/>
        <v>0</v>
      </c>
      <c r="X48" s="2">
        <f t="shared" si="30"/>
        <v>0</v>
      </c>
      <c r="Y48" s="2">
        <f t="shared" si="31"/>
        <v>0</v>
      </c>
      <c r="Z48" s="2"/>
      <c r="AA48" s="2">
        <v>56622490</v>
      </c>
      <c r="AB48" s="2">
        <f t="shared" si="32"/>
        <v>1076</v>
      </c>
      <c r="AC48" s="2">
        <f t="shared" si="33"/>
        <v>1076</v>
      </c>
      <c r="AD48" s="2">
        <f t="shared" si="34"/>
        <v>0</v>
      </c>
      <c r="AE48" s="2">
        <f t="shared" si="35"/>
        <v>0</v>
      </c>
      <c r="AF48" s="2">
        <f t="shared" si="36"/>
        <v>0</v>
      </c>
      <c r="AG48" s="2">
        <f t="shared" si="37"/>
        <v>0</v>
      </c>
      <c r="AH48" s="2">
        <f t="shared" si="38"/>
        <v>0</v>
      </c>
      <c r="AI48" s="2">
        <f t="shared" si="39"/>
        <v>0</v>
      </c>
      <c r="AJ48" s="2">
        <f t="shared" si="40"/>
        <v>0</v>
      </c>
      <c r="AK48" s="2">
        <v>1076</v>
      </c>
      <c r="AL48" s="2">
        <v>1076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1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3</v>
      </c>
      <c r="BI48" s="2">
        <v>1</v>
      </c>
      <c r="BJ48" s="2" t="s">
        <v>3</v>
      </c>
      <c r="BK48" s="2"/>
      <c r="BL48" s="2"/>
      <c r="BM48" s="2">
        <v>1617</v>
      </c>
      <c r="BN48" s="2">
        <v>0</v>
      </c>
      <c r="BO48" s="2" t="s">
        <v>3</v>
      </c>
      <c r="BP48" s="2">
        <v>0</v>
      </c>
      <c r="BQ48" s="2">
        <v>200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0</v>
      </c>
      <c r="CA48" s="2">
        <v>0</v>
      </c>
      <c r="CB48" s="2" t="s">
        <v>3</v>
      </c>
      <c r="CC48" s="2"/>
      <c r="CD48" s="2"/>
      <c r="CE48" s="2">
        <v>30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708</v>
      </c>
      <c r="CO48" s="2">
        <v>0</v>
      </c>
      <c r="CP48" s="2">
        <f t="shared" si="41"/>
        <v>0</v>
      </c>
      <c r="CQ48" s="2">
        <f t="shared" si="42"/>
        <v>1076</v>
      </c>
      <c r="CR48" s="2">
        <f t="shared" si="43"/>
        <v>0</v>
      </c>
      <c r="CS48" s="2">
        <f t="shared" si="44"/>
        <v>0</v>
      </c>
      <c r="CT48" s="2">
        <f t="shared" si="45"/>
        <v>0</v>
      </c>
      <c r="CU48" s="2">
        <f t="shared" si="46"/>
        <v>0</v>
      </c>
      <c r="CV48" s="2">
        <f t="shared" si="47"/>
        <v>0</v>
      </c>
      <c r="CW48" s="2">
        <f t="shared" si="48"/>
        <v>0</v>
      </c>
      <c r="CX48" s="2">
        <f t="shared" si="49"/>
        <v>0</v>
      </c>
      <c r="CY48" s="2">
        <f>((S48*BZ48)/100)</f>
        <v>0</v>
      </c>
      <c r="CZ48" s="2">
        <f>((S48*CA48)/100)</f>
        <v>0</v>
      </c>
      <c r="DA48" s="2"/>
      <c r="DB48" s="2">
        <v>21</v>
      </c>
      <c r="DC48" s="2" t="s">
        <v>3</v>
      </c>
      <c r="DD48" s="2" t="s">
        <v>3</v>
      </c>
      <c r="DE48" s="2" t="s">
        <v>22</v>
      </c>
      <c r="DF48" s="2" t="s">
        <v>22</v>
      </c>
      <c r="DG48" s="2" t="s">
        <v>22</v>
      </c>
      <c r="DH48" s="2" t="s">
        <v>3</v>
      </c>
      <c r="DI48" s="2" t="s">
        <v>22</v>
      </c>
      <c r="DJ48" s="2" t="s">
        <v>22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1003</v>
      </c>
      <c r="DV48" s="2" t="s">
        <v>57</v>
      </c>
      <c r="DW48" s="2" t="s">
        <v>57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51697656</v>
      </c>
      <c r="EF48" s="2">
        <v>200</v>
      </c>
      <c r="EG48" s="2" t="s">
        <v>59</v>
      </c>
      <c r="EH48" s="2">
        <v>0</v>
      </c>
      <c r="EI48" s="2" t="s">
        <v>3</v>
      </c>
      <c r="EJ48" s="2">
        <v>1</v>
      </c>
      <c r="EK48" s="2">
        <v>1617</v>
      </c>
      <c r="EL48" s="2" t="s">
        <v>60</v>
      </c>
      <c r="EM48" s="2" t="s">
        <v>61</v>
      </c>
      <c r="EN48" s="2"/>
      <c r="EO48" s="2" t="s">
        <v>26</v>
      </c>
      <c r="EP48" s="2"/>
      <c r="EQ48" s="2">
        <v>131072</v>
      </c>
      <c r="ER48" s="2">
        <v>112.43</v>
      </c>
      <c r="ES48" s="2">
        <v>1076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0</v>
      </c>
      <c r="FY48" s="2">
        <v>0</v>
      </c>
      <c r="FZ48" s="2"/>
      <c r="GA48" s="2" t="s">
        <v>80</v>
      </c>
      <c r="GB48" s="2"/>
      <c r="GC48" s="2"/>
      <c r="GD48" s="2">
        <v>0</v>
      </c>
      <c r="GE48" s="2"/>
      <c r="GF48" s="2">
        <v>-1840773881</v>
      </c>
      <c r="GG48" s="2">
        <v>2</v>
      </c>
      <c r="GH48" s="2">
        <v>4</v>
      </c>
      <c r="GI48" s="2">
        <v>3</v>
      </c>
      <c r="GJ48" s="2">
        <v>0</v>
      </c>
      <c r="GK48" s="2">
        <f>ROUND(R48*(R12)/100,2)</f>
        <v>0</v>
      </c>
      <c r="GL48" s="2">
        <f t="shared" si="50"/>
        <v>0</v>
      </c>
      <c r="GM48" s="2">
        <f t="shared" si="51"/>
        <v>0</v>
      </c>
      <c r="GN48" s="2">
        <f t="shared" si="52"/>
        <v>0</v>
      </c>
      <c r="GO48" s="2">
        <f t="shared" si="53"/>
        <v>0</v>
      </c>
      <c r="GP48" s="2">
        <f t="shared" si="54"/>
        <v>0</v>
      </c>
      <c r="GQ48" s="2"/>
      <c r="GR48" s="2">
        <v>0</v>
      </c>
      <c r="GS48" s="2">
        <v>2</v>
      </c>
      <c r="GT48" s="2">
        <v>0</v>
      </c>
      <c r="GU48" s="2" t="s">
        <v>3</v>
      </c>
      <c r="GV48" s="2">
        <f t="shared" si="55"/>
        <v>0</v>
      </c>
      <c r="GW48" s="2">
        <v>1</v>
      </c>
      <c r="GX48" s="2">
        <f t="shared" si="56"/>
        <v>0</v>
      </c>
      <c r="GY48" s="2"/>
      <c r="GZ48" s="2"/>
      <c r="HA48" s="2">
        <v>0</v>
      </c>
      <c r="HB48" s="2">
        <v>0</v>
      </c>
      <c r="HC48" s="2">
        <f t="shared" si="57"/>
        <v>0</v>
      </c>
      <c r="HD48" s="2"/>
      <c r="HE48" s="2" t="s">
        <v>27</v>
      </c>
      <c r="HF48" s="2" t="s">
        <v>81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>
        <v>17</v>
      </c>
      <c r="B49">
        <v>1</v>
      </c>
      <c r="E49" t="s">
        <v>77</v>
      </c>
      <c r="F49" t="s">
        <v>78</v>
      </c>
      <c r="G49" t="s">
        <v>79</v>
      </c>
      <c r="H49" t="s">
        <v>57</v>
      </c>
      <c r="I49">
        <f>ROUND((I45+I47)*1000,9)</f>
        <v>0</v>
      </c>
      <c r="J49">
        <v>0</v>
      </c>
      <c r="K49">
        <f>ROUND((I45+I47)*1000,9)</f>
        <v>0</v>
      </c>
      <c r="O49">
        <f t="shared" si="21"/>
        <v>0</v>
      </c>
      <c r="P49">
        <f t="shared" si="22"/>
        <v>0</v>
      </c>
      <c r="Q49">
        <f t="shared" si="23"/>
        <v>0</v>
      </c>
      <c r="R49">
        <f t="shared" si="24"/>
        <v>0</v>
      </c>
      <c r="S49">
        <f t="shared" si="25"/>
        <v>0</v>
      </c>
      <c r="T49">
        <f t="shared" si="26"/>
        <v>0</v>
      </c>
      <c r="U49">
        <f t="shared" si="27"/>
        <v>0</v>
      </c>
      <c r="V49">
        <f t="shared" si="28"/>
        <v>0</v>
      </c>
      <c r="W49">
        <f t="shared" si="29"/>
        <v>0</v>
      </c>
      <c r="X49">
        <f t="shared" si="30"/>
        <v>0</v>
      </c>
      <c r="Y49">
        <f t="shared" si="31"/>
        <v>0</v>
      </c>
      <c r="AA49">
        <v>56610029</v>
      </c>
      <c r="AB49">
        <f t="shared" si="32"/>
        <v>1076</v>
      </c>
      <c r="AC49">
        <f t="shared" si="33"/>
        <v>1076</v>
      </c>
      <c r="AD49">
        <f t="shared" si="34"/>
        <v>0</v>
      </c>
      <c r="AE49">
        <f t="shared" si="35"/>
        <v>0</v>
      </c>
      <c r="AF49">
        <f t="shared" si="36"/>
        <v>0</v>
      </c>
      <c r="AG49">
        <f t="shared" si="37"/>
        <v>0</v>
      </c>
      <c r="AH49">
        <f t="shared" si="38"/>
        <v>0</v>
      </c>
      <c r="AI49">
        <f t="shared" si="39"/>
        <v>0</v>
      </c>
      <c r="AJ49">
        <f t="shared" si="40"/>
        <v>0</v>
      </c>
      <c r="AK49">
        <v>1076</v>
      </c>
      <c r="AL49">
        <v>1076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1</v>
      </c>
      <c r="AZ49">
        <v>1</v>
      </c>
      <c r="BA49">
        <v>1</v>
      </c>
      <c r="BB49">
        <v>1</v>
      </c>
      <c r="BC49">
        <v>1</v>
      </c>
      <c r="BD49" t="s">
        <v>3</v>
      </c>
      <c r="BE49" t="s">
        <v>3</v>
      </c>
      <c r="BF49" t="s">
        <v>3</v>
      </c>
      <c r="BG49" t="s">
        <v>3</v>
      </c>
      <c r="BH49">
        <v>3</v>
      </c>
      <c r="BI49">
        <v>1</v>
      </c>
      <c r="BJ49" t="s">
        <v>3</v>
      </c>
      <c r="BM49">
        <v>1617</v>
      </c>
      <c r="BN49">
        <v>0</v>
      </c>
      <c r="BO49" t="s">
        <v>3</v>
      </c>
      <c r="BP49">
        <v>0</v>
      </c>
      <c r="BQ49">
        <v>200</v>
      </c>
      <c r="BR49">
        <v>0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 t="s">
        <v>3</v>
      </c>
      <c r="BZ49">
        <v>0</v>
      </c>
      <c r="CA49">
        <v>0</v>
      </c>
      <c r="CB49" t="s">
        <v>3</v>
      </c>
      <c r="CE49">
        <v>30</v>
      </c>
      <c r="CF49">
        <v>0</v>
      </c>
      <c r="CG49">
        <v>0</v>
      </c>
      <c r="CM49">
        <v>0</v>
      </c>
      <c r="CN49" t="s">
        <v>708</v>
      </c>
      <c r="CO49">
        <v>0</v>
      </c>
      <c r="CP49">
        <f t="shared" si="41"/>
        <v>0</v>
      </c>
      <c r="CQ49">
        <f t="shared" si="42"/>
        <v>1076</v>
      </c>
      <c r="CR49">
        <f t="shared" si="43"/>
        <v>0</v>
      </c>
      <c r="CS49">
        <f t="shared" si="44"/>
        <v>0</v>
      </c>
      <c r="CT49">
        <f t="shared" si="45"/>
        <v>0</v>
      </c>
      <c r="CU49">
        <f t="shared" si="46"/>
        <v>0</v>
      </c>
      <c r="CV49">
        <f t="shared" si="47"/>
        <v>0</v>
      </c>
      <c r="CW49">
        <f t="shared" si="48"/>
        <v>0</v>
      </c>
      <c r="CX49">
        <f t="shared" si="49"/>
        <v>0</v>
      </c>
      <c r="CY49">
        <f>S49*(BZ49/100)</f>
        <v>0</v>
      </c>
      <c r="CZ49">
        <f>S49*(CA49/100)</f>
        <v>0</v>
      </c>
      <c r="DB49">
        <v>22</v>
      </c>
      <c r="DC49" t="s">
        <v>3</v>
      </c>
      <c r="DD49" t="s">
        <v>3</v>
      </c>
      <c r="DE49" t="s">
        <v>22</v>
      </c>
      <c r="DF49" t="s">
        <v>22</v>
      </c>
      <c r="DG49" t="s">
        <v>22</v>
      </c>
      <c r="DH49" t="s">
        <v>3</v>
      </c>
      <c r="DI49" t="s">
        <v>22</v>
      </c>
      <c r="DJ49" t="s">
        <v>22</v>
      </c>
      <c r="DK49" t="s">
        <v>3</v>
      </c>
      <c r="DL49" t="s">
        <v>3</v>
      </c>
      <c r="DM49" t="s">
        <v>3</v>
      </c>
      <c r="DN49">
        <v>0</v>
      </c>
      <c r="DO49">
        <v>0</v>
      </c>
      <c r="DP49">
        <v>1</v>
      </c>
      <c r="DQ49">
        <v>1</v>
      </c>
      <c r="DU49">
        <v>1003</v>
      </c>
      <c r="DV49" t="s">
        <v>57</v>
      </c>
      <c r="DW49" t="s">
        <v>57</v>
      </c>
      <c r="DX49">
        <v>1</v>
      </c>
      <c r="DZ49" t="s">
        <v>3</v>
      </c>
      <c r="EA49" t="s">
        <v>3</v>
      </c>
      <c r="EB49" t="s">
        <v>3</v>
      </c>
      <c r="EC49" t="s">
        <v>3</v>
      </c>
      <c r="EE49">
        <v>51697656</v>
      </c>
      <c r="EF49">
        <v>200</v>
      </c>
      <c r="EG49" t="s">
        <v>59</v>
      </c>
      <c r="EH49">
        <v>0</v>
      </c>
      <c r="EI49" t="s">
        <v>3</v>
      </c>
      <c r="EJ49">
        <v>1</v>
      </c>
      <c r="EK49">
        <v>1617</v>
      </c>
      <c r="EL49" t="s">
        <v>60</v>
      </c>
      <c r="EM49" t="s">
        <v>61</v>
      </c>
      <c r="EO49" t="s">
        <v>26</v>
      </c>
      <c r="EQ49">
        <v>131072</v>
      </c>
      <c r="ER49">
        <v>112.43</v>
      </c>
      <c r="ES49">
        <v>1076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5</v>
      </c>
      <c r="FC49">
        <v>1</v>
      </c>
      <c r="FD49">
        <v>18</v>
      </c>
      <c r="FF49">
        <v>1265.8800000000001</v>
      </c>
      <c r="FQ49">
        <v>0</v>
      </c>
      <c r="FR49">
        <v>0</v>
      </c>
      <c r="FS49">
        <v>0</v>
      </c>
      <c r="FX49">
        <v>0</v>
      </c>
      <c r="FY49">
        <v>0</v>
      </c>
      <c r="GA49" t="s">
        <v>80</v>
      </c>
      <c r="GD49">
        <v>0</v>
      </c>
      <c r="GF49">
        <v>-1840773881</v>
      </c>
      <c r="GG49">
        <v>2</v>
      </c>
      <c r="GH49">
        <v>3</v>
      </c>
      <c r="GI49">
        <v>-2</v>
      </c>
      <c r="GJ49">
        <v>0</v>
      </c>
      <c r="GK49">
        <f>ROUND(R49*(S12)/100,2)</f>
        <v>0</v>
      </c>
      <c r="GL49">
        <f t="shared" si="50"/>
        <v>0</v>
      </c>
      <c r="GM49">
        <f t="shared" si="51"/>
        <v>0</v>
      </c>
      <c r="GN49">
        <f t="shared" si="52"/>
        <v>0</v>
      </c>
      <c r="GO49">
        <f t="shared" si="53"/>
        <v>0</v>
      </c>
      <c r="GP49">
        <f t="shared" si="54"/>
        <v>0</v>
      </c>
      <c r="GR49">
        <v>1</v>
      </c>
      <c r="GS49">
        <v>1</v>
      </c>
      <c r="GT49">
        <v>0</v>
      </c>
      <c r="GU49" t="s">
        <v>3</v>
      </c>
      <c r="GV49">
        <f t="shared" si="55"/>
        <v>0</v>
      </c>
      <c r="GW49">
        <v>1</v>
      </c>
      <c r="GX49">
        <f t="shared" si="56"/>
        <v>0</v>
      </c>
      <c r="HA49">
        <v>0</v>
      </c>
      <c r="HB49">
        <v>0</v>
      </c>
      <c r="HC49">
        <f t="shared" si="57"/>
        <v>0</v>
      </c>
      <c r="HE49" t="s">
        <v>27</v>
      </c>
      <c r="HF49" t="s">
        <v>81</v>
      </c>
      <c r="HM49" t="s">
        <v>3</v>
      </c>
      <c r="HN49" t="s">
        <v>3</v>
      </c>
      <c r="HO49" t="s">
        <v>3</v>
      </c>
      <c r="HP49" t="s">
        <v>3</v>
      </c>
      <c r="HQ49" t="s">
        <v>3</v>
      </c>
      <c r="HS49">
        <v>0</v>
      </c>
      <c r="IK49">
        <v>0</v>
      </c>
    </row>
    <row r="50" spans="1:255" x14ac:dyDescent="0.2">
      <c r="A50" s="2">
        <v>17</v>
      </c>
      <c r="B50" s="2">
        <v>1</v>
      </c>
      <c r="C50" s="2"/>
      <c r="D50" s="2"/>
      <c r="E50" s="2" t="s">
        <v>82</v>
      </c>
      <c r="F50" s="2" t="s">
        <v>83</v>
      </c>
      <c r="G50" s="2" t="s">
        <v>84</v>
      </c>
      <c r="H50" s="2" t="s">
        <v>85</v>
      </c>
      <c r="I50" s="2">
        <v>0</v>
      </c>
      <c r="J50" s="2">
        <v>0</v>
      </c>
      <c r="K50" s="2">
        <v>0</v>
      </c>
      <c r="L50" s="2"/>
      <c r="M50" s="2"/>
      <c r="N50" s="2"/>
      <c r="O50" s="2">
        <f t="shared" si="21"/>
        <v>0</v>
      </c>
      <c r="P50" s="2">
        <f t="shared" si="22"/>
        <v>0</v>
      </c>
      <c r="Q50" s="2">
        <f t="shared" si="23"/>
        <v>0</v>
      </c>
      <c r="R50" s="2">
        <f t="shared" si="24"/>
        <v>0</v>
      </c>
      <c r="S50" s="2">
        <f t="shared" si="25"/>
        <v>0</v>
      </c>
      <c r="T50" s="2">
        <f t="shared" si="26"/>
        <v>0</v>
      </c>
      <c r="U50" s="2">
        <f t="shared" si="27"/>
        <v>0</v>
      </c>
      <c r="V50" s="2">
        <f t="shared" si="28"/>
        <v>0</v>
      </c>
      <c r="W50" s="2">
        <f t="shared" si="29"/>
        <v>0</v>
      </c>
      <c r="X50" s="2">
        <f t="shared" si="30"/>
        <v>0</v>
      </c>
      <c r="Y50" s="2">
        <f t="shared" si="31"/>
        <v>0</v>
      </c>
      <c r="Z50" s="2"/>
      <c r="AA50" s="2">
        <v>56622490</v>
      </c>
      <c r="AB50" s="2">
        <f t="shared" si="32"/>
        <v>104.99</v>
      </c>
      <c r="AC50" s="2">
        <f t="shared" si="33"/>
        <v>104.99</v>
      </c>
      <c r="AD50" s="2">
        <f t="shared" si="34"/>
        <v>0</v>
      </c>
      <c r="AE50" s="2">
        <f t="shared" si="35"/>
        <v>0</v>
      </c>
      <c r="AF50" s="2">
        <f t="shared" si="36"/>
        <v>0</v>
      </c>
      <c r="AG50" s="2">
        <f t="shared" si="37"/>
        <v>0</v>
      </c>
      <c r="AH50" s="2">
        <f t="shared" si="38"/>
        <v>0</v>
      </c>
      <c r="AI50" s="2">
        <f t="shared" si="39"/>
        <v>0</v>
      </c>
      <c r="AJ50" s="2">
        <f t="shared" si="40"/>
        <v>0</v>
      </c>
      <c r="AK50" s="2">
        <v>104.99</v>
      </c>
      <c r="AL50" s="2">
        <v>104.99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1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3</v>
      </c>
      <c r="BI50" s="2">
        <v>1</v>
      </c>
      <c r="BJ50" s="2" t="s">
        <v>86</v>
      </c>
      <c r="BK50" s="2"/>
      <c r="BL50" s="2"/>
      <c r="BM50" s="2">
        <v>1617</v>
      </c>
      <c r="BN50" s="2">
        <v>0</v>
      </c>
      <c r="BO50" s="2" t="s">
        <v>3</v>
      </c>
      <c r="BP50" s="2">
        <v>0</v>
      </c>
      <c r="BQ50" s="2">
        <v>200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0</v>
      </c>
      <c r="CA50" s="2">
        <v>0</v>
      </c>
      <c r="CB50" s="2" t="s">
        <v>3</v>
      </c>
      <c r="CC50" s="2"/>
      <c r="CD50" s="2"/>
      <c r="CE50" s="2">
        <v>30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708</v>
      </c>
      <c r="CO50" s="2">
        <v>0</v>
      </c>
      <c r="CP50" s="2">
        <f t="shared" si="41"/>
        <v>0</v>
      </c>
      <c r="CQ50" s="2">
        <f t="shared" si="42"/>
        <v>104.99</v>
      </c>
      <c r="CR50" s="2">
        <f t="shared" si="43"/>
        <v>0</v>
      </c>
      <c r="CS50" s="2">
        <f t="shared" si="44"/>
        <v>0</v>
      </c>
      <c r="CT50" s="2">
        <f t="shared" si="45"/>
        <v>0</v>
      </c>
      <c r="CU50" s="2">
        <f t="shared" si="46"/>
        <v>0</v>
      </c>
      <c r="CV50" s="2">
        <f t="shared" si="47"/>
        <v>0</v>
      </c>
      <c r="CW50" s="2">
        <f t="shared" si="48"/>
        <v>0</v>
      </c>
      <c r="CX50" s="2">
        <f t="shared" si="49"/>
        <v>0</v>
      </c>
      <c r="CY50" s="2">
        <f>((S50*BZ50)/100)</f>
        <v>0</v>
      </c>
      <c r="CZ50" s="2">
        <f>((S50*CA50)/100)</f>
        <v>0</v>
      </c>
      <c r="DA50" s="2"/>
      <c r="DB50" s="2">
        <v>23</v>
      </c>
      <c r="DC50" s="2" t="s">
        <v>3</v>
      </c>
      <c r="DD50" s="2" t="s">
        <v>3</v>
      </c>
      <c r="DE50" s="2" t="s">
        <v>22</v>
      </c>
      <c r="DF50" s="2" t="s">
        <v>22</v>
      </c>
      <c r="DG50" s="2" t="s">
        <v>22</v>
      </c>
      <c r="DH50" s="2" t="s">
        <v>3</v>
      </c>
      <c r="DI50" s="2" t="s">
        <v>22</v>
      </c>
      <c r="DJ50" s="2" t="s">
        <v>22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1007</v>
      </c>
      <c r="DV50" s="2" t="s">
        <v>85</v>
      </c>
      <c r="DW50" s="2" t="s">
        <v>85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51697656</v>
      </c>
      <c r="EF50" s="2">
        <v>200</v>
      </c>
      <c r="EG50" s="2" t="s">
        <v>59</v>
      </c>
      <c r="EH50" s="2">
        <v>0</v>
      </c>
      <c r="EI50" s="2" t="s">
        <v>3</v>
      </c>
      <c r="EJ50" s="2">
        <v>1</v>
      </c>
      <c r="EK50" s="2">
        <v>1617</v>
      </c>
      <c r="EL50" s="2" t="s">
        <v>60</v>
      </c>
      <c r="EM50" s="2" t="s">
        <v>61</v>
      </c>
      <c r="EN50" s="2"/>
      <c r="EO50" s="2" t="s">
        <v>26</v>
      </c>
      <c r="EP50" s="2"/>
      <c r="EQ50" s="2">
        <v>131072</v>
      </c>
      <c r="ER50" s="2">
        <v>104.99</v>
      </c>
      <c r="ES50" s="2">
        <v>104.99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0</v>
      </c>
      <c r="FY50" s="2">
        <v>0</v>
      </c>
      <c r="FZ50" s="2"/>
      <c r="GA50" s="2" t="s">
        <v>3</v>
      </c>
      <c r="GB50" s="2"/>
      <c r="GC50" s="2"/>
      <c r="GD50" s="2">
        <v>0</v>
      </c>
      <c r="GE50" s="2"/>
      <c r="GF50" s="2">
        <v>-449487181</v>
      </c>
      <c r="GG50" s="2">
        <v>2</v>
      </c>
      <c r="GH50" s="2">
        <v>1</v>
      </c>
      <c r="GI50" s="2">
        <v>-2</v>
      </c>
      <c r="GJ50" s="2">
        <v>0</v>
      </c>
      <c r="GK50" s="2">
        <f>ROUND(R50*(R12)/100,2)</f>
        <v>0</v>
      </c>
      <c r="GL50" s="2">
        <f t="shared" si="50"/>
        <v>0</v>
      </c>
      <c r="GM50" s="2">
        <f t="shared" si="51"/>
        <v>0</v>
      </c>
      <c r="GN50" s="2">
        <f t="shared" si="52"/>
        <v>0</v>
      </c>
      <c r="GO50" s="2">
        <f t="shared" si="53"/>
        <v>0</v>
      </c>
      <c r="GP50" s="2">
        <f t="shared" si="54"/>
        <v>0</v>
      </c>
      <c r="GQ50" s="2"/>
      <c r="GR50" s="2">
        <v>0</v>
      </c>
      <c r="GS50" s="2">
        <v>0</v>
      </c>
      <c r="GT50" s="2">
        <v>0</v>
      </c>
      <c r="GU50" s="2" t="s">
        <v>3</v>
      </c>
      <c r="GV50" s="2">
        <f t="shared" si="55"/>
        <v>0</v>
      </c>
      <c r="GW50" s="2">
        <v>1</v>
      </c>
      <c r="GX50" s="2">
        <f t="shared" si="56"/>
        <v>0</v>
      </c>
      <c r="GY50" s="2"/>
      <c r="GZ50" s="2"/>
      <c r="HA50" s="2">
        <v>0</v>
      </c>
      <c r="HB50" s="2">
        <v>0</v>
      </c>
      <c r="HC50" s="2">
        <f t="shared" si="57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>
        <v>17</v>
      </c>
      <c r="B51">
        <v>1</v>
      </c>
      <c r="E51" t="s">
        <v>82</v>
      </c>
      <c r="F51" t="s">
        <v>83</v>
      </c>
      <c r="G51" t="s">
        <v>84</v>
      </c>
      <c r="H51" t="s">
        <v>85</v>
      </c>
      <c r="I51">
        <v>0</v>
      </c>
      <c r="J51">
        <v>0</v>
      </c>
      <c r="K51">
        <v>0</v>
      </c>
      <c r="O51">
        <f t="shared" si="21"/>
        <v>0</v>
      </c>
      <c r="P51">
        <f t="shared" si="22"/>
        <v>0</v>
      </c>
      <c r="Q51">
        <f t="shared" si="23"/>
        <v>0</v>
      </c>
      <c r="R51">
        <f t="shared" si="24"/>
        <v>0</v>
      </c>
      <c r="S51">
        <f t="shared" si="25"/>
        <v>0</v>
      </c>
      <c r="T51">
        <f t="shared" si="26"/>
        <v>0</v>
      </c>
      <c r="U51">
        <f t="shared" si="27"/>
        <v>0</v>
      </c>
      <c r="V51">
        <f t="shared" si="28"/>
        <v>0</v>
      </c>
      <c r="W51">
        <f t="shared" si="29"/>
        <v>0</v>
      </c>
      <c r="X51">
        <f t="shared" si="30"/>
        <v>0</v>
      </c>
      <c r="Y51">
        <f t="shared" si="31"/>
        <v>0</v>
      </c>
      <c r="AA51">
        <v>56610029</v>
      </c>
      <c r="AB51">
        <f t="shared" si="32"/>
        <v>104.99</v>
      </c>
      <c r="AC51">
        <f t="shared" si="33"/>
        <v>104.99</v>
      </c>
      <c r="AD51">
        <f t="shared" si="34"/>
        <v>0</v>
      </c>
      <c r="AE51">
        <f t="shared" si="35"/>
        <v>0</v>
      </c>
      <c r="AF51">
        <f t="shared" si="36"/>
        <v>0</v>
      </c>
      <c r="AG51">
        <f t="shared" si="37"/>
        <v>0</v>
      </c>
      <c r="AH51">
        <f t="shared" si="38"/>
        <v>0</v>
      </c>
      <c r="AI51">
        <f t="shared" si="39"/>
        <v>0</v>
      </c>
      <c r="AJ51">
        <f t="shared" si="40"/>
        <v>0</v>
      </c>
      <c r="AK51">
        <v>104.99</v>
      </c>
      <c r="AL51">
        <v>104.99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1</v>
      </c>
      <c r="AZ51">
        <v>1</v>
      </c>
      <c r="BA51">
        <v>1</v>
      </c>
      <c r="BB51">
        <v>1</v>
      </c>
      <c r="BC51">
        <v>7.69</v>
      </c>
      <c r="BD51" t="s">
        <v>3</v>
      </c>
      <c r="BE51" t="s">
        <v>3</v>
      </c>
      <c r="BF51" t="s">
        <v>3</v>
      </c>
      <c r="BG51" t="s">
        <v>3</v>
      </c>
      <c r="BH51">
        <v>3</v>
      </c>
      <c r="BI51">
        <v>1</v>
      </c>
      <c r="BJ51" t="s">
        <v>86</v>
      </c>
      <c r="BM51">
        <v>1617</v>
      </c>
      <c r="BN51">
        <v>0</v>
      </c>
      <c r="BO51" t="s">
        <v>83</v>
      </c>
      <c r="BP51">
        <v>1</v>
      </c>
      <c r="BQ51">
        <v>200</v>
      </c>
      <c r="BR51">
        <v>0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 t="s">
        <v>3</v>
      </c>
      <c r="BZ51">
        <v>0</v>
      </c>
      <c r="CA51">
        <v>0</v>
      </c>
      <c r="CB51" t="s">
        <v>3</v>
      </c>
      <c r="CE51">
        <v>30</v>
      </c>
      <c r="CF51">
        <v>0</v>
      </c>
      <c r="CG51">
        <v>0</v>
      </c>
      <c r="CM51">
        <v>0</v>
      </c>
      <c r="CN51" t="s">
        <v>708</v>
      </c>
      <c r="CO51">
        <v>0</v>
      </c>
      <c r="CP51">
        <f t="shared" si="41"/>
        <v>0</v>
      </c>
      <c r="CQ51">
        <f t="shared" si="42"/>
        <v>807.37</v>
      </c>
      <c r="CR51">
        <f t="shared" si="43"/>
        <v>0</v>
      </c>
      <c r="CS51">
        <f t="shared" si="44"/>
        <v>0</v>
      </c>
      <c r="CT51">
        <f t="shared" si="45"/>
        <v>0</v>
      </c>
      <c r="CU51">
        <f t="shared" si="46"/>
        <v>0</v>
      </c>
      <c r="CV51">
        <f t="shared" si="47"/>
        <v>0</v>
      </c>
      <c r="CW51">
        <f t="shared" si="48"/>
        <v>0</v>
      </c>
      <c r="CX51">
        <f t="shared" si="49"/>
        <v>0</v>
      </c>
      <c r="CY51">
        <f>S51*(BZ51/100)</f>
        <v>0</v>
      </c>
      <c r="CZ51">
        <f>S51*(CA51/100)</f>
        <v>0</v>
      </c>
      <c r="DB51">
        <v>24</v>
      </c>
      <c r="DC51" t="s">
        <v>3</v>
      </c>
      <c r="DD51" t="s">
        <v>3</v>
      </c>
      <c r="DE51" t="s">
        <v>22</v>
      </c>
      <c r="DF51" t="s">
        <v>22</v>
      </c>
      <c r="DG51" t="s">
        <v>22</v>
      </c>
      <c r="DH51" t="s">
        <v>3</v>
      </c>
      <c r="DI51" t="s">
        <v>22</v>
      </c>
      <c r="DJ51" t="s">
        <v>22</v>
      </c>
      <c r="DK51" t="s">
        <v>3</v>
      </c>
      <c r="DL51" t="s">
        <v>3</v>
      </c>
      <c r="DM51" t="s">
        <v>3</v>
      </c>
      <c r="DN51">
        <v>0</v>
      </c>
      <c r="DO51">
        <v>0</v>
      </c>
      <c r="DP51">
        <v>1</v>
      </c>
      <c r="DQ51">
        <v>1</v>
      </c>
      <c r="DU51">
        <v>1007</v>
      </c>
      <c r="DV51" t="s">
        <v>85</v>
      </c>
      <c r="DW51" t="s">
        <v>85</v>
      </c>
      <c r="DX51">
        <v>1</v>
      </c>
      <c r="DZ51" t="s">
        <v>3</v>
      </c>
      <c r="EA51" t="s">
        <v>3</v>
      </c>
      <c r="EB51" t="s">
        <v>3</v>
      </c>
      <c r="EC51" t="s">
        <v>3</v>
      </c>
      <c r="EE51">
        <v>51697656</v>
      </c>
      <c r="EF51">
        <v>200</v>
      </c>
      <c r="EG51" t="s">
        <v>59</v>
      </c>
      <c r="EH51">
        <v>0</v>
      </c>
      <c r="EI51" t="s">
        <v>3</v>
      </c>
      <c r="EJ51">
        <v>1</v>
      </c>
      <c r="EK51">
        <v>1617</v>
      </c>
      <c r="EL51" t="s">
        <v>60</v>
      </c>
      <c r="EM51" t="s">
        <v>61</v>
      </c>
      <c r="EO51" t="s">
        <v>26</v>
      </c>
      <c r="EQ51">
        <v>131072</v>
      </c>
      <c r="ER51">
        <v>104.99</v>
      </c>
      <c r="ES51">
        <v>104.99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FQ51">
        <v>0</v>
      </c>
      <c r="FR51">
        <v>0</v>
      </c>
      <c r="FS51">
        <v>0</v>
      </c>
      <c r="FX51">
        <v>0</v>
      </c>
      <c r="FY51">
        <v>0</v>
      </c>
      <c r="GA51" t="s">
        <v>3</v>
      </c>
      <c r="GD51">
        <v>0</v>
      </c>
      <c r="GF51">
        <v>-449487181</v>
      </c>
      <c r="GG51">
        <v>2</v>
      </c>
      <c r="GH51">
        <v>1</v>
      </c>
      <c r="GI51">
        <v>2</v>
      </c>
      <c r="GJ51">
        <v>0</v>
      </c>
      <c r="GK51">
        <f>ROUND(R51*(S12)/100,2)</f>
        <v>0</v>
      </c>
      <c r="GL51">
        <f t="shared" si="50"/>
        <v>0</v>
      </c>
      <c r="GM51">
        <f t="shared" si="51"/>
        <v>0</v>
      </c>
      <c r="GN51">
        <f t="shared" si="52"/>
        <v>0</v>
      </c>
      <c r="GO51">
        <f t="shared" si="53"/>
        <v>0</v>
      </c>
      <c r="GP51">
        <f t="shared" si="54"/>
        <v>0</v>
      </c>
      <c r="GR51">
        <v>0</v>
      </c>
      <c r="GS51">
        <v>3</v>
      </c>
      <c r="GT51">
        <v>0</v>
      </c>
      <c r="GU51" t="s">
        <v>3</v>
      </c>
      <c r="GV51">
        <f t="shared" si="55"/>
        <v>0</v>
      </c>
      <c r="GW51">
        <v>1</v>
      </c>
      <c r="GX51">
        <f t="shared" si="56"/>
        <v>0</v>
      </c>
      <c r="HA51">
        <v>0</v>
      </c>
      <c r="HB51">
        <v>0</v>
      </c>
      <c r="HC51">
        <f t="shared" si="57"/>
        <v>0</v>
      </c>
      <c r="HE51" t="s">
        <v>3</v>
      </c>
      <c r="HF51" t="s">
        <v>3</v>
      </c>
      <c r="HM51" t="s">
        <v>3</v>
      </c>
      <c r="HN51" t="s">
        <v>3</v>
      </c>
      <c r="HO51" t="s">
        <v>3</v>
      </c>
      <c r="HP51" t="s">
        <v>3</v>
      </c>
      <c r="HQ51" t="s">
        <v>3</v>
      </c>
      <c r="HS51">
        <v>0</v>
      </c>
      <c r="IK51">
        <v>0</v>
      </c>
    </row>
    <row r="52" spans="1:255" x14ac:dyDescent="0.2">
      <c r="A52" s="2">
        <v>17</v>
      </c>
      <c r="B52" s="2">
        <v>1</v>
      </c>
      <c r="C52" s="2"/>
      <c r="D52" s="2"/>
      <c r="E52" s="2" t="s">
        <v>87</v>
      </c>
      <c r="F52" s="2" t="s">
        <v>88</v>
      </c>
      <c r="G52" s="2" t="s">
        <v>89</v>
      </c>
      <c r="H52" s="2" t="s">
        <v>90</v>
      </c>
      <c r="I52" s="2">
        <v>0</v>
      </c>
      <c r="J52" s="2">
        <v>0</v>
      </c>
      <c r="K52" s="2">
        <v>0</v>
      </c>
      <c r="L52" s="2"/>
      <c r="M52" s="2"/>
      <c r="N52" s="2"/>
      <c r="O52" s="2">
        <f t="shared" si="21"/>
        <v>0</v>
      </c>
      <c r="P52" s="2">
        <f t="shared" si="22"/>
        <v>0</v>
      </c>
      <c r="Q52" s="2">
        <f t="shared" si="23"/>
        <v>0</v>
      </c>
      <c r="R52" s="2">
        <f t="shared" si="24"/>
        <v>0</v>
      </c>
      <c r="S52" s="2">
        <f t="shared" si="25"/>
        <v>0</v>
      </c>
      <c r="T52" s="2">
        <f t="shared" si="26"/>
        <v>0</v>
      </c>
      <c r="U52" s="2">
        <f t="shared" si="27"/>
        <v>0</v>
      </c>
      <c r="V52" s="2">
        <f t="shared" si="28"/>
        <v>0</v>
      </c>
      <c r="W52" s="2">
        <f t="shared" si="29"/>
        <v>0</v>
      </c>
      <c r="X52" s="2">
        <f t="shared" si="30"/>
        <v>0</v>
      </c>
      <c r="Y52" s="2">
        <f t="shared" si="31"/>
        <v>0</v>
      </c>
      <c r="Z52" s="2"/>
      <c r="AA52" s="2">
        <v>56622490</v>
      </c>
      <c r="AB52" s="2">
        <f t="shared" si="32"/>
        <v>3.9</v>
      </c>
      <c r="AC52" s="2">
        <f t="shared" si="33"/>
        <v>3.9</v>
      </c>
      <c r="AD52" s="2">
        <f t="shared" si="34"/>
        <v>0</v>
      </c>
      <c r="AE52" s="2">
        <f t="shared" si="35"/>
        <v>0</v>
      </c>
      <c r="AF52" s="2">
        <f t="shared" si="36"/>
        <v>0</v>
      </c>
      <c r="AG52" s="2">
        <f t="shared" si="37"/>
        <v>0</v>
      </c>
      <c r="AH52" s="2">
        <f t="shared" si="38"/>
        <v>0</v>
      </c>
      <c r="AI52" s="2">
        <f t="shared" si="39"/>
        <v>0</v>
      </c>
      <c r="AJ52" s="2">
        <f t="shared" si="40"/>
        <v>0</v>
      </c>
      <c r="AK52" s="2">
        <v>3.9</v>
      </c>
      <c r="AL52" s="2">
        <v>3.9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1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3</v>
      </c>
      <c r="BI52" s="2">
        <v>1</v>
      </c>
      <c r="BJ52" s="2" t="s">
        <v>91</v>
      </c>
      <c r="BK52" s="2"/>
      <c r="BL52" s="2"/>
      <c r="BM52" s="2">
        <v>1617</v>
      </c>
      <c r="BN52" s="2">
        <v>0</v>
      </c>
      <c r="BO52" s="2" t="s">
        <v>3</v>
      </c>
      <c r="BP52" s="2">
        <v>0</v>
      </c>
      <c r="BQ52" s="2">
        <v>200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0</v>
      </c>
      <c r="CA52" s="2">
        <v>0</v>
      </c>
      <c r="CB52" s="2" t="s">
        <v>3</v>
      </c>
      <c r="CC52" s="2"/>
      <c r="CD52" s="2"/>
      <c r="CE52" s="2">
        <v>30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708</v>
      </c>
      <c r="CO52" s="2">
        <v>0</v>
      </c>
      <c r="CP52" s="2">
        <f t="shared" si="41"/>
        <v>0</v>
      </c>
      <c r="CQ52" s="2">
        <f t="shared" si="42"/>
        <v>3.9</v>
      </c>
      <c r="CR52" s="2">
        <f t="shared" si="43"/>
        <v>0</v>
      </c>
      <c r="CS52" s="2">
        <f t="shared" si="44"/>
        <v>0</v>
      </c>
      <c r="CT52" s="2">
        <f t="shared" si="45"/>
        <v>0</v>
      </c>
      <c r="CU52" s="2">
        <f t="shared" si="46"/>
        <v>0</v>
      </c>
      <c r="CV52" s="2">
        <f t="shared" si="47"/>
        <v>0</v>
      </c>
      <c r="CW52" s="2">
        <f t="shared" si="48"/>
        <v>0</v>
      </c>
      <c r="CX52" s="2">
        <f t="shared" si="49"/>
        <v>0</v>
      </c>
      <c r="CY52" s="2">
        <f>((S52*BZ52)/100)</f>
        <v>0</v>
      </c>
      <c r="CZ52" s="2">
        <f>((S52*CA52)/100)</f>
        <v>0</v>
      </c>
      <c r="DA52" s="2"/>
      <c r="DB52" s="2">
        <v>25</v>
      </c>
      <c r="DC52" s="2" t="s">
        <v>3</v>
      </c>
      <c r="DD52" s="2" t="s">
        <v>3</v>
      </c>
      <c r="DE52" s="2" t="s">
        <v>22</v>
      </c>
      <c r="DF52" s="2" t="s">
        <v>22</v>
      </c>
      <c r="DG52" s="2" t="s">
        <v>22</v>
      </c>
      <c r="DH52" s="2" t="s">
        <v>3</v>
      </c>
      <c r="DI52" s="2" t="s">
        <v>22</v>
      </c>
      <c r="DJ52" s="2" t="s">
        <v>22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1010</v>
      </c>
      <c r="DV52" s="2" t="s">
        <v>90</v>
      </c>
      <c r="DW52" s="2" t="s">
        <v>90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51697656</v>
      </c>
      <c r="EF52" s="2">
        <v>200</v>
      </c>
      <c r="EG52" s="2" t="s">
        <v>59</v>
      </c>
      <c r="EH52" s="2">
        <v>0</v>
      </c>
      <c r="EI52" s="2" t="s">
        <v>3</v>
      </c>
      <c r="EJ52" s="2">
        <v>1</v>
      </c>
      <c r="EK52" s="2">
        <v>1617</v>
      </c>
      <c r="EL52" s="2" t="s">
        <v>60</v>
      </c>
      <c r="EM52" s="2" t="s">
        <v>61</v>
      </c>
      <c r="EN52" s="2"/>
      <c r="EO52" s="2" t="s">
        <v>26</v>
      </c>
      <c r="EP52" s="2"/>
      <c r="EQ52" s="2">
        <v>131072</v>
      </c>
      <c r="ER52" s="2">
        <v>3.9</v>
      </c>
      <c r="ES52" s="2">
        <v>3.9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0</v>
      </c>
      <c r="FY52" s="2">
        <v>0</v>
      </c>
      <c r="FZ52" s="2"/>
      <c r="GA52" s="2" t="s">
        <v>3</v>
      </c>
      <c r="GB52" s="2"/>
      <c r="GC52" s="2"/>
      <c r="GD52" s="2">
        <v>0</v>
      </c>
      <c r="GE52" s="2"/>
      <c r="GF52" s="2">
        <v>2014984288</v>
      </c>
      <c r="GG52" s="2">
        <v>2</v>
      </c>
      <c r="GH52" s="2">
        <v>1</v>
      </c>
      <c r="GI52" s="2">
        <v>-2</v>
      </c>
      <c r="GJ52" s="2">
        <v>0</v>
      </c>
      <c r="GK52" s="2">
        <f>ROUND(R52*(R12)/100,2)</f>
        <v>0</v>
      </c>
      <c r="GL52" s="2">
        <f t="shared" si="50"/>
        <v>0</v>
      </c>
      <c r="GM52" s="2">
        <f t="shared" si="51"/>
        <v>0</v>
      </c>
      <c r="GN52" s="2">
        <f t="shared" si="52"/>
        <v>0</v>
      </c>
      <c r="GO52" s="2">
        <f t="shared" si="53"/>
        <v>0</v>
      </c>
      <c r="GP52" s="2">
        <f t="shared" si="54"/>
        <v>0</v>
      </c>
      <c r="GQ52" s="2"/>
      <c r="GR52" s="2">
        <v>0</v>
      </c>
      <c r="GS52" s="2">
        <v>0</v>
      </c>
      <c r="GT52" s="2">
        <v>0</v>
      </c>
      <c r="GU52" s="2" t="s">
        <v>3</v>
      </c>
      <c r="GV52" s="2">
        <f t="shared" si="55"/>
        <v>0</v>
      </c>
      <c r="GW52" s="2">
        <v>1</v>
      </c>
      <c r="GX52" s="2">
        <f t="shared" si="56"/>
        <v>0</v>
      </c>
      <c r="GY52" s="2"/>
      <c r="GZ52" s="2"/>
      <c r="HA52" s="2">
        <v>0</v>
      </c>
      <c r="HB52" s="2">
        <v>0</v>
      </c>
      <c r="HC52" s="2">
        <f t="shared" si="57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>
        <v>17</v>
      </c>
      <c r="B53">
        <v>1</v>
      </c>
      <c r="E53" t="s">
        <v>87</v>
      </c>
      <c r="F53" t="s">
        <v>88</v>
      </c>
      <c r="G53" t="s">
        <v>89</v>
      </c>
      <c r="H53" t="s">
        <v>90</v>
      </c>
      <c r="I53">
        <v>0</v>
      </c>
      <c r="J53">
        <v>0</v>
      </c>
      <c r="K53">
        <v>0</v>
      </c>
      <c r="O53">
        <f t="shared" si="21"/>
        <v>0</v>
      </c>
      <c r="P53">
        <f t="shared" si="22"/>
        <v>0</v>
      </c>
      <c r="Q53">
        <f t="shared" si="23"/>
        <v>0</v>
      </c>
      <c r="R53">
        <f t="shared" si="24"/>
        <v>0</v>
      </c>
      <c r="S53">
        <f t="shared" si="25"/>
        <v>0</v>
      </c>
      <c r="T53">
        <f t="shared" si="26"/>
        <v>0</v>
      </c>
      <c r="U53">
        <f t="shared" si="27"/>
        <v>0</v>
      </c>
      <c r="V53">
        <f t="shared" si="28"/>
        <v>0</v>
      </c>
      <c r="W53">
        <f t="shared" si="29"/>
        <v>0</v>
      </c>
      <c r="X53">
        <f t="shared" si="30"/>
        <v>0</v>
      </c>
      <c r="Y53">
        <f t="shared" si="31"/>
        <v>0</v>
      </c>
      <c r="AA53">
        <v>56610029</v>
      </c>
      <c r="AB53">
        <f t="shared" si="32"/>
        <v>3.9</v>
      </c>
      <c r="AC53">
        <f t="shared" si="33"/>
        <v>3.9</v>
      </c>
      <c r="AD53">
        <f t="shared" si="34"/>
        <v>0</v>
      </c>
      <c r="AE53">
        <f t="shared" si="35"/>
        <v>0</v>
      </c>
      <c r="AF53">
        <f t="shared" si="36"/>
        <v>0</v>
      </c>
      <c r="AG53">
        <f t="shared" si="37"/>
        <v>0</v>
      </c>
      <c r="AH53">
        <f t="shared" si="38"/>
        <v>0</v>
      </c>
      <c r="AI53">
        <f t="shared" si="39"/>
        <v>0</v>
      </c>
      <c r="AJ53">
        <f t="shared" si="40"/>
        <v>0</v>
      </c>
      <c r="AK53">
        <v>3.9</v>
      </c>
      <c r="AL53">
        <v>3.9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1</v>
      </c>
      <c r="AZ53">
        <v>1</v>
      </c>
      <c r="BA53">
        <v>1</v>
      </c>
      <c r="BB53">
        <v>1</v>
      </c>
      <c r="BC53">
        <v>13.93</v>
      </c>
      <c r="BD53" t="s">
        <v>3</v>
      </c>
      <c r="BE53" t="s">
        <v>3</v>
      </c>
      <c r="BF53" t="s">
        <v>3</v>
      </c>
      <c r="BG53" t="s">
        <v>3</v>
      </c>
      <c r="BH53">
        <v>3</v>
      </c>
      <c r="BI53">
        <v>1</v>
      </c>
      <c r="BJ53" t="s">
        <v>91</v>
      </c>
      <c r="BM53">
        <v>1617</v>
      </c>
      <c r="BN53">
        <v>0</v>
      </c>
      <c r="BO53" t="s">
        <v>88</v>
      </c>
      <c r="BP53">
        <v>1</v>
      </c>
      <c r="BQ53">
        <v>200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 t="s">
        <v>3</v>
      </c>
      <c r="BZ53">
        <v>0</v>
      </c>
      <c r="CA53">
        <v>0</v>
      </c>
      <c r="CB53" t="s">
        <v>3</v>
      </c>
      <c r="CE53">
        <v>30</v>
      </c>
      <c r="CF53">
        <v>0</v>
      </c>
      <c r="CG53">
        <v>0</v>
      </c>
      <c r="CM53">
        <v>0</v>
      </c>
      <c r="CN53" t="s">
        <v>708</v>
      </c>
      <c r="CO53">
        <v>0</v>
      </c>
      <c r="CP53">
        <f t="shared" si="41"/>
        <v>0</v>
      </c>
      <c r="CQ53">
        <f t="shared" si="42"/>
        <v>54.33</v>
      </c>
      <c r="CR53">
        <f t="shared" si="43"/>
        <v>0</v>
      </c>
      <c r="CS53">
        <f t="shared" si="44"/>
        <v>0</v>
      </c>
      <c r="CT53">
        <f t="shared" si="45"/>
        <v>0</v>
      </c>
      <c r="CU53">
        <f t="shared" si="46"/>
        <v>0</v>
      </c>
      <c r="CV53">
        <f t="shared" si="47"/>
        <v>0</v>
      </c>
      <c r="CW53">
        <f t="shared" si="48"/>
        <v>0</v>
      </c>
      <c r="CX53">
        <f t="shared" si="49"/>
        <v>0</v>
      </c>
      <c r="CY53">
        <f>S53*(BZ53/100)</f>
        <v>0</v>
      </c>
      <c r="CZ53">
        <f>S53*(CA53/100)</f>
        <v>0</v>
      </c>
      <c r="DB53">
        <v>26</v>
      </c>
      <c r="DC53" t="s">
        <v>3</v>
      </c>
      <c r="DD53" t="s">
        <v>3</v>
      </c>
      <c r="DE53" t="s">
        <v>22</v>
      </c>
      <c r="DF53" t="s">
        <v>22</v>
      </c>
      <c r="DG53" t="s">
        <v>22</v>
      </c>
      <c r="DH53" t="s">
        <v>3</v>
      </c>
      <c r="DI53" t="s">
        <v>22</v>
      </c>
      <c r="DJ53" t="s">
        <v>22</v>
      </c>
      <c r="DK53" t="s">
        <v>3</v>
      </c>
      <c r="DL53" t="s">
        <v>3</v>
      </c>
      <c r="DM53" t="s">
        <v>3</v>
      </c>
      <c r="DN53">
        <v>0</v>
      </c>
      <c r="DO53">
        <v>0</v>
      </c>
      <c r="DP53">
        <v>1</v>
      </c>
      <c r="DQ53">
        <v>1</v>
      </c>
      <c r="DU53">
        <v>1010</v>
      </c>
      <c r="DV53" t="s">
        <v>90</v>
      </c>
      <c r="DW53" t="s">
        <v>90</v>
      </c>
      <c r="DX53">
        <v>1</v>
      </c>
      <c r="DZ53" t="s">
        <v>3</v>
      </c>
      <c r="EA53" t="s">
        <v>3</v>
      </c>
      <c r="EB53" t="s">
        <v>3</v>
      </c>
      <c r="EC53" t="s">
        <v>3</v>
      </c>
      <c r="EE53">
        <v>51697656</v>
      </c>
      <c r="EF53">
        <v>200</v>
      </c>
      <c r="EG53" t="s">
        <v>59</v>
      </c>
      <c r="EH53">
        <v>0</v>
      </c>
      <c r="EI53" t="s">
        <v>3</v>
      </c>
      <c r="EJ53">
        <v>1</v>
      </c>
      <c r="EK53">
        <v>1617</v>
      </c>
      <c r="EL53" t="s">
        <v>60</v>
      </c>
      <c r="EM53" t="s">
        <v>61</v>
      </c>
      <c r="EO53" t="s">
        <v>26</v>
      </c>
      <c r="EQ53">
        <v>131072</v>
      </c>
      <c r="ER53">
        <v>3.9</v>
      </c>
      <c r="ES53">
        <v>3.9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FQ53">
        <v>0</v>
      </c>
      <c r="FR53">
        <v>0</v>
      </c>
      <c r="FS53">
        <v>0</v>
      </c>
      <c r="FX53">
        <v>0</v>
      </c>
      <c r="FY53">
        <v>0</v>
      </c>
      <c r="GA53" t="s">
        <v>3</v>
      </c>
      <c r="GD53">
        <v>0</v>
      </c>
      <c r="GF53">
        <v>2014984288</v>
      </c>
      <c r="GG53">
        <v>2</v>
      </c>
      <c r="GH53">
        <v>1</v>
      </c>
      <c r="GI53">
        <v>2</v>
      </c>
      <c r="GJ53">
        <v>0</v>
      </c>
      <c r="GK53">
        <f>ROUND(R53*(S12)/100,2)</f>
        <v>0</v>
      </c>
      <c r="GL53">
        <f t="shared" si="50"/>
        <v>0</v>
      </c>
      <c r="GM53">
        <f t="shared" si="51"/>
        <v>0</v>
      </c>
      <c r="GN53">
        <f t="shared" si="52"/>
        <v>0</v>
      </c>
      <c r="GO53">
        <f t="shared" si="53"/>
        <v>0</v>
      </c>
      <c r="GP53">
        <f t="shared" si="54"/>
        <v>0</v>
      </c>
      <c r="GR53">
        <v>0</v>
      </c>
      <c r="GS53">
        <v>3</v>
      </c>
      <c r="GT53">
        <v>0</v>
      </c>
      <c r="GU53" t="s">
        <v>3</v>
      </c>
      <c r="GV53">
        <f t="shared" si="55"/>
        <v>0</v>
      </c>
      <c r="GW53">
        <v>1</v>
      </c>
      <c r="GX53">
        <f t="shared" si="56"/>
        <v>0</v>
      </c>
      <c r="HA53">
        <v>0</v>
      </c>
      <c r="HB53">
        <v>0</v>
      </c>
      <c r="HC53">
        <f t="shared" si="57"/>
        <v>0</v>
      </c>
      <c r="HE53" t="s">
        <v>3</v>
      </c>
      <c r="HF53" t="s">
        <v>3</v>
      </c>
      <c r="HM53" t="s">
        <v>3</v>
      </c>
      <c r="HN53" t="s">
        <v>3</v>
      </c>
      <c r="HO53" t="s">
        <v>3</v>
      </c>
      <c r="HP53" t="s">
        <v>3</v>
      </c>
      <c r="HQ53" t="s">
        <v>3</v>
      </c>
      <c r="HS53">
        <v>0</v>
      </c>
      <c r="IK53">
        <v>0</v>
      </c>
    </row>
    <row r="54" spans="1:255" x14ac:dyDescent="0.2">
      <c r="A54" s="2">
        <v>17</v>
      </c>
      <c r="B54" s="2">
        <v>1</v>
      </c>
      <c r="C54" s="2"/>
      <c r="D54" s="2">
        <f>ROW(EtalonRes!A57)</f>
        <v>57</v>
      </c>
      <c r="E54" s="2" t="s">
        <v>92</v>
      </c>
      <c r="F54" s="2" t="s">
        <v>93</v>
      </c>
      <c r="G54" s="2" t="s">
        <v>94</v>
      </c>
      <c r="H54" s="2" t="s">
        <v>95</v>
      </c>
      <c r="I54" s="2">
        <v>0</v>
      </c>
      <c r="J54" s="2">
        <v>0</v>
      </c>
      <c r="K54" s="2">
        <v>0</v>
      </c>
      <c r="L54" s="2"/>
      <c r="M54" s="2"/>
      <c r="N54" s="2"/>
      <c r="O54" s="2">
        <f t="shared" si="21"/>
        <v>0</v>
      </c>
      <c r="P54" s="2">
        <f t="shared" si="22"/>
        <v>0</v>
      </c>
      <c r="Q54" s="2">
        <f t="shared" si="23"/>
        <v>0</v>
      </c>
      <c r="R54" s="2">
        <f t="shared" si="24"/>
        <v>0</v>
      </c>
      <c r="S54" s="2">
        <f t="shared" si="25"/>
        <v>0</v>
      </c>
      <c r="T54" s="2">
        <f t="shared" si="26"/>
        <v>0</v>
      </c>
      <c r="U54" s="2">
        <f t="shared" si="27"/>
        <v>0</v>
      </c>
      <c r="V54" s="2">
        <f t="shared" si="28"/>
        <v>0</v>
      </c>
      <c r="W54" s="2">
        <f t="shared" si="29"/>
        <v>0</v>
      </c>
      <c r="X54" s="2">
        <f t="shared" si="30"/>
        <v>0</v>
      </c>
      <c r="Y54" s="2">
        <f t="shared" si="31"/>
        <v>0</v>
      </c>
      <c r="Z54" s="2"/>
      <c r="AA54" s="2">
        <v>56622490</v>
      </c>
      <c r="AB54" s="2">
        <f t="shared" si="32"/>
        <v>2963.4769999999999</v>
      </c>
      <c r="AC54" s="2">
        <f t="shared" si="33"/>
        <v>516.41</v>
      </c>
      <c r="AD54" s="2">
        <f t="shared" si="34"/>
        <v>419.61149999999998</v>
      </c>
      <c r="AE54" s="2">
        <f t="shared" si="35"/>
        <v>0.61950000000000005</v>
      </c>
      <c r="AF54" s="2">
        <f t="shared" si="36"/>
        <v>2027.4555</v>
      </c>
      <c r="AG54" s="2">
        <f t="shared" si="37"/>
        <v>0</v>
      </c>
      <c r="AH54" s="2">
        <f t="shared" si="38"/>
        <v>141.75</v>
      </c>
      <c r="AI54" s="2">
        <f t="shared" si="39"/>
        <v>0</v>
      </c>
      <c r="AJ54" s="2">
        <f t="shared" si="40"/>
        <v>0</v>
      </c>
      <c r="AK54" s="2">
        <v>2846.95</v>
      </c>
      <c r="AL54" s="2">
        <v>516.41</v>
      </c>
      <c r="AM54" s="2">
        <v>399.63</v>
      </c>
      <c r="AN54" s="2">
        <v>0.59</v>
      </c>
      <c r="AO54" s="2">
        <v>1930.91</v>
      </c>
      <c r="AP54" s="2">
        <v>0</v>
      </c>
      <c r="AQ54" s="2">
        <v>135</v>
      </c>
      <c r="AR54" s="2">
        <v>0</v>
      </c>
      <c r="AS54" s="2">
        <v>0</v>
      </c>
      <c r="AT54" s="2">
        <v>105</v>
      </c>
      <c r="AU54" s="2">
        <v>77</v>
      </c>
      <c r="AV54" s="2">
        <v>1.0469999999999999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0</v>
      </c>
      <c r="BI54" s="2">
        <v>1</v>
      </c>
      <c r="BJ54" s="2" t="s">
        <v>96</v>
      </c>
      <c r="BK54" s="2"/>
      <c r="BL54" s="2"/>
      <c r="BM54" s="2">
        <v>99</v>
      </c>
      <c r="BN54" s="2">
        <v>0</v>
      </c>
      <c r="BO54" s="2" t="s">
        <v>3</v>
      </c>
      <c r="BP54" s="2">
        <v>0</v>
      </c>
      <c r="BQ54" s="2">
        <v>30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105</v>
      </c>
      <c r="CA54" s="2">
        <v>77</v>
      </c>
      <c r="CB54" s="2" t="s">
        <v>3</v>
      </c>
      <c r="CC54" s="2"/>
      <c r="CD54" s="2"/>
      <c r="CE54" s="2">
        <v>30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708</v>
      </c>
      <c r="CO54" s="2">
        <v>0</v>
      </c>
      <c r="CP54" s="2">
        <f t="shared" si="41"/>
        <v>0</v>
      </c>
      <c r="CQ54" s="2">
        <f t="shared" si="42"/>
        <v>516.41</v>
      </c>
      <c r="CR54" s="2">
        <f t="shared" si="43"/>
        <v>439.33</v>
      </c>
      <c r="CS54" s="2">
        <f t="shared" si="44"/>
        <v>0.65</v>
      </c>
      <c r="CT54" s="2">
        <f t="shared" si="45"/>
        <v>2122.75</v>
      </c>
      <c r="CU54" s="2">
        <f t="shared" si="46"/>
        <v>0</v>
      </c>
      <c r="CV54" s="2">
        <f t="shared" si="47"/>
        <v>148.41225</v>
      </c>
      <c r="CW54" s="2">
        <f t="shared" si="48"/>
        <v>0</v>
      </c>
      <c r="CX54" s="2">
        <f t="shared" si="49"/>
        <v>0</v>
      </c>
      <c r="CY54" s="2">
        <f>((S54*BZ54)/100)</f>
        <v>0</v>
      </c>
      <c r="CZ54" s="2">
        <f>((S54*CA54)/100)</f>
        <v>0</v>
      </c>
      <c r="DA54" s="2"/>
      <c r="DB54" s="2">
        <v>27</v>
      </c>
      <c r="DC54" s="2" t="s">
        <v>3</v>
      </c>
      <c r="DD54" s="2" t="s">
        <v>3</v>
      </c>
      <c r="DE54" s="2" t="s">
        <v>22</v>
      </c>
      <c r="DF54" s="2" t="s">
        <v>22</v>
      </c>
      <c r="DG54" s="2" t="s">
        <v>22</v>
      </c>
      <c r="DH54" s="2" t="s">
        <v>3</v>
      </c>
      <c r="DI54" s="2" t="s">
        <v>22</v>
      </c>
      <c r="DJ54" s="2" t="s">
        <v>22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1013</v>
      </c>
      <c r="DV54" s="2" t="s">
        <v>95</v>
      </c>
      <c r="DW54" s="2" t="s">
        <v>95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51696138</v>
      </c>
      <c r="EF54" s="2">
        <v>30</v>
      </c>
      <c r="EG54" s="2" t="s">
        <v>23</v>
      </c>
      <c r="EH54" s="2">
        <v>0</v>
      </c>
      <c r="EI54" s="2" t="s">
        <v>3</v>
      </c>
      <c r="EJ54" s="2">
        <v>1</v>
      </c>
      <c r="EK54" s="2">
        <v>99</v>
      </c>
      <c r="EL54" s="2" t="s">
        <v>97</v>
      </c>
      <c r="EM54" s="2" t="s">
        <v>98</v>
      </c>
      <c r="EN54" s="2"/>
      <c r="EO54" s="2" t="s">
        <v>26</v>
      </c>
      <c r="EP54" s="2"/>
      <c r="EQ54" s="2">
        <v>131072</v>
      </c>
      <c r="ER54" s="2">
        <v>2846.95</v>
      </c>
      <c r="ES54" s="2">
        <v>516.41</v>
      </c>
      <c r="ET54" s="2">
        <v>399.63</v>
      </c>
      <c r="EU54" s="2">
        <v>0.59</v>
      </c>
      <c r="EV54" s="2">
        <v>1930.91</v>
      </c>
      <c r="EW54" s="2">
        <v>135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105</v>
      </c>
      <c r="FY54" s="2">
        <v>77</v>
      </c>
      <c r="FZ54" s="2"/>
      <c r="GA54" s="2" t="s">
        <v>3</v>
      </c>
      <c r="GB54" s="2"/>
      <c r="GC54" s="2"/>
      <c r="GD54" s="2">
        <v>0</v>
      </c>
      <c r="GE54" s="2"/>
      <c r="GF54" s="2">
        <v>448414653</v>
      </c>
      <c r="GG54" s="2">
        <v>2</v>
      </c>
      <c r="GH54" s="2">
        <v>1</v>
      </c>
      <c r="GI54" s="2">
        <v>-2</v>
      </c>
      <c r="GJ54" s="2">
        <v>0</v>
      </c>
      <c r="GK54" s="2">
        <f>ROUND(R54*(R12)/100,2)</f>
        <v>0</v>
      </c>
      <c r="GL54" s="2">
        <f t="shared" si="50"/>
        <v>0</v>
      </c>
      <c r="GM54" s="2">
        <f t="shared" si="51"/>
        <v>0</v>
      </c>
      <c r="GN54" s="2">
        <f t="shared" si="52"/>
        <v>0</v>
      </c>
      <c r="GO54" s="2">
        <f t="shared" si="53"/>
        <v>0</v>
      </c>
      <c r="GP54" s="2">
        <f t="shared" si="54"/>
        <v>0</v>
      </c>
      <c r="GQ54" s="2"/>
      <c r="GR54" s="2">
        <v>0</v>
      </c>
      <c r="GS54" s="2">
        <v>0</v>
      </c>
      <c r="GT54" s="2">
        <v>0</v>
      </c>
      <c r="GU54" s="2" t="s">
        <v>3</v>
      </c>
      <c r="GV54" s="2">
        <f t="shared" si="55"/>
        <v>0</v>
      </c>
      <c r="GW54" s="2">
        <v>1</v>
      </c>
      <c r="GX54" s="2">
        <f t="shared" si="56"/>
        <v>0</v>
      </c>
      <c r="GY54" s="2"/>
      <c r="GZ54" s="2"/>
      <c r="HA54" s="2">
        <v>0</v>
      </c>
      <c r="HB54" s="2">
        <v>0</v>
      </c>
      <c r="HC54" s="2">
        <f t="shared" si="57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">
      <c r="A55">
        <v>17</v>
      </c>
      <c r="B55">
        <v>1</v>
      </c>
      <c r="D55">
        <f>ROW(EtalonRes!A68)</f>
        <v>68</v>
      </c>
      <c r="E55" t="s">
        <v>92</v>
      </c>
      <c r="F55" t="s">
        <v>93</v>
      </c>
      <c r="G55" t="s">
        <v>94</v>
      </c>
      <c r="H55" t="s">
        <v>95</v>
      </c>
      <c r="I55">
        <v>0</v>
      </c>
      <c r="J55">
        <v>0</v>
      </c>
      <c r="K55">
        <v>0</v>
      </c>
      <c r="O55">
        <f t="shared" si="21"/>
        <v>0</v>
      </c>
      <c r="P55">
        <f t="shared" si="22"/>
        <v>0</v>
      </c>
      <c r="Q55">
        <f t="shared" si="23"/>
        <v>0</v>
      </c>
      <c r="R55">
        <f t="shared" si="24"/>
        <v>0</v>
      </c>
      <c r="S55">
        <f t="shared" si="25"/>
        <v>0</v>
      </c>
      <c r="T55">
        <f t="shared" si="26"/>
        <v>0</v>
      </c>
      <c r="U55">
        <f t="shared" si="27"/>
        <v>0</v>
      </c>
      <c r="V55">
        <f t="shared" si="28"/>
        <v>0</v>
      </c>
      <c r="W55">
        <f t="shared" si="29"/>
        <v>0</v>
      </c>
      <c r="X55">
        <f t="shared" si="30"/>
        <v>0</v>
      </c>
      <c r="Y55">
        <f t="shared" si="31"/>
        <v>0</v>
      </c>
      <c r="AA55">
        <v>56610029</v>
      </c>
      <c r="AB55">
        <f t="shared" si="32"/>
        <v>2963.4769999999999</v>
      </c>
      <c r="AC55">
        <f t="shared" si="33"/>
        <v>516.41</v>
      </c>
      <c r="AD55">
        <f t="shared" si="34"/>
        <v>419.61149999999998</v>
      </c>
      <c r="AE55">
        <f t="shared" si="35"/>
        <v>0.61950000000000005</v>
      </c>
      <c r="AF55">
        <f t="shared" si="36"/>
        <v>2027.4555</v>
      </c>
      <c r="AG55">
        <f t="shared" si="37"/>
        <v>0</v>
      </c>
      <c r="AH55">
        <f t="shared" si="38"/>
        <v>141.75</v>
      </c>
      <c r="AI55">
        <f t="shared" si="39"/>
        <v>0</v>
      </c>
      <c r="AJ55">
        <f t="shared" si="40"/>
        <v>0</v>
      </c>
      <c r="AK55">
        <v>2846.95</v>
      </c>
      <c r="AL55">
        <v>516.41</v>
      </c>
      <c r="AM55">
        <v>399.63</v>
      </c>
      <c r="AN55">
        <v>0.59</v>
      </c>
      <c r="AO55">
        <v>1930.91</v>
      </c>
      <c r="AP55">
        <v>0</v>
      </c>
      <c r="AQ55">
        <v>135</v>
      </c>
      <c r="AR55">
        <v>0</v>
      </c>
      <c r="AS55">
        <v>0</v>
      </c>
      <c r="AT55">
        <v>87</v>
      </c>
      <c r="AU55">
        <v>41</v>
      </c>
      <c r="AV55">
        <v>1.0469999999999999</v>
      </c>
      <c r="AW55">
        <v>1</v>
      </c>
      <c r="AZ55">
        <v>1</v>
      </c>
      <c r="BA55">
        <v>34.51</v>
      </c>
      <c r="BB55">
        <v>9.31</v>
      </c>
      <c r="BC55">
        <v>3.33</v>
      </c>
      <c r="BD55" t="s">
        <v>3</v>
      </c>
      <c r="BE55" t="s">
        <v>3</v>
      </c>
      <c r="BF55" t="s">
        <v>3</v>
      </c>
      <c r="BG55" t="s">
        <v>3</v>
      </c>
      <c r="BH55">
        <v>0</v>
      </c>
      <c r="BI55">
        <v>1</v>
      </c>
      <c r="BJ55" t="s">
        <v>96</v>
      </c>
      <c r="BM55">
        <v>99</v>
      </c>
      <c r="BN55">
        <v>0</v>
      </c>
      <c r="BO55" t="s">
        <v>93</v>
      </c>
      <c r="BP55">
        <v>1</v>
      </c>
      <c r="BQ55">
        <v>30</v>
      </c>
      <c r="BR55">
        <v>0</v>
      </c>
      <c r="BS55">
        <v>34.51</v>
      </c>
      <c r="BT55">
        <v>1</v>
      </c>
      <c r="BU55">
        <v>1</v>
      </c>
      <c r="BV55">
        <v>1</v>
      </c>
      <c r="BW55">
        <v>1</v>
      </c>
      <c r="BX55">
        <v>1</v>
      </c>
      <c r="BY55" t="s">
        <v>3</v>
      </c>
      <c r="BZ55">
        <v>87</v>
      </c>
      <c r="CA55">
        <v>41</v>
      </c>
      <c r="CB55" t="s">
        <v>3</v>
      </c>
      <c r="CE55">
        <v>30</v>
      </c>
      <c r="CF55">
        <v>0</v>
      </c>
      <c r="CG55">
        <v>0</v>
      </c>
      <c r="CM55">
        <v>0</v>
      </c>
      <c r="CN55" t="s">
        <v>708</v>
      </c>
      <c r="CO55">
        <v>0</v>
      </c>
      <c r="CP55">
        <f t="shared" si="41"/>
        <v>0</v>
      </c>
      <c r="CQ55">
        <f t="shared" si="42"/>
        <v>1719.65</v>
      </c>
      <c r="CR55">
        <f t="shared" si="43"/>
        <v>4090.16</v>
      </c>
      <c r="CS55">
        <f t="shared" si="44"/>
        <v>22.43</v>
      </c>
      <c r="CT55">
        <f t="shared" si="45"/>
        <v>73256.100000000006</v>
      </c>
      <c r="CU55">
        <f t="shared" si="46"/>
        <v>0</v>
      </c>
      <c r="CV55">
        <f t="shared" si="47"/>
        <v>148.41225</v>
      </c>
      <c r="CW55">
        <f t="shared" si="48"/>
        <v>0</v>
      </c>
      <c r="CX55">
        <f t="shared" si="49"/>
        <v>0</v>
      </c>
      <c r="CY55">
        <f>S55*(BZ55/100)</f>
        <v>0</v>
      </c>
      <c r="CZ55">
        <f>S55*(CA55/100)</f>
        <v>0</v>
      </c>
      <c r="DB55">
        <v>28</v>
      </c>
      <c r="DC55" t="s">
        <v>3</v>
      </c>
      <c r="DD55" t="s">
        <v>3</v>
      </c>
      <c r="DE55" t="s">
        <v>22</v>
      </c>
      <c r="DF55" t="s">
        <v>22</v>
      </c>
      <c r="DG55" t="s">
        <v>22</v>
      </c>
      <c r="DH55" t="s">
        <v>3</v>
      </c>
      <c r="DI55" t="s">
        <v>22</v>
      </c>
      <c r="DJ55" t="s">
        <v>22</v>
      </c>
      <c r="DK55" t="s">
        <v>3</v>
      </c>
      <c r="DL55" t="s">
        <v>3</v>
      </c>
      <c r="DM55" t="s">
        <v>3</v>
      </c>
      <c r="DN55">
        <v>105</v>
      </c>
      <c r="DO55">
        <v>77</v>
      </c>
      <c r="DP55">
        <v>1.0469999999999999</v>
      </c>
      <c r="DQ55">
        <v>1</v>
      </c>
      <c r="DU55">
        <v>1013</v>
      </c>
      <c r="DV55" t="s">
        <v>95</v>
      </c>
      <c r="DW55" t="s">
        <v>95</v>
      </c>
      <c r="DX55">
        <v>1</v>
      </c>
      <c r="DZ55" t="s">
        <v>3</v>
      </c>
      <c r="EA55" t="s">
        <v>3</v>
      </c>
      <c r="EB55" t="s">
        <v>3</v>
      </c>
      <c r="EC55" t="s">
        <v>3</v>
      </c>
      <c r="EE55">
        <v>51696138</v>
      </c>
      <c r="EF55">
        <v>30</v>
      </c>
      <c r="EG55" t="s">
        <v>23</v>
      </c>
      <c r="EH55">
        <v>0</v>
      </c>
      <c r="EI55" t="s">
        <v>3</v>
      </c>
      <c r="EJ55">
        <v>1</v>
      </c>
      <c r="EK55">
        <v>99</v>
      </c>
      <c r="EL55" t="s">
        <v>97</v>
      </c>
      <c r="EM55" t="s">
        <v>98</v>
      </c>
      <c r="EO55" t="s">
        <v>26</v>
      </c>
      <c r="EQ55">
        <v>131072</v>
      </c>
      <c r="ER55">
        <v>2846.95</v>
      </c>
      <c r="ES55">
        <v>516.41</v>
      </c>
      <c r="ET55">
        <v>399.63</v>
      </c>
      <c r="EU55">
        <v>0.59</v>
      </c>
      <c r="EV55">
        <v>1930.91</v>
      </c>
      <c r="EW55">
        <v>135</v>
      </c>
      <c r="EX55">
        <v>0</v>
      </c>
      <c r="EY55">
        <v>0</v>
      </c>
      <c r="FQ55">
        <v>0</v>
      </c>
      <c r="FR55">
        <v>0</v>
      </c>
      <c r="FS55">
        <v>0</v>
      </c>
      <c r="FX55">
        <v>105</v>
      </c>
      <c r="FY55">
        <v>77</v>
      </c>
      <c r="GA55" t="s">
        <v>3</v>
      </c>
      <c r="GD55">
        <v>0</v>
      </c>
      <c r="GF55">
        <v>448414653</v>
      </c>
      <c r="GG55">
        <v>2</v>
      </c>
      <c r="GH55">
        <v>1</v>
      </c>
      <c r="GI55">
        <v>2</v>
      </c>
      <c r="GJ55">
        <v>0</v>
      </c>
      <c r="GK55">
        <f>ROUND(R55*(S12)/100,2)</f>
        <v>0</v>
      </c>
      <c r="GL55">
        <f t="shared" si="50"/>
        <v>0</v>
      </c>
      <c r="GM55">
        <f t="shared" si="51"/>
        <v>0</v>
      </c>
      <c r="GN55">
        <f t="shared" si="52"/>
        <v>0</v>
      </c>
      <c r="GO55">
        <f t="shared" si="53"/>
        <v>0</v>
      </c>
      <c r="GP55">
        <f t="shared" si="54"/>
        <v>0</v>
      </c>
      <c r="GR55">
        <v>0</v>
      </c>
      <c r="GS55">
        <v>3</v>
      </c>
      <c r="GT55">
        <v>0</v>
      </c>
      <c r="GU55" t="s">
        <v>3</v>
      </c>
      <c r="GV55">
        <f t="shared" si="55"/>
        <v>0</v>
      </c>
      <c r="GW55">
        <v>1</v>
      </c>
      <c r="GX55">
        <f t="shared" si="56"/>
        <v>0</v>
      </c>
      <c r="HA55">
        <v>0</v>
      </c>
      <c r="HB55">
        <v>0</v>
      </c>
      <c r="HC55">
        <f t="shared" si="57"/>
        <v>0</v>
      </c>
      <c r="HE55" t="s">
        <v>3</v>
      </c>
      <c r="HF55" t="s">
        <v>3</v>
      </c>
      <c r="HM55" t="s">
        <v>3</v>
      </c>
      <c r="HN55" t="s">
        <v>3</v>
      </c>
      <c r="HO55" t="s">
        <v>3</v>
      </c>
      <c r="HP55" t="s">
        <v>3</v>
      </c>
      <c r="HQ55" t="s">
        <v>3</v>
      </c>
      <c r="HS55">
        <v>0</v>
      </c>
      <c r="IK55">
        <v>0</v>
      </c>
    </row>
    <row r="56" spans="1:255" x14ac:dyDescent="0.2">
      <c r="A56" s="2">
        <v>17</v>
      </c>
      <c r="B56" s="2">
        <v>1</v>
      </c>
      <c r="C56" s="2"/>
      <c r="D56" s="2"/>
      <c r="E56" s="2" t="s">
        <v>99</v>
      </c>
      <c r="F56" s="2" t="s">
        <v>78</v>
      </c>
      <c r="G56" s="2" t="s">
        <v>100</v>
      </c>
      <c r="H56" s="2" t="s">
        <v>101</v>
      </c>
      <c r="I56" s="2">
        <f>ROUND(I54*1.36*100,9)</f>
        <v>0</v>
      </c>
      <c r="J56" s="2">
        <v>0</v>
      </c>
      <c r="K56" s="2">
        <f>ROUND(I54*1.36*100,9)</f>
        <v>0</v>
      </c>
      <c r="L56" s="2"/>
      <c r="M56" s="2"/>
      <c r="N56" s="2"/>
      <c r="O56" s="2">
        <f t="shared" si="21"/>
        <v>0</v>
      </c>
      <c r="P56" s="2">
        <f t="shared" si="22"/>
        <v>0</v>
      </c>
      <c r="Q56" s="2">
        <f t="shared" si="23"/>
        <v>0</v>
      </c>
      <c r="R56" s="2">
        <f t="shared" si="24"/>
        <v>0</v>
      </c>
      <c r="S56" s="2">
        <f t="shared" si="25"/>
        <v>0</v>
      </c>
      <c r="T56" s="2">
        <f t="shared" si="26"/>
        <v>0</v>
      </c>
      <c r="U56" s="2">
        <f t="shared" si="27"/>
        <v>0</v>
      </c>
      <c r="V56" s="2">
        <f t="shared" si="28"/>
        <v>0</v>
      </c>
      <c r="W56" s="2">
        <f t="shared" si="29"/>
        <v>0</v>
      </c>
      <c r="X56" s="2">
        <f t="shared" si="30"/>
        <v>0</v>
      </c>
      <c r="Y56" s="2">
        <f t="shared" si="31"/>
        <v>0</v>
      </c>
      <c r="Z56" s="2"/>
      <c r="AA56" s="2">
        <v>56622490</v>
      </c>
      <c r="AB56" s="2">
        <f t="shared" si="32"/>
        <v>504.9</v>
      </c>
      <c r="AC56" s="2">
        <f t="shared" si="33"/>
        <v>504.9</v>
      </c>
      <c r="AD56" s="2">
        <f t="shared" si="34"/>
        <v>0</v>
      </c>
      <c r="AE56" s="2">
        <f t="shared" si="35"/>
        <v>0</v>
      </c>
      <c r="AF56" s="2">
        <f t="shared" si="36"/>
        <v>0</v>
      </c>
      <c r="AG56" s="2">
        <f t="shared" si="37"/>
        <v>0</v>
      </c>
      <c r="AH56" s="2">
        <f t="shared" si="38"/>
        <v>0</v>
      </c>
      <c r="AI56" s="2">
        <f t="shared" si="39"/>
        <v>0</v>
      </c>
      <c r="AJ56" s="2">
        <f t="shared" si="40"/>
        <v>0</v>
      </c>
      <c r="AK56" s="2">
        <v>504.9</v>
      </c>
      <c r="AL56" s="2">
        <v>504.9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1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3</v>
      </c>
      <c r="BI56" s="2">
        <v>1</v>
      </c>
      <c r="BJ56" s="2" t="s">
        <v>3</v>
      </c>
      <c r="BK56" s="2"/>
      <c r="BL56" s="2"/>
      <c r="BM56" s="2">
        <v>1617</v>
      </c>
      <c r="BN56" s="2">
        <v>0</v>
      </c>
      <c r="BO56" s="2" t="s">
        <v>3</v>
      </c>
      <c r="BP56" s="2">
        <v>0</v>
      </c>
      <c r="BQ56" s="2">
        <v>200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0</v>
      </c>
      <c r="CA56" s="2">
        <v>0</v>
      </c>
      <c r="CB56" s="2" t="s">
        <v>3</v>
      </c>
      <c r="CC56" s="2"/>
      <c r="CD56" s="2"/>
      <c r="CE56" s="2">
        <v>30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708</v>
      </c>
      <c r="CO56" s="2">
        <v>0</v>
      </c>
      <c r="CP56" s="2">
        <f t="shared" si="41"/>
        <v>0</v>
      </c>
      <c r="CQ56" s="2">
        <f t="shared" si="42"/>
        <v>504.9</v>
      </c>
      <c r="CR56" s="2">
        <f t="shared" si="43"/>
        <v>0</v>
      </c>
      <c r="CS56" s="2">
        <f t="shared" si="44"/>
        <v>0</v>
      </c>
      <c r="CT56" s="2">
        <f t="shared" si="45"/>
        <v>0</v>
      </c>
      <c r="CU56" s="2">
        <f t="shared" si="46"/>
        <v>0</v>
      </c>
      <c r="CV56" s="2">
        <f t="shared" si="47"/>
        <v>0</v>
      </c>
      <c r="CW56" s="2">
        <f t="shared" si="48"/>
        <v>0</v>
      </c>
      <c r="CX56" s="2">
        <f t="shared" si="49"/>
        <v>0</v>
      </c>
      <c r="CY56" s="2">
        <f>((S56*BZ56)/100)</f>
        <v>0</v>
      </c>
      <c r="CZ56" s="2">
        <f>((S56*CA56)/100)</f>
        <v>0</v>
      </c>
      <c r="DA56" s="2"/>
      <c r="DB56" s="2">
        <v>29</v>
      </c>
      <c r="DC56" s="2" t="s">
        <v>3</v>
      </c>
      <c r="DD56" s="2" t="s">
        <v>3</v>
      </c>
      <c r="DE56" s="2" t="s">
        <v>22</v>
      </c>
      <c r="DF56" s="2" t="s">
        <v>22</v>
      </c>
      <c r="DG56" s="2" t="s">
        <v>22</v>
      </c>
      <c r="DH56" s="2" t="s">
        <v>3</v>
      </c>
      <c r="DI56" s="2" t="s">
        <v>22</v>
      </c>
      <c r="DJ56" s="2" t="s">
        <v>22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1009</v>
      </c>
      <c r="DV56" s="2" t="s">
        <v>101</v>
      </c>
      <c r="DW56" s="2" t="s">
        <v>101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51697656</v>
      </c>
      <c r="EF56" s="2">
        <v>200</v>
      </c>
      <c r="EG56" s="2" t="s">
        <v>59</v>
      </c>
      <c r="EH56" s="2">
        <v>0</v>
      </c>
      <c r="EI56" s="2" t="s">
        <v>3</v>
      </c>
      <c r="EJ56" s="2">
        <v>1</v>
      </c>
      <c r="EK56" s="2">
        <v>1617</v>
      </c>
      <c r="EL56" s="2" t="s">
        <v>60</v>
      </c>
      <c r="EM56" s="2" t="s">
        <v>61</v>
      </c>
      <c r="EN56" s="2"/>
      <c r="EO56" s="2" t="s">
        <v>26</v>
      </c>
      <c r="EP56" s="2"/>
      <c r="EQ56" s="2">
        <v>131072</v>
      </c>
      <c r="ER56" s="2">
        <v>52.75</v>
      </c>
      <c r="ES56" s="2">
        <v>504.9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0</v>
      </c>
      <c r="FY56" s="2">
        <v>0</v>
      </c>
      <c r="FZ56" s="2"/>
      <c r="GA56" s="2" t="s">
        <v>102</v>
      </c>
      <c r="GB56" s="2"/>
      <c r="GC56" s="2"/>
      <c r="GD56" s="2">
        <v>0</v>
      </c>
      <c r="GE56" s="2"/>
      <c r="GF56" s="2">
        <v>-1921076346</v>
      </c>
      <c r="GG56" s="2">
        <v>2</v>
      </c>
      <c r="GH56" s="2">
        <v>4</v>
      </c>
      <c r="GI56" s="2">
        <v>3</v>
      </c>
      <c r="GJ56" s="2">
        <v>0</v>
      </c>
      <c r="GK56" s="2">
        <f>ROUND(R56*(R12)/100,2)</f>
        <v>0</v>
      </c>
      <c r="GL56" s="2">
        <f t="shared" si="50"/>
        <v>0</v>
      </c>
      <c r="GM56" s="2">
        <f t="shared" si="51"/>
        <v>0</v>
      </c>
      <c r="GN56" s="2">
        <f t="shared" si="52"/>
        <v>0</v>
      </c>
      <c r="GO56" s="2">
        <f t="shared" si="53"/>
        <v>0</v>
      </c>
      <c r="GP56" s="2">
        <f t="shared" si="54"/>
        <v>0</v>
      </c>
      <c r="GQ56" s="2"/>
      <c r="GR56" s="2">
        <v>0</v>
      </c>
      <c r="GS56" s="2">
        <v>2</v>
      </c>
      <c r="GT56" s="2">
        <v>0</v>
      </c>
      <c r="GU56" s="2" t="s">
        <v>3</v>
      </c>
      <c r="GV56" s="2">
        <f t="shared" si="55"/>
        <v>0</v>
      </c>
      <c r="GW56" s="2">
        <v>1</v>
      </c>
      <c r="GX56" s="2">
        <f t="shared" si="56"/>
        <v>0</v>
      </c>
      <c r="GY56" s="2"/>
      <c r="GZ56" s="2"/>
      <c r="HA56" s="2">
        <v>0</v>
      </c>
      <c r="HB56" s="2">
        <v>0</v>
      </c>
      <c r="HC56" s="2">
        <f t="shared" si="57"/>
        <v>0</v>
      </c>
      <c r="HD56" s="2"/>
      <c r="HE56" s="2" t="s">
        <v>27</v>
      </c>
      <c r="HF56" s="2" t="s">
        <v>81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">
      <c r="A57">
        <v>17</v>
      </c>
      <c r="B57">
        <v>1</v>
      </c>
      <c r="E57" t="s">
        <v>99</v>
      </c>
      <c r="F57" t="s">
        <v>78</v>
      </c>
      <c r="G57" t="s">
        <v>100</v>
      </c>
      <c r="H57" t="s">
        <v>101</v>
      </c>
      <c r="I57">
        <f>ROUND(I55*1.36*100,9)</f>
        <v>0</v>
      </c>
      <c r="J57">
        <v>0</v>
      </c>
      <c r="K57">
        <f>ROUND(I55*1.36*100,9)</f>
        <v>0</v>
      </c>
      <c r="O57">
        <f t="shared" si="21"/>
        <v>0</v>
      </c>
      <c r="P57">
        <f t="shared" si="22"/>
        <v>0</v>
      </c>
      <c r="Q57">
        <f t="shared" si="23"/>
        <v>0</v>
      </c>
      <c r="R57">
        <f t="shared" si="24"/>
        <v>0</v>
      </c>
      <c r="S57">
        <f t="shared" si="25"/>
        <v>0</v>
      </c>
      <c r="T57">
        <f t="shared" si="26"/>
        <v>0</v>
      </c>
      <c r="U57">
        <f t="shared" si="27"/>
        <v>0</v>
      </c>
      <c r="V57">
        <f t="shared" si="28"/>
        <v>0</v>
      </c>
      <c r="W57">
        <f t="shared" si="29"/>
        <v>0</v>
      </c>
      <c r="X57">
        <f t="shared" si="30"/>
        <v>0</v>
      </c>
      <c r="Y57">
        <f t="shared" si="31"/>
        <v>0</v>
      </c>
      <c r="AA57">
        <v>56610029</v>
      </c>
      <c r="AB57">
        <f t="shared" si="32"/>
        <v>504.9</v>
      </c>
      <c r="AC57">
        <f t="shared" si="33"/>
        <v>504.9</v>
      </c>
      <c r="AD57">
        <f t="shared" si="34"/>
        <v>0</v>
      </c>
      <c r="AE57">
        <f t="shared" si="35"/>
        <v>0</v>
      </c>
      <c r="AF57">
        <f t="shared" si="36"/>
        <v>0</v>
      </c>
      <c r="AG57">
        <f t="shared" si="37"/>
        <v>0</v>
      </c>
      <c r="AH57">
        <f t="shared" si="38"/>
        <v>0</v>
      </c>
      <c r="AI57">
        <f t="shared" si="39"/>
        <v>0</v>
      </c>
      <c r="AJ57">
        <f t="shared" si="40"/>
        <v>0</v>
      </c>
      <c r="AK57">
        <v>504.9</v>
      </c>
      <c r="AL57">
        <v>504.9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1</v>
      </c>
      <c r="AZ57">
        <v>1</v>
      </c>
      <c r="BA57">
        <v>1</v>
      </c>
      <c r="BB57">
        <v>1</v>
      </c>
      <c r="BC57">
        <v>1</v>
      </c>
      <c r="BD57" t="s">
        <v>3</v>
      </c>
      <c r="BE57" t="s">
        <v>3</v>
      </c>
      <c r="BF57" t="s">
        <v>3</v>
      </c>
      <c r="BG57" t="s">
        <v>3</v>
      </c>
      <c r="BH57">
        <v>3</v>
      </c>
      <c r="BI57">
        <v>1</v>
      </c>
      <c r="BJ57" t="s">
        <v>3</v>
      </c>
      <c r="BM57">
        <v>1617</v>
      </c>
      <c r="BN57">
        <v>0</v>
      </c>
      <c r="BO57" t="s">
        <v>3</v>
      </c>
      <c r="BP57">
        <v>0</v>
      </c>
      <c r="BQ57">
        <v>200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 t="s">
        <v>3</v>
      </c>
      <c r="BZ57">
        <v>0</v>
      </c>
      <c r="CA57">
        <v>0</v>
      </c>
      <c r="CB57" t="s">
        <v>3</v>
      </c>
      <c r="CE57">
        <v>30</v>
      </c>
      <c r="CF57">
        <v>0</v>
      </c>
      <c r="CG57">
        <v>0</v>
      </c>
      <c r="CM57">
        <v>0</v>
      </c>
      <c r="CN57" t="s">
        <v>708</v>
      </c>
      <c r="CO57">
        <v>0</v>
      </c>
      <c r="CP57">
        <f t="shared" si="41"/>
        <v>0</v>
      </c>
      <c r="CQ57">
        <f t="shared" si="42"/>
        <v>504.9</v>
      </c>
      <c r="CR57">
        <f t="shared" si="43"/>
        <v>0</v>
      </c>
      <c r="CS57">
        <f t="shared" si="44"/>
        <v>0</v>
      </c>
      <c r="CT57">
        <f t="shared" si="45"/>
        <v>0</v>
      </c>
      <c r="CU57">
        <f t="shared" si="46"/>
        <v>0</v>
      </c>
      <c r="CV57">
        <f t="shared" si="47"/>
        <v>0</v>
      </c>
      <c r="CW57">
        <f t="shared" si="48"/>
        <v>0</v>
      </c>
      <c r="CX57">
        <f t="shared" si="49"/>
        <v>0</v>
      </c>
      <c r="CY57">
        <f>S57*(BZ57/100)</f>
        <v>0</v>
      </c>
      <c r="CZ57">
        <f>S57*(CA57/100)</f>
        <v>0</v>
      </c>
      <c r="DB57">
        <v>30</v>
      </c>
      <c r="DC57" t="s">
        <v>3</v>
      </c>
      <c r="DD57" t="s">
        <v>3</v>
      </c>
      <c r="DE57" t="s">
        <v>22</v>
      </c>
      <c r="DF57" t="s">
        <v>22</v>
      </c>
      <c r="DG57" t="s">
        <v>22</v>
      </c>
      <c r="DH57" t="s">
        <v>3</v>
      </c>
      <c r="DI57" t="s">
        <v>22</v>
      </c>
      <c r="DJ57" t="s">
        <v>22</v>
      </c>
      <c r="DK57" t="s">
        <v>3</v>
      </c>
      <c r="DL57" t="s">
        <v>3</v>
      </c>
      <c r="DM57" t="s">
        <v>3</v>
      </c>
      <c r="DN57">
        <v>0</v>
      </c>
      <c r="DO57">
        <v>0</v>
      </c>
      <c r="DP57">
        <v>1</v>
      </c>
      <c r="DQ57">
        <v>1</v>
      </c>
      <c r="DU57">
        <v>1009</v>
      </c>
      <c r="DV57" t="s">
        <v>101</v>
      </c>
      <c r="DW57" t="s">
        <v>101</v>
      </c>
      <c r="DX57">
        <v>1</v>
      </c>
      <c r="DZ57" t="s">
        <v>3</v>
      </c>
      <c r="EA57" t="s">
        <v>3</v>
      </c>
      <c r="EB57" t="s">
        <v>3</v>
      </c>
      <c r="EC57" t="s">
        <v>3</v>
      </c>
      <c r="EE57">
        <v>51697656</v>
      </c>
      <c r="EF57">
        <v>200</v>
      </c>
      <c r="EG57" t="s">
        <v>59</v>
      </c>
      <c r="EH57">
        <v>0</v>
      </c>
      <c r="EI57" t="s">
        <v>3</v>
      </c>
      <c r="EJ57">
        <v>1</v>
      </c>
      <c r="EK57">
        <v>1617</v>
      </c>
      <c r="EL57" t="s">
        <v>60</v>
      </c>
      <c r="EM57" t="s">
        <v>61</v>
      </c>
      <c r="EO57" t="s">
        <v>26</v>
      </c>
      <c r="EQ57">
        <v>131072</v>
      </c>
      <c r="ER57">
        <v>52.75</v>
      </c>
      <c r="ES57">
        <v>504.9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5</v>
      </c>
      <c r="FC57">
        <v>1</v>
      </c>
      <c r="FD57">
        <v>18</v>
      </c>
      <c r="FF57">
        <v>594</v>
      </c>
      <c r="FQ57">
        <v>0</v>
      </c>
      <c r="FR57">
        <v>0</v>
      </c>
      <c r="FS57">
        <v>0</v>
      </c>
      <c r="FX57">
        <v>0</v>
      </c>
      <c r="FY57">
        <v>0</v>
      </c>
      <c r="GA57" t="s">
        <v>102</v>
      </c>
      <c r="GD57">
        <v>0</v>
      </c>
      <c r="GF57">
        <v>-1921076346</v>
      </c>
      <c r="GG57">
        <v>2</v>
      </c>
      <c r="GH57">
        <v>3</v>
      </c>
      <c r="GI57">
        <v>-2</v>
      </c>
      <c r="GJ57">
        <v>0</v>
      </c>
      <c r="GK57">
        <f>ROUND(R57*(S12)/100,2)</f>
        <v>0</v>
      </c>
      <c r="GL57">
        <f t="shared" si="50"/>
        <v>0</v>
      </c>
      <c r="GM57">
        <f t="shared" si="51"/>
        <v>0</v>
      </c>
      <c r="GN57">
        <f t="shared" si="52"/>
        <v>0</v>
      </c>
      <c r="GO57">
        <f t="shared" si="53"/>
        <v>0</v>
      </c>
      <c r="GP57">
        <f t="shared" si="54"/>
        <v>0</v>
      </c>
      <c r="GR57">
        <v>1</v>
      </c>
      <c r="GS57">
        <v>1</v>
      </c>
      <c r="GT57">
        <v>0</v>
      </c>
      <c r="GU57" t="s">
        <v>3</v>
      </c>
      <c r="GV57">
        <f t="shared" si="55"/>
        <v>0</v>
      </c>
      <c r="GW57">
        <v>1</v>
      </c>
      <c r="GX57">
        <f t="shared" si="56"/>
        <v>0</v>
      </c>
      <c r="HA57">
        <v>0</v>
      </c>
      <c r="HB57">
        <v>0</v>
      </c>
      <c r="HC57">
        <f t="shared" si="57"/>
        <v>0</v>
      </c>
      <c r="HE57" t="s">
        <v>27</v>
      </c>
      <c r="HF57" t="s">
        <v>81</v>
      </c>
      <c r="HM57" t="s">
        <v>3</v>
      </c>
      <c r="HN57" t="s">
        <v>3</v>
      </c>
      <c r="HO57" t="s">
        <v>3</v>
      </c>
      <c r="HP57" t="s">
        <v>3</v>
      </c>
      <c r="HQ57" t="s">
        <v>3</v>
      </c>
      <c r="HS57">
        <v>0</v>
      </c>
      <c r="IK57">
        <v>0</v>
      </c>
    </row>
    <row r="59" spans="1:255" x14ac:dyDescent="0.2">
      <c r="A59" s="3">
        <v>51</v>
      </c>
      <c r="B59" s="3">
        <f>B24</f>
        <v>1</v>
      </c>
      <c r="C59" s="3">
        <f>A24</f>
        <v>4</v>
      </c>
      <c r="D59" s="3">
        <f>ROW(A24)</f>
        <v>24</v>
      </c>
      <c r="E59" s="3"/>
      <c r="F59" s="3" t="str">
        <f>IF(F24&lt;&gt;"",F24,"")</f>
        <v>Новый раздел</v>
      </c>
      <c r="G59" s="3" t="str">
        <f>IF(G24&lt;&gt;"",G24,"")</f>
        <v>Земляные работы</v>
      </c>
      <c r="H59" s="3">
        <v>0</v>
      </c>
      <c r="I59" s="3"/>
      <c r="J59" s="3"/>
      <c r="K59" s="3"/>
      <c r="L59" s="3"/>
      <c r="M59" s="3"/>
      <c r="N59" s="3"/>
      <c r="O59" s="3">
        <f t="shared" ref="O59:T59" si="58">ROUND(AB59,2)</f>
        <v>266.14</v>
      </c>
      <c r="P59" s="3">
        <f t="shared" si="58"/>
        <v>0</v>
      </c>
      <c r="Q59" s="3">
        <f t="shared" si="58"/>
        <v>132.32</v>
      </c>
      <c r="R59" s="3">
        <f t="shared" si="58"/>
        <v>13.08</v>
      </c>
      <c r="S59" s="3">
        <f t="shared" si="58"/>
        <v>133.82</v>
      </c>
      <c r="T59" s="3">
        <f t="shared" si="58"/>
        <v>0</v>
      </c>
      <c r="U59" s="3">
        <f>AH59</f>
        <v>12.880665698880001</v>
      </c>
      <c r="V59" s="3">
        <f>AI59</f>
        <v>0</v>
      </c>
      <c r="W59" s="3">
        <f>ROUND(AJ59,2)</f>
        <v>0</v>
      </c>
      <c r="X59" s="3">
        <f>ROUND(AK59,2)</f>
        <v>140.34</v>
      </c>
      <c r="Y59" s="3">
        <f>ROUND(AL59,2)</f>
        <v>103.04</v>
      </c>
      <c r="Z59" s="3"/>
      <c r="AA59" s="3"/>
      <c r="AB59" s="3">
        <f>ROUND(SUMIF(AA28:AA57,"=56622490",O28:O57),2)</f>
        <v>266.14</v>
      </c>
      <c r="AC59" s="3">
        <f>ROUND(SUMIF(AA28:AA57,"=56622490",P28:P57),2)</f>
        <v>0</v>
      </c>
      <c r="AD59" s="3">
        <f>ROUND(SUMIF(AA28:AA57,"=56622490",Q28:Q57),2)</f>
        <v>132.32</v>
      </c>
      <c r="AE59" s="3">
        <f>ROUND(SUMIF(AA28:AA57,"=56622490",R28:R57),2)</f>
        <v>13.08</v>
      </c>
      <c r="AF59" s="3">
        <f>ROUND(SUMIF(AA28:AA57,"=56622490",S28:S57),2)</f>
        <v>133.82</v>
      </c>
      <c r="AG59" s="3">
        <f>ROUND(SUMIF(AA28:AA57,"=56622490",T28:T57),2)</f>
        <v>0</v>
      </c>
      <c r="AH59" s="3">
        <f>SUMIF(AA28:AA57,"=56622490",U28:U57)</f>
        <v>12.880665698880001</v>
      </c>
      <c r="AI59" s="3">
        <f>SUMIF(AA28:AA57,"=56622490",V28:V57)</f>
        <v>0</v>
      </c>
      <c r="AJ59" s="3">
        <f>ROUND(SUMIF(AA28:AA57,"=56622490",W28:W57),2)</f>
        <v>0</v>
      </c>
      <c r="AK59" s="3">
        <f>ROUND(SUMIF(AA28:AA57,"=56622490",X28:X57),2)</f>
        <v>140.34</v>
      </c>
      <c r="AL59" s="3">
        <f>ROUND(SUMIF(AA28:AA57,"=56622490",Y28:Y57),2)</f>
        <v>103.04</v>
      </c>
      <c r="AM59" s="3"/>
      <c r="AN59" s="3"/>
      <c r="AO59" s="3">
        <f t="shared" ref="AO59:BD59" si="59">ROUND(BX59,2)</f>
        <v>0</v>
      </c>
      <c r="AP59" s="3">
        <f t="shared" si="59"/>
        <v>0</v>
      </c>
      <c r="AQ59" s="3">
        <f t="shared" si="59"/>
        <v>0</v>
      </c>
      <c r="AR59" s="3">
        <f t="shared" si="59"/>
        <v>532.41999999999996</v>
      </c>
      <c r="AS59" s="3">
        <f t="shared" si="59"/>
        <v>532.41999999999996</v>
      </c>
      <c r="AT59" s="3">
        <f t="shared" si="59"/>
        <v>0</v>
      </c>
      <c r="AU59" s="3">
        <f t="shared" si="59"/>
        <v>0</v>
      </c>
      <c r="AV59" s="3">
        <f t="shared" si="59"/>
        <v>0</v>
      </c>
      <c r="AW59" s="3">
        <f t="shared" si="59"/>
        <v>0</v>
      </c>
      <c r="AX59" s="3">
        <f t="shared" si="59"/>
        <v>0</v>
      </c>
      <c r="AY59" s="3">
        <f t="shared" si="59"/>
        <v>0</v>
      </c>
      <c r="AZ59" s="3">
        <f t="shared" si="59"/>
        <v>0</v>
      </c>
      <c r="BA59" s="3">
        <f t="shared" si="59"/>
        <v>0</v>
      </c>
      <c r="BB59" s="3">
        <f t="shared" si="59"/>
        <v>0</v>
      </c>
      <c r="BC59" s="3">
        <f t="shared" si="59"/>
        <v>0</v>
      </c>
      <c r="BD59" s="3">
        <f t="shared" si="59"/>
        <v>0</v>
      </c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>
        <f>ROUND(SUMIF(AA28:AA57,"=56622490",FQ28:FQ57),2)</f>
        <v>0</v>
      </c>
      <c r="BY59" s="3">
        <f>ROUND(SUMIF(AA28:AA57,"=56622490",FR28:FR57),2)</f>
        <v>0</v>
      </c>
      <c r="BZ59" s="3">
        <f>ROUND(SUMIF(AA28:AA57,"=56622490",GL28:GL57),2)</f>
        <v>0</v>
      </c>
      <c r="CA59" s="3">
        <f>ROUND(SUMIF(AA28:AA57,"=56622490",GM28:GM57),2)</f>
        <v>532.41999999999996</v>
      </c>
      <c r="CB59" s="3">
        <f>ROUND(SUMIF(AA28:AA57,"=56622490",GN28:GN57),2)</f>
        <v>532.41999999999996</v>
      </c>
      <c r="CC59" s="3">
        <f>ROUND(SUMIF(AA28:AA57,"=56622490",GO28:GO57),2)</f>
        <v>0</v>
      </c>
      <c r="CD59" s="3">
        <f>ROUND(SUMIF(AA28:AA57,"=56622490",GP28:GP57),2)</f>
        <v>0</v>
      </c>
      <c r="CE59" s="3">
        <f>AC59-BX59</f>
        <v>0</v>
      </c>
      <c r="CF59" s="3">
        <f>AC59-BY59</f>
        <v>0</v>
      </c>
      <c r="CG59" s="3">
        <f>BX59-BZ59</f>
        <v>0</v>
      </c>
      <c r="CH59" s="3">
        <f>AC59-BX59-BY59+BZ59</f>
        <v>0</v>
      </c>
      <c r="CI59" s="3">
        <f>BY59-BZ59</f>
        <v>0</v>
      </c>
      <c r="CJ59" s="3">
        <f>ROUND(SUMIF(AA28:AA57,"=56622490",GX28:GX57),2)</f>
        <v>0</v>
      </c>
      <c r="CK59" s="3">
        <f>ROUND(SUMIF(AA28:AA57,"=56622490",GY28:GY57),2)</f>
        <v>0</v>
      </c>
      <c r="CL59" s="3">
        <f>ROUND(SUMIF(AA28:AA57,"=56622490",GZ28:GZ57),2)</f>
        <v>0</v>
      </c>
      <c r="CM59" s="3">
        <f>ROUND(SUMIF(AA28:AA57,"=56622490",HD28:HD57),2)</f>
        <v>0</v>
      </c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4">
        <f t="shared" ref="DG59:DL59" si="60">ROUND(DT59,2)</f>
        <v>6226.15</v>
      </c>
      <c r="DH59" s="4">
        <f t="shared" si="60"/>
        <v>0</v>
      </c>
      <c r="DI59" s="4">
        <f t="shared" si="60"/>
        <v>1608.02</v>
      </c>
      <c r="DJ59" s="4">
        <f t="shared" si="60"/>
        <v>451.39</v>
      </c>
      <c r="DK59" s="4">
        <f t="shared" si="60"/>
        <v>4618.13</v>
      </c>
      <c r="DL59" s="4">
        <f t="shared" si="60"/>
        <v>0</v>
      </c>
      <c r="DM59" s="4">
        <f>DZ59</f>
        <v>12.880665698880001</v>
      </c>
      <c r="DN59" s="4">
        <f>EA59</f>
        <v>0</v>
      </c>
      <c r="DO59" s="4">
        <f>ROUND(EB59,2)</f>
        <v>0</v>
      </c>
      <c r="DP59" s="4">
        <f>ROUND(EC59,2)</f>
        <v>4023.54</v>
      </c>
      <c r="DQ59" s="4">
        <f>ROUND(ED59,2)</f>
        <v>1901.68</v>
      </c>
      <c r="DR59" s="4"/>
      <c r="DS59" s="4"/>
      <c r="DT59" s="4">
        <f>ROUND(SUMIF(AA28:AA57,"=56610029",O28:O57),2)</f>
        <v>6226.15</v>
      </c>
      <c r="DU59" s="4">
        <f>ROUND(SUMIF(AA28:AA57,"=56610029",P28:P57),2)</f>
        <v>0</v>
      </c>
      <c r="DV59" s="4">
        <f>ROUND(SUMIF(AA28:AA57,"=56610029",Q28:Q57),2)</f>
        <v>1608.02</v>
      </c>
      <c r="DW59" s="4">
        <f>ROUND(SUMIF(AA28:AA57,"=56610029",R28:R57),2)</f>
        <v>451.39</v>
      </c>
      <c r="DX59" s="4">
        <f>ROUND(SUMIF(AA28:AA57,"=56610029",S28:S57),2)</f>
        <v>4618.13</v>
      </c>
      <c r="DY59" s="4">
        <f>ROUND(SUMIF(AA28:AA57,"=56610029",T28:T57),2)</f>
        <v>0</v>
      </c>
      <c r="DZ59" s="4">
        <f>SUMIF(AA28:AA57,"=56610029",U28:U57)</f>
        <v>12.880665698880001</v>
      </c>
      <c r="EA59" s="4">
        <f>SUMIF(AA28:AA57,"=56610029",V28:V57)</f>
        <v>0</v>
      </c>
      <c r="EB59" s="4">
        <f>ROUND(SUMIF(AA28:AA57,"=56610029",W28:W57),2)</f>
        <v>0</v>
      </c>
      <c r="EC59" s="4">
        <f>ROUND(SUMIF(AA28:AA57,"=56610029",X28:X57),2)</f>
        <v>4023.54</v>
      </c>
      <c r="ED59" s="4">
        <f>ROUND(SUMIF(AA28:AA57,"=56610029",Y28:Y57),2)</f>
        <v>1901.68</v>
      </c>
      <c r="EE59" s="4"/>
      <c r="EF59" s="4"/>
      <c r="EG59" s="4">
        <f t="shared" ref="EG59:EV59" si="61">ROUND(FP59,2)</f>
        <v>0</v>
      </c>
      <c r="EH59" s="4">
        <f t="shared" si="61"/>
        <v>0</v>
      </c>
      <c r="EI59" s="4">
        <f t="shared" si="61"/>
        <v>0</v>
      </c>
      <c r="EJ59" s="4">
        <f t="shared" si="61"/>
        <v>12873.59</v>
      </c>
      <c r="EK59" s="4">
        <f t="shared" si="61"/>
        <v>12873.59</v>
      </c>
      <c r="EL59" s="4">
        <f t="shared" si="61"/>
        <v>0</v>
      </c>
      <c r="EM59" s="4">
        <f t="shared" si="61"/>
        <v>0</v>
      </c>
      <c r="EN59" s="4">
        <f t="shared" si="61"/>
        <v>0</v>
      </c>
      <c r="EO59" s="4">
        <f t="shared" si="61"/>
        <v>0</v>
      </c>
      <c r="EP59" s="4">
        <f t="shared" si="61"/>
        <v>0</v>
      </c>
      <c r="EQ59" s="4">
        <f t="shared" si="61"/>
        <v>0</v>
      </c>
      <c r="ER59" s="4">
        <f t="shared" si="61"/>
        <v>0</v>
      </c>
      <c r="ES59" s="4">
        <f t="shared" si="61"/>
        <v>0</v>
      </c>
      <c r="ET59" s="4">
        <f t="shared" si="61"/>
        <v>0</v>
      </c>
      <c r="EU59" s="4">
        <f t="shared" si="61"/>
        <v>0</v>
      </c>
      <c r="EV59" s="4">
        <f t="shared" si="61"/>
        <v>0</v>
      </c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>
        <f>ROUND(SUMIF(AA28:AA57,"=56610029",FQ28:FQ57),2)</f>
        <v>0</v>
      </c>
      <c r="FQ59" s="4">
        <f>ROUND(SUMIF(AA28:AA57,"=56610029",FR28:FR57),2)</f>
        <v>0</v>
      </c>
      <c r="FR59" s="4">
        <f>ROUND(SUMIF(AA28:AA57,"=56610029",GL28:GL57),2)</f>
        <v>0</v>
      </c>
      <c r="FS59" s="4">
        <f>ROUND(SUMIF(AA28:AA57,"=56610029",GM28:GM57),2)</f>
        <v>12873.59</v>
      </c>
      <c r="FT59" s="4">
        <f>ROUND(SUMIF(AA28:AA57,"=56610029",GN28:GN57),2)</f>
        <v>12873.59</v>
      </c>
      <c r="FU59" s="4">
        <f>ROUND(SUMIF(AA28:AA57,"=56610029",GO28:GO57),2)</f>
        <v>0</v>
      </c>
      <c r="FV59" s="4">
        <f>ROUND(SUMIF(AA28:AA57,"=56610029",GP28:GP57),2)</f>
        <v>0</v>
      </c>
      <c r="FW59" s="4">
        <f>DU59-FP59</f>
        <v>0</v>
      </c>
      <c r="FX59" s="4">
        <f>DU59-FQ59</f>
        <v>0</v>
      </c>
      <c r="FY59" s="4">
        <f>FP59-FR59</f>
        <v>0</v>
      </c>
      <c r="FZ59" s="4">
        <f>DU59-FP59-FQ59+FR59</f>
        <v>0</v>
      </c>
      <c r="GA59" s="4">
        <f>FQ59-FR59</f>
        <v>0</v>
      </c>
      <c r="GB59" s="4">
        <f>ROUND(SUMIF(AA28:AA57,"=56610029",GX28:GX57),2)</f>
        <v>0</v>
      </c>
      <c r="GC59" s="4">
        <f>ROUND(SUMIF(AA28:AA57,"=56610029",GY28:GY57),2)</f>
        <v>0</v>
      </c>
      <c r="GD59" s="4">
        <f>ROUND(SUMIF(AA28:AA57,"=56610029",GZ28:GZ57),2)</f>
        <v>0</v>
      </c>
      <c r="GE59" s="4">
        <f>ROUND(SUMIF(AA28:AA57,"=56610029",HD28:HD57),2)</f>
        <v>0</v>
      </c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>
        <v>0</v>
      </c>
    </row>
    <row r="61" spans="1:255" x14ac:dyDescent="0.2">
      <c r="A61" s="5">
        <v>50</v>
      </c>
      <c r="B61" s="5">
        <v>0</v>
      </c>
      <c r="C61" s="5">
        <v>0</v>
      </c>
      <c r="D61" s="5">
        <v>1</v>
      </c>
      <c r="E61" s="5">
        <v>201</v>
      </c>
      <c r="F61" s="5">
        <f>ROUND(Source!O59,O61)</f>
        <v>266.14</v>
      </c>
      <c r="G61" s="5" t="s">
        <v>103</v>
      </c>
      <c r="H61" s="5" t="s">
        <v>104</v>
      </c>
      <c r="I61" s="5"/>
      <c r="J61" s="5"/>
      <c r="K61" s="5">
        <v>201</v>
      </c>
      <c r="L61" s="5">
        <v>1</v>
      </c>
      <c r="M61" s="5">
        <v>3</v>
      </c>
      <c r="N61" s="5" t="s">
        <v>3</v>
      </c>
      <c r="O61" s="5">
        <v>2</v>
      </c>
      <c r="P61" s="5">
        <f>ROUND(Source!DG59,O61)</f>
        <v>6226.15</v>
      </c>
      <c r="Q61" s="5"/>
      <c r="R61" s="5"/>
      <c r="S61" s="5"/>
      <c r="T61" s="5"/>
      <c r="U61" s="5"/>
      <c r="V61" s="5"/>
      <c r="W61" s="5">
        <v>266.14</v>
      </c>
      <c r="X61" s="5">
        <v>1</v>
      </c>
      <c r="Y61" s="5">
        <v>266.14</v>
      </c>
      <c r="Z61" s="5">
        <v>6226.15</v>
      </c>
      <c r="AA61" s="5">
        <v>1</v>
      </c>
      <c r="AB61" s="5">
        <v>6226.15</v>
      </c>
    </row>
    <row r="62" spans="1:255" x14ac:dyDescent="0.2">
      <c r="A62" s="5">
        <v>50</v>
      </c>
      <c r="B62" s="5">
        <v>0</v>
      </c>
      <c r="C62" s="5">
        <v>0</v>
      </c>
      <c r="D62" s="5">
        <v>1</v>
      </c>
      <c r="E62" s="5">
        <v>202</v>
      </c>
      <c r="F62" s="5">
        <f>ROUND(Source!P59,O62)</f>
        <v>0</v>
      </c>
      <c r="G62" s="5" t="s">
        <v>105</v>
      </c>
      <c r="H62" s="5" t="s">
        <v>106</v>
      </c>
      <c r="I62" s="5"/>
      <c r="J62" s="5"/>
      <c r="K62" s="5">
        <v>202</v>
      </c>
      <c r="L62" s="5">
        <v>2</v>
      </c>
      <c r="M62" s="5">
        <v>3</v>
      </c>
      <c r="N62" s="5" t="s">
        <v>3</v>
      </c>
      <c r="O62" s="5">
        <v>2</v>
      </c>
      <c r="P62" s="5">
        <f>ROUND(Source!DH59,O62)</f>
        <v>0</v>
      </c>
      <c r="Q62" s="5"/>
      <c r="R62" s="5"/>
      <c r="S62" s="5"/>
      <c r="T62" s="5"/>
      <c r="U62" s="5"/>
      <c r="V62" s="5"/>
      <c r="W62" s="5">
        <v>0</v>
      </c>
      <c r="X62" s="5">
        <v>1</v>
      </c>
      <c r="Y62" s="5">
        <v>0</v>
      </c>
      <c r="Z62" s="5">
        <v>0</v>
      </c>
      <c r="AA62" s="5">
        <v>1</v>
      </c>
      <c r="AB62" s="5">
        <v>0</v>
      </c>
    </row>
    <row r="63" spans="1:255" x14ac:dyDescent="0.2">
      <c r="A63" s="5">
        <v>50</v>
      </c>
      <c r="B63" s="5">
        <v>0</v>
      </c>
      <c r="C63" s="5">
        <v>0</v>
      </c>
      <c r="D63" s="5">
        <v>1</v>
      </c>
      <c r="E63" s="5">
        <v>222</v>
      </c>
      <c r="F63" s="5">
        <f>ROUND(Source!AO59,O63)</f>
        <v>0</v>
      </c>
      <c r="G63" s="5" t="s">
        <v>107</v>
      </c>
      <c r="H63" s="5" t="s">
        <v>108</v>
      </c>
      <c r="I63" s="5"/>
      <c r="J63" s="5"/>
      <c r="K63" s="5">
        <v>222</v>
      </c>
      <c r="L63" s="5">
        <v>3</v>
      </c>
      <c r="M63" s="5">
        <v>3</v>
      </c>
      <c r="N63" s="5" t="s">
        <v>3</v>
      </c>
      <c r="O63" s="5">
        <v>2</v>
      </c>
      <c r="P63" s="5">
        <f>ROUND(Source!EG59,O63)</f>
        <v>0</v>
      </c>
      <c r="Q63" s="5"/>
      <c r="R63" s="5"/>
      <c r="S63" s="5"/>
      <c r="T63" s="5"/>
      <c r="U63" s="5"/>
      <c r="V63" s="5"/>
      <c r="W63" s="5">
        <v>0</v>
      </c>
      <c r="X63" s="5">
        <v>1</v>
      </c>
      <c r="Y63" s="5">
        <v>0</v>
      </c>
      <c r="Z63" s="5">
        <v>0</v>
      </c>
      <c r="AA63" s="5">
        <v>1</v>
      </c>
      <c r="AB63" s="5">
        <v>0</v>
      </c>
    </row>
    <row r="64" spans="1:255" x14ac:dyDescent="0.2">
      <c r="A64" s="5">
        <v>50</v>
      </c>
      <c r="B64" s="5">
        <v>0</v>
      </c>
      <c r="C64" s="5">
        <v>0</v>
      </c>
      <c r="D64" s="5">
        <v>1</v>
      </c>
      <c r="E64" s="5">
        <v>225</v>
      </c>
      <c r="F64" s="5">
        <f>ROUND(Source!AV59,O64)</f>
        <v>0</v>
      </c>
      <c r="G64" s="5" t="s">
        <v>109</v>
      </c>
      <c r="H64" s="5" t="s">
        <v>110</v>
      </c>
      <c r="I64" s="5"/>
      <c r="J64" s="5"/>
      <c r="K64" s="5">
        <v>225</v>
      </c>
      <c r="L64" s="5">
        <v>4</v>
      </c>
      <c r="M64" s="5">
        <v>3</v>
      </c>
      <c r="N64" s="5" t="s">
        <v>3</v>
      </c>
      <c r="O64" s="5">
        <v>2</v>
      </c>
      <c r="P64" s="5">
        <f>ROUND(Source!EN59,O64)</f>
        <v>0</v>
      </c>
      <c r="Q64" s="5"/>
      <c r="R64" s="5"/>
      <c r="S64" s="5"/>
      <c r="T64" s="5"/>
      <c r="U64" s="5"/>
      <c r="V64" s="5"/>
      <c r="W64" s="5">
        <v>0</v>
      </c>
      <c r="X64" s="5">
        <v>1</v>
      </c>
      <c r="Y64" s="5">
        <v>0</v>
      </c>
      <c r="Z64" s="5">
        <v>0</v>
      </c>
      <c r="AA64" s="5">
        <v>1</v>
      </c>
      <c r="AB64" s="5">
        <v>0</v>
      </c>
    </row>
    <row r="65" spans="1:28" x14ac:dyDescent="0.2">
      <c r="A65" s="5">
        <v>50</v>
      </c>
      <c r="B65" s="5">
        <v>0</v>
      </c>
      <c r="C65" s="5">
        <v>0</v>
      </c>
      <c r="D65" s="5">
        <v>1</v>
      </c>
      <c r="E65" s="5">
        <v>226</v>
      </c>
      <c r="F65" s="5">
        <f>ROUND(Source!AW59,O65)</f>
        <v>0</v>
      </c>
      <c r="G65" s="5" t="s">
        <v>111</v>
      </c>
      <c r="H65" s="5" t="s">
        <v>112</v>
      </c>
      <c r="I65" s="5"/>
      <c r="J65" s="5"/>
      <c r="K65" s="5">
        <v>226</v>
      </c>
      <c r="L65" s="5">
        <v>5</v>
      </c>
      <c r="M65" s="5">
        <v>3</v>
      </c>
      <c r="N65" s="5" t="s">
        <v>3</v>
      </c>
      <c r="O65" s="5">
        <v>2</v>
      </c>
      <c r="P65" s="5">
        <f>ROUND(Source!EO59,O65)</f>
        <v>0</v>
      </c>
      <c r="Q65" s="5"/>
      <c r="R65" s="5"/>
      <c r="S65" s="5"/>
      <c r="T65" s="5"/>
      <c r="U65" s="5"/>
      <c r="V65" s="5"/>
      <c r="W65" s="5">
        <v>0</v>
      </c>
      <c r="X65" s="5">
        <v>1</v>
      </c>
      <c r="Y65" s="5">
        <v>0</v>
      </c>
      <c r="Z65" s="5">
        <v>0</v>
      </c>
      <c r="AA65" s="5">
        <v>1</v>
      </c>
      <c r="AB65" s="5">
        <v>0</v>
      </c>
    </row>
    <row r="66" spans="1:28" x14ac:dyDescent="0.2">
      <c r="A66" s="5">
        <v>50</v>
      </c>
      <c r="B66" s="5">
        <v>0</v>
      </c>
      <c r="C66" s="5">
        <v>0</v>
      </c>
      <c r="D66" s="5">
        <v>1</v>
      </c>
      <c r="E66" s="5">
        <v>227</v>
      </c>
      <c r="F66" s="5">
        <f>ROUND(Source!AX59,O66)</f>
        <v>0</v>
      </c>
      <c r="G66" s="5" t="s">
        <v>113</v>
      </c>
      <c r="H66" s="5" t="s">
        <v>114</v>
      </c>
      <c r="I66" s="5"/>
      <c r="J66" s="5"/>
      <c r="K66" s="5">
        <v>227</v>
      </c>
      <c r="L66" s="5">
        <v>6</v>
      </c>
      <c r="M66" s="5">
        <v>3</v>
      </c>
      <c r="N66" s="5" t="s">
        <v>3</v>
      </c>
      <c r="O66" s="5">
        <v>2</v>
      </c>
      <c r="P66" s="5">
        <f>ROUND(Source!EP59,O66)</f>
        <v>0</v>
      </c>
      <c r="Q66" s="5"/>
      <c r="R66" s="5"/>
      <c r="S66" s="5"/>
      <c r="T66" s="5"/>
      <c r="U66" s="5"/>
      <c r="V66" s="5"/>
      <c r="W66" s="5">
        <v>0</v>
      </c>
      <c r="X66" s="5">
        <v>1</v>
      </c>
      <c r="Y66" s="5">
        <v>0</v>
      </c>
      <c r="Z66" s="5">
        <v>0</v>
      </c>
      <c r="AA66" s="5">
        <v>1</v>
      </c>
      <c r="AB66" s="5">
        <v>0</v>
      </c>
    </row>
    <row r="67" spans="1:28" x14ac:dyDescent="0.2">
      <c r="A67" s="5">
        <v>50</v>
      </c>
      <c r="B67" s="5">
        <v>0</v>
      </c>
      <c r="C67" s="5">
        <v>0</v>
      </c>
      <c r="D67" s="5">
        <v>1</v>
      </c>
      <c r="E67" s="5">
        <v>228</v>
      </c>
      <c r="F67" s="5">
        <f>ROUND(Source!AY59,O67)</f>
        <v>0</v>
      </c>
      <c r="G67" s="5" t="s">
        <v>115</v>
      </c>
      <c r="H67" s="5" t="s">
        <v>116</v>
      </c>
      <c r="I67" s="5"/>
      <c r="J67" s="5"/>
      <c r="K67" s="5">
        <v>228</v>
      </c>
      <c r="L67" s="5">
        <v>7</v>
      </c>
      <c r="M67" s="5">
        <v>3</v>
      </c>
      <c r="N67" s="5" t="s">
        <v>3</v>
      </c>
      <c r="O67" s="5">
        <v>2</v>
      </c>
      <c r="P67" s="5">
        <f>ROUND(Source!EQ59,O67)</f>
        <v>0</v>
      </c>
      <c r="Q67" s="5"/>
      <c r="R67" s="5"/>
      <c r="S67" s="5"/>
      <c r="T67" s="5"/>
      <c r="U67" s="5"/>
      <c r="V67" s="5"/>
      <c r="W67" s="5">
        <v>0</v>
      </c>
      <c r="X67" s="5">
        <v>1</v>
      </c>
      <c r="Y67" s="5">
        <v>0</v>
      </c>
      <c r="Z67" s="5">
        <v>0</v>
      </c>
      <c r="AA67" s="5">
        <v>1</v>
      </c>
      <c r="AB67" s="5">
        <v>0</v>
      </c>
    </row>
    <row r="68" spans="1:28" x14ac:dyDescent="0.2">
      <c r="A68" s="5">
        <v>50</v>
      </c>
      <c r="B68" s="5">
        <v>0</v>
      </c>
      <c r="C68" s="5">
        <v>0</v>
      </c>
      <c r="D68" s="5">
        <v>1</v>
      </c>
      <c r="E68" s="5">
        <v>216</v>
      </c>
      <c r="F68" s="5">
        <f>ROUND(Source!AP59,O68)</f>
        <v>0</v>
      </c>
      <c r="G68" s="5" t="s">
        <v>117</v>
      </c>
      <c r="H68" s="5" t="s">
        <v>118</v>
      </c>
      <c r="I68" s="5"/>
      <c r="J68" s="5"/>
      <c r="K68" s="5">
        <v>216</v>
      </c>
      <c r="L68" s="5">
        <v>8</v>
      </c>
      <c r="M68" s="5">
        <v>3</v>
      </c>
      <c r="N68" s="5" t="s">
        <v>3</v>
      </c>
      <c r="O68" s="5">
        <v>2</v>
      </c>
      <c r="P68" s="5">
        <f>ROUND(Source!EH59,O68)</f>
        <v>0</v>
      </c>
      <c r="Q68" s="5"/>
      <c r="R68" s="5"/>
      <c r="S68" s="5"/>
      <c r="T68" s="5"/>
      <c r="U68" s="5"/>
      <c r="V68" s="5"/>
      <c r="W68" s="5">
        <v>0</v>
      </c>
      <c r="X68" s="5">
        <v>1</v>
      </c>
      <c r="Y68" s="5">
        <v>0</v>
      </c>
      <c r="Z68" s="5">
        <v>0</v>
      </c>
      <c r="AA68" s="5">
        <v>1</v>
      </c>
      <c r="AB68" s="5">
        <v>0</v>
      </c>
    </row>
    <row r="69" spans="1:28" x14ac:dyDescent="0.2">
      <c r="A69" s="5">
        <v>50</v>
      </c>
      <c r="B69" s="5">
        <v>0</v>
      </c>
      <c r="C69" s="5">
        <v>0</v>
      </c>
      <c r="D69" s="5">
        <v>1</v>
      </c>
      <c r="E69" s="5">
        <v>223</v>
      </c>
      <c r="F69" s="5">
        <f>ROUND(Source!AQ59,O69)</f>
        <v>0</v>
      </c>
      <c r="G69" s="5" t="s">
        <v>119</v>
      </c>
      <c r="H69" s="5" t="s">
        <v>120</v>
      </c>
      <c r="I69" s="5"/>
      <c r="J69" s="5"/>
      <c r="K69" s="5">
        <v>223</v>
      </c>
      <c r="L69" s="5">
        <v>9</v>
      </c>
      <c r="M69" s="5">
        <v>3</v>
      </c>
      <c r="N69" s="5" t="s">
        <v>3</v>
      </c>
      <c r="O69" s="5">
        <v>2</v>
      </c>
      <c r="P69" s="5">
        <f>ROUND(Source!EI59,O69)</f>
        <v>0</v>
      </c>
      <c r="Q69" s="5"/>
      <c r="R69" s="5"/>
      <c r="S69" s="5"/>
      <c r="T69" s="5"/>
      <c r="U69" s="5"/>
      <c r="V69" s="5"/>
      <c r="W69" s="5">
        <v>0</v>
      </c>
      <c r="X69" s="5">
        <v>1</v>
      </c>
      <c r="Y69" s="5">
        <v>0</v>
      </c>
      <c r="Z69" s="5">
        <v>0</v>
      </c>
      <c r="AA69" s="5">
        <v>1</v>
      </c>
      <c r="AB69" s="5">
        <v>0</v>
      </c>
    </row>
    <row r="70" spans="1:28" x14ac:dyDescent="0.2">
      <c r="A70" s="5">
        <v>50</v>
      </c>
      <c r="B70" s="5">
        <v>0</v>
      </c>
      <c r="C70" s="5">
        <v>0</v>
      </c>
      <c r="D70" s="5">
        <v>1</v>
      </c>
      <c r="E70" s="5">
        <v>229</v>
      </c>
      <c r="F70" s="5">
        <f>ROUND(Source!AZ59,O70)</f>
        <v>0</v>
      </c>
      <c r="G70" s="5" t="s">
        <v>121</v>
      </c>
      <c r="H70" s="5" t="s">
        <v>122</v>
      </c>
      <c r="I70" s="5"/>
      <c r="J70" s="5"/>
      <c r="K70" s="5">
        <v>229</v>
      </c>
      <c r="L70" s="5">
        <v>10</v>
      </c>
      <c r="M70" s="5">
        <v>3</v>
      </c>
      <c r="N70" s="5" t="s">
        <v>3</v>
      </c>
      <c r="O70" s="5">
        <v>2</v>
      </c>
      <c r="P70" s="5">
        <f>ROUND(Source!ER59,O70)</f>
        <v>0</v>
      </c>
      <c r="Q70" s="5"/>
      <c r="R70" s="5"/>
      <c r="S70" s="5"/>
      <c r="T70" s="5"/>
      <c r="U70" s="5"/>
      <c r="V70" s="5"/>
      <c r="W70" s="5">
        <v>0</v>
      </c>
      <c r="X70" s="5">
        <v>1</v>
      </c>
      <c r="Y70" s="5">
        <v>0</v>
      </c>
      <c r="Z70" s="5">
        <v>0</v>
      </c>
      <c r="AA70" s="5">
        <v>1</v>
      </c>
      <c r="AB70" s="5">
        <v>0</v>
      </c>
    </row>
    <row r="71" spans="1:28" x14ac:dyDescent="0.2">
      <c r="A71" s="5">
        <v>50</v>
      </c>
      <c r="B71" s="5">
        <v>0</v>
      </c>
      <c r="C71" s="5">
        <v>0</v>
      </c>
      <c r="D71" s="5">
        <v>1</v>
      </c>
      <c r="E71" s="5">
        <v>203</v>
      </c>
      <c r="F71" s="5">
        <f>ROUND(Source!Q59,O71)</f>
        <v>132.32</v>
      </c>
      <c r="G71" s="5" t="s">
        <v>123</v>
      </c>
      <c r="H71" s="5" t="s">
        <v>124</v>
      </c>
      <c r="I71" s="5"/>
      <c r="J71" s="5"/>
      <c r="K71" s="5">
        <v>203</v>
      </c>
      <c r="L71" s="5">
        <v>11</v>
      </c>
      <c r="M71" s="5">
        <v>3</v>
      </c>
      <c r="N71" s="5" t="s">
        <v>3</v>
      </c>
      <c r="O71" s="5">
        <v>2</v>
      </c>
      <c r="P71" s="5">
        <f>ROUND(Source!DI59,O71)</f>
        <v>1608.02</v>
      </c>
      <c r="Q71" s="5"/>
      <c r="R71" s="5"/>
      <c r="S71" s="5"/>
      <c r="T71" s="5"/>
      <c r="U71" s="5"/>
      <c r="V71" s="5"/>
      <c r="W71" s="5">
        <v>132.32</v>
      </c>
      <c r="X71" s="5">
        <v>1</v>
      </c>
      <c r="Y71" s="5">
        <v>132.32</v>
      </c>
      <c r="Z71" s="5">
        <v>1608.02</v>
      </c>
      <c r="AA71" s="5">
        <v>1</v>
      </c>
      <c r="AB71" s="5">
        <v>1608.02</v>
      </c>
    </row>
    <row r="72" spans="1:28" x14ac:dyDescent="0.2">
      <c r="A72" s="5">
        <v>50</v>
      </c>
      <c r="B72" s="5">
        <v>0</v>
      </c>
      <c r="C72" s="5">
        <v>0</v>
      </c>
      <c r="D72" s="5">
        <v>1</v>
      </c>
      <c r="E72" s="5">
        <v>231</v>
      </c>
      <c r="F72" s="5">
        <f>ROUND(Source!BB59,O72)</f>
        <v>0</v>
      </c>
      <c r="G72" s="5" t="s">
        <v>125</v>
      </c>
      <c r="H72" s="5" t="s">
        <v>126</v>
      </c>
      <c r="I72" s="5"/>
      <c r="J72" s="5"/>
      <c r="K72" s="5">
        <v>231</v>
      </c>
      <c r="L72" s="5">
        <v>12</v>
      </c>
      <c r="M72" s="5">
        <v>3</v>
      </c>
      <c r="N72" s="5" t="s">
        <v>3</v>
      </c>
      <c r="O72" s="5">
        <v>2</v>
      </c>
      <c r="P72" s="5">
        <f>ROUND(Source!ET59,O72)</f>
        <v>0</v>
      </c>
      <c r="Q72" s="5"/>
      <c r="R72" s="5"/>
      <c r="S72" s="5"/>
      <c r="T72" s="5"/>
      <c r="U72" s="5"/>
      <c r="V72" s="5"/>
      <c r="W72" s="5">
        <v>0</v>
      </c>
      <c r="X72" s="5">
        <v>1</v>
      </c>
      <c r="Y72" s="5">
        <v>0</v>
      </c>
      <c r="Z72" s="5">
        <v>0</v>
      </c>
      <c r="AA72" s="5">
        <v>1</v>
      </c>
      <c r="AB72" s="5">
        <v>0</v>
      </c>
    </row>
    <row r="73" spans="1:28" x14ac:dyDescent="0.2">
      <c r="A73" s="5">
        <v>50</v>
      </c>
      <c r="B73" s="5">
        <v>0</v>
      </c>
      <c r="C73" s="5">
        <v>0</v>
      </c>
      <c r="D73" s="5">
        <v>1</v>
      </c>
      <c r="E73" s="5">
        <v>204</v>
      </c>
      <c r="F73" s="5">
        <f>ROUND(Source!R59,O73)</f>
        <v>13.08</v>
      </c>
      <c r="G73" s="5" t="s">
        <v>127</v>
      </c>
      <c r="H73" s="5" t="s">
        <v>128</v>
      </c>
      <c r="I73" s="5"/>
      <c r="J73" s="5"/>
      <c r="K73" s="5">
        <v>204</v>
      </c>
      <c r="L73" s="5">
        <v>13</v>
      </c>
      <c r="M73" s="5">
        <v>3</v>
      </c>
      <c r="N73" s="5" t="s">
        <v>3</v>
      </c>
      <c r="O73" s="5">
        <v>2</v>
      </c>
      <c r="P73" s="5">
        <f>ROUND(Source!DJ59,O73)</f>
        <v>451.39</v>
      </c>
      <c r="Q73" s="5"/>
      <c r="R73" s="5"/>
      <c r="S73" s="5"/>
      <c r="T73" s="5"/>
      <c r="U73" s="5"/>
      <c r="V73" s="5"/>
      <c r="W73" s="5">
        <v>13.08</v>
      </c>
      <c r="X73" s="5">
        <v>1</v>
      </c>
      <c r="Y73" s="5">
        <v>13.08</v>
      </c>
      <c r="Z73" s="5">
        <v>451.39</v>
      </c>
      <c r="AA73" s="5">
        <v>1</v>
      </c>
      <c r="AB73" s="5">
        <v>451.39</v>
      </c>
    </row>
    <row r="74" spans="1:28" x14ac:dyDescent="0.2">
      <c r="A74" s="5">
        <v>50</v>
      </c>
      <c r="B74" s="5">
        <v>0</v>
      </c>
      <c r="C74" s="5">
        <v>0</v>
      </c>
      <c r="D74" s="5">
        <v>1</v>
      </c>
      <c r="E74" s="5">
        <v>205</v>
      </c>
      <c r="F74" s="5">
        <f>ROUND(Source!S59,O74)</f>
        <v>133.82</v>
      </c>
      <c r="G74" s="5" t="s">
        <v>129</v>
      </c>
      <c r="H74" s="5" t="s">
        <v>130</v>
      </c>
      <c r="I74" s="5"/>
      <c r="J74" s="5"/>
      <c r="K74" s="5">
        <v>205</v>
      </c>
      <c r="L74" s="5">
        <v>14</v>
      </c>
      <c r="M74" s="5">
        <v>3</v>
      </c>
      <c r="N74" s="5" t="s">
        <v>3</v>
      </c>
      <c r="O74" s="5">
        <v>2</v>
      </c>
      <c r="P74" s="5">
        <f>ROUND(Source!DK59,O74)</f>
        <v>4618.13</v>
      </c>
      <c r="Q74" s="5"/>
      <c r="R74" s="5"/>
      <c r="S74" s="5"/>
      <c r="T74" s="5"/>
      <c r="U74" s="5"/>
      <c r="V74" s="5"/>
      <c r="W74" s="5">
        <v>133.82</v>
      </c>
      <c r="X74" s="5">
        <v>1</v>
      </c>
      <c r="Y74" s="5">
        <v>133.82</v>
      </c>
      <c r="Z74" s="5">
        <v>4618.13</v>
      </c>
      <c r="AA74" s="5">
        <v>1</v>
      </c>
      <c r="AB74" s="5">
        <v>4618.13</v>
      </c>
    </row>
    <row r="75" spans="1:28" x14ac:dyDescent="0.2">
      <c r="A75" s="5">
        <v>50</v>
      </c>
      <c r="B75" s="5">
        <v>0</v>
      </c>
      <c r="C75" s="5">
        <v>0</v>
      </c>
      <c r="D75" s="5">
        <v>1</v>
      </c>
      <c r="E75" s="5">
        <v>232</v>
      </c>
      <c r="F75" s="5">
        <f>ROUND(Source!BC59,O75)</f>
        <v>0</v>
      </c>
      <c r="G75" s="5" t="s">
        <v>131</v>
      </c>
      <c r="H75" s="5" t="s">
        <v>132</v>
      </c>
      <c r="I75" s="5"/>
      <c r="J75" s="5"/>
      <c r="K75" s="5">
        <v>232</v>
      </c>
      <c r="L75" s="5">
        <v>15</v>
      </c>
      <c r="M75" s="5">
        <v>3</v>
      </c>
      <c r="N75" s="5" t="s">
        <v>3</v>
      </c>
      <c r="O75" s="5">
        <v>2</v>
      </c>
      <c r="P75" s="5">
        <f>ROUND(Source!EU59,O75)</f>
        <v>0</v>
      </c>
      <c r="Q75" s="5"/>
      <c r="R75" s="5"/>
      <c r="S75" s="5"/>
      <c r="T75" s="5"/>
      <c r="U75" s="5"/>
      <c r="V75" s="5"/>
      <c r="W75" s="5">
        <v>0</v>
      </c>
      <c r="X75" s="5">
        <v>1</v>
      </c>
      <c r="Y75" s="5">
        <v>0</v>
      </c>
      <c r="Z75" s="5">
        <v>0</v>
      </c>
      <c r="AA75" s="5">
        <v>1</v>
      </c>
      <c r="AB75" s="5">
        <v>0</v>
      </c>
    </row>
    <row r="76" spans="1:28" x14ac:dyDescent="0.2">
      <c r="A76" s="5">
        <v>50</v>
      </c>
      <c r="B76" s="5">
        <v>0</v>
      </c>
      <c r="C76" s="5">
        <v>0</v>
      </c>
      <c r="D76" s="5">
        <v>1</v>
      </c>
      <c r="E76" s="5">
        <v>214</v>
      </c>
      <c r="F76" s="5">
        <f>ROUND(Source!AS59,O76)</f>
        <v>532.41999999999996</v>
      </c>
      <c r="G76" s="5" t="s">
        <v>133</v>
      </c>
      <c r="H76" s="5" t="s">
        <v>134</v>
      </c>
      <c r="I76" s="5"/>
      <c r="J76" s="5"/>
      <c r="K76" s="5">
        <v>214</v>
      </c>
      <c r="L76" s="5">
        <v>16</v>
      </c>
      <c r="M76" s="5">
        <v>3</v>
      </c>
      <c r="N76" s="5" t="s">
        <v>3</v>
      </c>
      <c r="O76" s="5">
        <v>2</v>
      </c>
      <c r="P76" s="5">
        <f>ROUND(Source!EK59,O76)</f>
        <v>12873.59</v>
      </c>
      <c r="Q76" s="5"/>
      <c r="R76" s="5"/>
      <c r="S76" s="5"/>
      <c r="T76" s="5"/>
      <c r="U76" s="5"/>
      <c r="V76" s="5"/>
      <c r="W76" s="5">
        <v>532.41999999999996</v>
      </c>
      <c r="X76" s="5">
        <v>1</v>
      </c>
      <c r="Y76" s="5">
        <v>532.41999999999996</v>
      </c>
      <c r="Z76" s="5">
        <v>12873.59</v>
      </c>
      <c r="AA76" s="5">
        <v>1</v>
      </c>
      <c r="AB76" s="5">
        <v>12873.59</v>
      </c>
    </row>
    <row r="77" spans="1:28" x14ac:dyDescent="0.2">
      <c r="A77" s="5">
        <v>50</v>
      </c>
      <c r="B77" s="5">
        <v>0</v>
      </c>
      <c r="C77" s="5">
        <v>0</v>
      </c>
      <c r="D77" s="5">
        <v>1</v>
      </c>
      <c r="E77" s="5">
        <v>215</v>
      </c>
      <c r="F77" s="5">
        <f>ROUND(Source!AT59,O77)</f>
        <v>0</v>
      </c>
      <c r="G77" s="5" t="s">
        <v>135</v>
      </c>
      <c r="H77" s="5" t="s">
        <v>136</v>
      </c>
      <c r="I77" s="5"/>
      <c r="J77" s="5"/>
      <c r="K77" s="5">
        <v>215</v>
      </c>
      <c r="L77" s="5">
        <v>17</v>
      </c>
      <c r="M77" s="5">
        <v>3</v>
      </c>
      <c r="N77" s="5" t="s">
        <v>3</v>
      </c>
      <c r="O77" s="5">
        <v>2</v>
      </c>
      <c r="P77" s="5">
        <f>ROUND(Source!EL59,O77)</f>
        <v>0</v>
      </c>
      <c r="Q77" s="5"/>
      <c r="R77" s="5"/>
      <c r="S77" s="5"/>
      <c r="T77" s="5"/>
      <c r="U77" s="5"/>
      <c r="V77" s="5"/>
      <c r="W77" s="5">
        <v>0</v>
      </c>
      <c r="X77" s="5">
        <v>1</v>
      </c>
      <c r="Y77" s="5">
        <v>0</v>
      </c>
      <c r="Z77" s="5">
        <v>0</v>
      </c>
      <c r="AA77" s="5">
        <v>1</v>
      </c>
      <c r="AB77" s="5">
        <v>0</v>
      </c>
    </row>
    <row r="78" spans="1:28" x14ac:dyDescent="0.2">
      <c r="A78" s="5">
        <v>50</v>
      </c>
      <c r="B78" s="5">
        <v>0</v>
      </c>
      <c r="C78" s="5">
        <v>0</v>
      </c>
      <c r="D78" s="5">
        <v>1</v>
      </c>
      <c r="E78" s="5">
        <v>217</v>
      </c>
      <c r="F78" s="5">
        <f>ROUND(Source!AU59,O78)</f>
        <v>0</v>
      </c>
      <c r="G78" s="5" t="s">
        <v>137</v>
      </c>
      <c r="H78" s="5" t="s">
        <v>138</v>
      </c>
      <c r="I78" s="5"/>
      <c r="J78" s="5"/>
      <c r="K78" s="5">
        <v>217</v>
      </c>
      <c r="L78" s="5">
        <v>18</v>
      </c>
      <c r="M78" s="5">
        <v>3</v>
      </c>
      <c r="N78" s="5" t="s">
        <v>3</v>
      </c>
      <c r="O78" s="5">
        <v>2</v>
      </c>
      <c r="P78" s="5">
        <f>ROUND(Source!EM59,O78)</f>
        <v>0</v>
      </c>
      <c r="Q78" s="5"/>
      <c r="R78" s="5"/>
      <c r="S78" s="5"/>
      <c r="T78" s="5"/>
      <c r="U78" s="5"/>
      <c r="V78" s="5"/>
      <c r="W78" s="5">
        <v>0</v>
      </c>
      <c r="X78" s="5">
        <v>1</v>
      </c>
      <c r="Y78" s="5">
        <v>0</v>
      </c>
      <c r="Z78" s="5">
        <v>0</v>
      </c>
      <c r="AA78" s="5">
        <v>1</v>
      </c>
      <c r="AB78" s="5">
        <v>0</v>
      </c>
    </row>
    <row r="79" spans="1:28" x14ac:dyDescent="0.2">
      <c r="A79" s="5">
        <v>50</v>
      </c>
      <c r="B79" s="5">
        <v>0</v>
      </c>
      <c r="C79" s="5">
        <v>0</v>
      </c>
      <c r="D79" s="5">
        <v>1</v>
      </c>
      <c r="E79" s="5">
        <v>230</v>
      </c>
      <c r="F79" s="5">
        <f>ROUND(Source!BA59,O79)</f>
        <v>0</v>
      </c>
      <c r="G79" s="5" t="s">
        <v>139</v>
      </c>
      <c r="H79" s="5" t="s">
        <v>140</v>
      </c>
      <c r="I79" s="5"/>
      <c r="J79" s="5"/>
      <c r="K79" s="5">
        <v>230</v>
      </c>
      <c r="L79" s="5">
        <v>19</v>
      </c>
      <c r="M79" s="5">
        <v>3</v>
      </c>
      <c r="N79" s="5" t="s">
        <v>3</v>
      </c>
      <c r="O79" s="5">
        <v>2</v>
      </c>
      <c r="P79" s="5">
        <f>ROUND(Source!ES59,O79)</f>
        <v>0</v>
      </c>
      <c r="Q79" s="5"/>
      <c r="R79" s="5"/>
      <c r="S79" s="5"/>
      <c r="T79" s="5"/>
      <c r="U79" s="5"/>
      <c r="V79" s="5"/>
      <c r="W79" s="5">
        <v>0</v>
      </c>
      <c r="X79" s="5">
        <v>1</v>
      </c>
      <c r="Y79" s="5">
        <v>0</v>
      </c>
      <c r="Z79" s="5">
        <v>0</v>
      </c>
      <c r="AA79" s="5">
        <v>1</v>
      </c>
      <c r="AB79" s="5">
        <v>0</v>
      </c>
    </row>
    <row r="80" spans="1:28" x14ac:dyDescent="0.2">
      <c r="A80" s="5">
        <v>50</v>
      </c>
      <c r="B80" s="5">
        <v>0</v>
      </c>
      <c r="C80" s="5">
        <v>0</v>
      </c>
      <c r="D80" s="5">
        <v>1</v>
      </c>
      <c r="E80" s="5">
        <v>206</v>
      </c>
      <c r="F80" s="5">
        <f>ROUND(Source!T59,O80)</f>
        <v>0</v>
      </c>
      <c r="G80" s="5" t="s">
        <v>141</v>
      </c>
      <c r="H80" s="5" t="s">
        <v>142</v>
      </c>
      <c r="I80" s="5"/>
      <c r="J80" s="5"/>
      <c r="K80" s="5">
        <v>206</v>
      </c>
      <c r="L80" s="5">
        <v>20</v>
      </c>
      <c r="M80" s="5">
        <v>3</v>
      </c>
      <c r="N80" s="5" t="s">
        <v>3</v>
      </c>
      <c r="O80" s="5">
        <v>2</v>
      </c>
      <c r="P80" s="5">
        <f>ROUND(Source!DL59,O80)</f>
        <v>0</v>
      </c>
      <c r="Q80" s="5"/>
      <c r="R80" s="5"/>
      <c r="S80" s="5"/>
      <c r="T80" s="5"/>
      <c r="U80" s="5"/>
      <c r="V80" s="5"/>
      <c r="W80" s="5">
        <v>0</v>
      </c>
      <c r="X80" s="5">
        <v>1</v>
      </c>
      <c r="Y80" s="5">
        <v>0</v>
      </c>
      <c r="Z80" s="5">
        <v>0</v>
      </c>
      <c r="AA80" s="5">
        <v>1</v>
      </c>
      <c r="AB80" s="5">
        <v>0</v>
      </c>
    </row>
    <row r="81" spans="1:255" x14ac:dyDescent="0.2">
      <c r="A81" s="5">
        <v>50</v>
      </c>
      <c r="B81" s="5">
        <v>0</v>
      </c>
      <c r="C81" s="5">
        <v>0</v>
      </c>
      <c r="D81" s="5">
        <v>1</v>
      </c>
      <c r="E81" s="5">
        <v>207</v>
      </c>
      <c r="F81" s="5">
        <f>Source!U59</f>
        <v>12.880665698880001</v>
      </c>
      <c r="G81" s="5" t="s">
        <v>143</v>
      </c>
      <c r="H81" s="5" t="s">
        <v>144</v>
      </c>
      <c r="I81" s="5"/>
      <c r="J81" s="5"/>
      <c r="K81" s="5">
        <v>207</v>
      </c>
      <c r="L81" s="5">
        <v>21</v>
      </c>
      <c r="M81" s="5">
        <v>3</v>
      </c>
      <c r="N81" s="5" t="s">
        <v>3</v>
      </c>
      <c r="O81" s="5">
        <v>-1</v>
      </c>
      <c r="P81" s="5">
        <f>Source!DM59</f>
        <v>12.880665698880001</v>
      </c>
      <c r="Q81" s="5"/>
      <c r="R81" s="5"/>
      <c r="S81" s="5"/>
      <c r="T81" s="5"/>
      <c r="U81" s="5"/>
      <c r="V81" s="5"/>
      <c r="W81" s="5">
        <v>12.88066569888</v>
      </c>
      <c r="X81" s="5">
        <v>1</v>
      </c>
      <c r="Y81" s="5">
        <v>12.88066569888</v>
      </c>
      <c r="Z81" s="5">
        <v>12.88066569888</v>
      </c>
      <c r="AA81" s="5">
        <v>1</v>
      </c>
      <c r="AB81" s="5">
        <v>12.88066569888</v>
      </c>
    </row>
    <row r="82" spans="1:255" x14ac:dyDescent="0.2">
      <c r="A82" s="5">
        <v>50</v>
      </c>
      <c r="B82" s="5">
        <v>0</v>
      </c>
      <c r="C82" s="5">
        <v>0</v>
      </c>
      <c r="D82" s="5">
        <v>1</v>
      </c>
      <c r="E82" s="5">
        <v>208</v>
      </c>
      <c r="F82" s="5">
        <f>Source!V59</f>
        <v>0</v>
      </c>
      <c r="G82" s="5" t="s">
        <v>145</v>
      </c>
      <c r="H82" s="5" t="s">
        <v>146</v>
      </c>
      <c r="I82" s="5"/>
      <c r="J82" s="5"/>
      <c r="K82" s="5">
        <v>208</v>
      </c>
      <c r="L82" s="5">
        <v>22</v>
      </c>
      <c r="M82" s="5">
        <v>3</v>
      </c>
      <c r="N82" s="5" t="s">
        <v>3</v>
      </c>
      <c r="O82" s="5">
        <v>-1</v>
      </c>
      <c r="P82" s="5">
        <f>Source!DN59</f>
        <v>0</v>
      </c>
      <c r="Q82" s="5"/>
      <c r="R82" s="5"/>
      <c r="S82" s="5"/>
      <c r="T82" s="5"/>
      <c r="U82" s="5"/>
      <c r="V82" s="5"/>
      <c r="W82" s="5">
        <v>0</v>
      </c>
      <c r="X82" s="5">
        <v>1</v>
      </c>
      <c r="Y82" s="5">
        <v>0</v>
      </c>
      <c r="Z82" s="5">
        <v>0</v>
      </c>
      <c r="AA82" s="5">
        <v>1</v>
      </c>
      <c r="AB82" s="5">
        <v>0</v>
      </c>
    </row>
    <row r="83" spans="1:255" x14ac:dyDescent="0.2">
      <c r="A83" s="5">
        <v>50</v>
      </c>
      <c r="B83" s="5">
        <v>0</v>
      </c>
      <c r="C83" s="5">
        <v>0</v>
      </c>
      <c r="D83" s="5">
        <v>1</v>
      </c>
      <c r="E83" s="5">
        <v>209</v>
      </c>
      <c r="F83" s="5">
        <f>ROUND(Source!W59,O83)</f>
        <v>0</v>
      </c>
      <c r="G83" s="5" t="s">
        <v>147</v>
      </c>
      <c r="H83" s="5" t="s">
        <v>148</v>
      </c>
      <c r="I83" s="5"/>
      <c r="J83" s="5"/>
      <c r="K83" s="5">
        <v>209</v>
      </c>
      <c r="L83" s="5">
        <v>23</v>
      </c>
      <c r="M83" s="5">
        <v>3</v>
      </c>
      <c r="N83" s="5" t="s">
        <v>3</v>
      </c>
      <c r="O83" s="5">
        <v>2</v>
      </c>
      <c r="P83" s="5">
        <f>ROUND(Source!DO59,O83)</f>
        <v>0</v>
      </c>
      <c r="Q83" s="5"/>
      <c r="R83" s="5"/>
      <c r="S83" s="5"/>
      <c r="T83" s="5"/>
      <c r="U83" s="5"/>
      <c r="V83" s="5"/>
      <c r="W83" s="5">
        <v>0</v>
      </c>
      <c r="X83" s="5">
        <v>1</v>
      </c>
      <c r="Y83" s="5">
        <v>0</v>
      </c>
      <c r="Z83" s="5">
        <v>0</v>
      </c>
      <c r="AA83" s="5">
        <v>1</v>
      </c>
      <c r="AB83" s="5">
        <v>0</v>
      </c>
    </row>
    <row r="84" spans="1:255" x14ac:dyDescent="0.2">
      <c r="A84" s="5">
        <v>50</v>
      </c>
      <c r="B84" s="5">
        <v>0</v>
      </c>
      <c r="C84" s="5">
        <v>0</v>
      </c>
      <c r="D84" s="5">
        <v>1</v>
      </c>
      <c r="E84" s="5">
        <v>233</v>
      </c>
      <c r="F84" s="5">
        <f>ROUND(Source!BD59,O84)</f>
        <v>0</v>
      </c>
      <c r="G84" s="5" t="s">
        <v>149</v>
      </c>
      <c r="H84" s="5" t="s">
        <v>150</v>
      </c>
      <c r="I84" s="5"/>
      <c r="J84" s="5"/>
      <c r="K84" s="5">
        <v>233</v>
      </c>
      <c r="L84" s="5">
        <v>24</v>
      </c>
      <c r="M84" s="5">
        <v>3</v>
      </c>
      <c r="N84" s="5" t="s">
        <v>3</v>
      </c>
      <c r="O84" s="5">
        <v>2</v>
      </c>
      <c r="P84" s="5">
        <f>ROUND(Source!EV59,O84)</f>
        <v>0</v>
      </c>
      <c r="Q84" s="5"/>
      <c r="R84" s="5"/>
      <c r="S84" s="5"/>
      <c r="T84" s="5"/>
      <c r="U84" s="5"/>
      <c r="V84" s="5"/>
      <c r="W84" s="5">
        <v>0</v>
      </c>
      <c r="X84" s="5">
        <v>1</v>
      </c>
      <c r="Y84" s="5">
        <v>0</v>
      </c>
      <c r="Z84" s="5">
        <v>0</v>
      </c>
      <c r="AA84" s="5">
        <v>1</v>
      </c>
      <c r="AB84" s="5">
        <v>0</v>
      </c>
    </row>
    <row r="85" spans="1:255" x14ac:dyDescent="0.2">
      <c r="A85" s="5">
        <v>50</v>
      </c>
      <c r="B85" s="5">
        <v>0</v>
      </c>
      <c r="C85" s="5">
        <v>0</v>
      </c>
      <c r="D85" s="5">
        <v>1</v>
      </c>
      <c r="E85" s="5">
        <v>210</v>
      </c>
      <c r="F85" s="5">
        <f>ROUND(Source!X59,O85)</f>
        <v>140.34</v>
      </c>
      <c r="G85" s="5" t="s">
        <v>151</v>
      </c>
      <c r="H85" s="5" t="s">
        <v>152</v>
      </c>
      <c r="I85" s="5"/>
      <c r="J85" s="5"/>
      <c r="K85" s="5">
        <v>210</v>
      </c>
      <c r="L85" s="5">
        <v>25</v>
      </c>
      <c r="M85" s="5">
        <v>3</v>
      </c>
      <c r="N85" s="5" t="s">
        <v>3</v>
      </c>
      <c r="O85" s="5">
        <v>2</v>
      </c>
      <c r="P85" s="5">
        <f>ROUND(Source!DP59,O85)</f>
        <v>4023.54</v>
      </c>
      <c r="Q85" s="5"/>
      <c r="R85" s="5"/>
      <c r="S85" s="5"/>
      <c r="T85" s="5"/>
      <c r="U85" s="5"/>
      <c r="V85" s="5"/>
      <c r="W85" s="5">
        <v>140.34</v>
      </c>
      <c r="X85" s="5">
        <v>1</v>
      </c>
      <c r="Y85" s="5">
        <v>140.34</v>
      </c>
      <c r="Z85" s="5">
        <v>4023.54</v>
      </c>
      <c r="AA85" s="5">
        <v>1</v>
      </c>
      <c r="AB85" s="5">
        <v>4023.54</v>
      </c>
    </row>
    <row r="86" spans="1:255" x14ac:dyDescent="0.2">
      <c r="A86" s="5">
        <v>50</v>
      </c>
      <c r="B86" s="5">
        <v>0</v>
      </c>
      <c r="C86" s="5">
        <v>0</v>
      </c>
      <c r="D86" s="5">
        <v>1</v>
      </c>
      <c r="E86" s="5">
        <v>211</v>
      </c>
      <c r="F86" s="5">
        <f>ROUND(Source!Y59,O86)</f>
        <v>103.04</v>
      </c>
      <c r="G86" s="5" t="s">
        <v>153</v>
      </c>
      <c r="H86" s="5" t="s">
        <v>154</v>
      </c>
      <c r="I86" s="5"/>
      <c r="J86" s="5"/>
      <c r="K86" s="5">
        <v>211</v>
      </c>
      <c r="L86" s="5">
        <v>26</v>
      </c>
      <c r="M86" s="5">
        <v>3</v>
      </c>
      <c r="N86" s="5" t="s">
        <v>3</v>
      </c>
      <c r="O86" s="5">
        <v>2</v>
      </c>
      <c r="P86" s="5">
        <f>ROUND(Source!DQ59,O86)</f>
        <v>1901.68</v>
      </c>
      <c r="Q86" s="5"/>
      <c r="R86" s="5"/>
      <c r="S86" s="5"/>
      <c r="T86" s="5"/>
      <c r="U86" s="5"/>
      <c r="V86" s="5"/>
      <c r="W86" s="5">
        <v>103.04</v>
      </c>
      <c r="X86" s="5">
        <v>1</v>
      </c>
      <c r="Y86" s="5">
        <v>103.04</v>
      </c>
      <c r="Z86" s="5">
        <v>1901.68</v>
      </c>
      <c r="AA86" s="5">
        <v>1</v>
      </c>
      <c r="AB86" s="5">
        <v>1901.68</v>
      </c>
    </row>
    <row r="87" spans="1:255" x14ac:dyDescent="0.2">
      <c r="A87" s="5">
        <v>50</v>
      </c>
      <c r="B87" s="5">
        <v>0</v>
      </c>
      <c r="C87" s="5">
        <v>0</v>
      </c>
      <c r="D87" s="5">
        <v>1</v>
      </c>
      <c r="E87" s="5">
        <v>224</v>
      </c>
      <c r="F87" s="5">
        <f>ROUND(Source!AR59,O87)</f>
        <v>532.41999999999996</v>
      </c>
      <c r="G87" s="5" t="s">
        <v>155</v>
      </c>
      <c r="H87" s="5" t="s">
        <v>156</v>
      </c>
      <c r="I87" s="5"/>
      <c r="J87" s="5"/>
      <c r="K87" s="5">
        <v>224</v>
      </c>
      <c r="L87" s="5">
        <v>27</v>
      </c>
      <c r="M87" s="5">
        <v>3</v>
      </c>
      <c r="N87" s="5" t="s">
        <v>3</v>
      </c>
      <c r="O87" s="5">
        <v>2</v>
      </c>
      <c r="P87" s="5">
        <f>ROUND(Source!EJ59,O87)</f>
        <v>12873.59</v>
      </c>
      <c r="Q87" s="5"/>
      <c r="R87" s="5"/>
      <c r="S87" s="5"/>
      <c r="T87" s="5"/>
      <c r="U87" s="5"/>
      <c r="V87" s="5"/>
      <c r="W87" s="5">
        <v>532.41999999999996</v>
      </c>
      <c r="X87" s="5">
        <v>1</v>
      </c>
      <c r="Y87" s="5">
        <v>532.41999999999996</v>
      </c>
      <c r="Z87" s="5">
        <v>12873.59</v>
      </c>
      <c r="AA87" s="5">
        <v>1</v>
      </c>
      <c r="AB87" s="5">
        <v>12873.59</v>
      </c>
    </row>
    <row r="89" spans="1:255" x14ac:dyDescent="0.2">
      <c r="A89" s="1">
        <v>4</v>
      </c>
      <c r="B89" s="1">
        <v>1</v>
      </c>
      <c r="C89" s="1"/>
      <c r="D89" s="1">
        <f>ROW(A148)</f>
        <v>148</v>
      </c>
      <c r="E89" s="1"/>
      <c r="F89" s="1" t="s">
        <v>15</v>
      </c>
      <c r="G89" s="1" t="s">
        <v>157</v>
      </c>
      <c r="H89" s="1" t="s">
        <v>3</v>
      </c>
      <c r="I89" s="1">
        <v>0</v>
      </c>
      <c r="J89" s="1"/>
      <c r="K89" s="1">
        <v>-1</v>
      </c>
      <c r="L89" s="1"/>
      <c r="M89" s="1" t="s">
        <v>3</v>
      </c>
      <c r="N89" s="1"/>
      <c r="O89" s="1"/>
      <c r="P89" s="1"/>
      <c r="Q89" s="1"/>
      <c r="R89" s="1"/>
      <c r="S89" s="1">
        <v>0</v>
      </c>
      <c r="T89" s="1">
        <v>0</v>
      </c>
      <c r="U89" s="1" t="s">
        <v>3</v>
      </c>
      <c r="V89" s="1">
        <v>0</v>
      </c>
      <c r="W89" s="1"/>
      <c r="X89" s="1"/>
      <c r="Y89" s="1"/>
      <c r="Z89" s="1"/>
      <c r="AA89" s="1"/>
      <c r="AB89" s="1" t="s">
        <v>3</v>
      </c>
      <c r="AC89" s="1" t="s">
        <v>3</v>
      </c>
      <c r="AD89" s="1" t="s">
        <v>3</v>
      </c>
      <c r="AE89" s="1" t="s">
        <v>3</v>
      </c>
      <c r="AF89" s="1" t="s">
        <v>3</v>
      </c>
      <c r="AG89" s="1" t="s">
        <v>3</v>
      </c>
      <c r="AH89" s="1"/>
      <c r="AI89" s="1"/>
      <c r="AJ89" s="1"/>
      <c r="AK89" s="1"/>
      <c r="AL89" s="1"/>
      <c r="AM89" s="1"/>
      <c r="AN89" s="1"/>
      <c r="AO89" s="1"/>
      <c r="AP89" s="1" t="s">
        <v>3</v>
      </c>
      <c r="AQ89" s="1" t="s">
        <v>3</v>
      </c>
      <c r="AR89" s="1" t="s">
        <v>3</v>
      </c>
      <c r="AS89" s="1"/>
      <c r="AT89" s="1"/>
      <c r="AU89" s="1"/>
      <c r="AV89" s="1"/>
      <c r="AW89" s="1"/>
      <c r="AX89" s="1"/>
      <c r="AY89" s="1"/>
      <c r="AZ89" s="1" t="s">
        <v>3</v>
      </c>
      <c r="BA89" s="1"/>
      <c r="BB89" s="1" t="s">
        <v>3</v>
      </c>
      <c r="BC89" s="1" t="s">
        <v>3</v>
      </c>
      <c r="BD89" s="1" t="s">
        <v>3</v>
      </c>
      <c r="BE89" s="1" t="s">
        <v>3</v>
      </c>
      <c r="BF89" s="1" t="s">
        <v>3</v>
      </c>
      <c r="BG89" s="1" t="s">
        <v>3</v>
      </c>
      <c r="BH89" s="1" t="s">
        <v>3</v>
      </c>
      <c r="BI89" s="1" t="s">
        <v>3</v>
      </c>
      <c r="BJ89" s="1" t="s">
        <v>3</v>
      </c>
      <c r="BK89" s="1" t="s">
        <v>3</v>
      </c>
      <c r="BL89" s="1" t="s">
        <v>3</v>
      </c>
      <c r="BM89" s="1" t="s">
        <v>3</v>
      </c>
      <c r="BN89" s="1" t="s">
        <v>3</v>
      </c>
      <c r="BO89" s="1" t="s">
        <v>3</v>
      </c>
      <c r="BP89" s="1" t="s">
        <v>3</v>
      </c>
      <c r="BQ89" s="1"/>
      <c r="BR89" s="1"/>
      <c r="BS89" s="1"/>
      <c r="BT89" s="1"/>
      <c r="BU89" s="1"/>
      <c r="BV89" s="1"/>
      <c r="BW89" s="1"/>
      <c r="BX89" s="1">
        <v>0</v>
      </c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>
        <v>0</v>
      </c>
    </row>
    <row r="91" spans="1:255" x14ac:dyDescent="0.2">
      <c r="A91" s="3">
        <v>52</v>
      </c>
      <c r="B91" s="3">
        <f t="shared" ref="B91:G91" si="62">B148</f>
        <v>1</v>
      </c>
      <c r="C91" s="3">
        <f t="shared" si="62"/>
        <v>4</v>
      </c>
      <c r="D91" s="3">
        <f t="shared" si="62"/>
        <v>89</v>
      </c>
      <c r="E91" s="3">
        <f t="shared" si="62"/>
        <v>0</v>
      </c>
      <c r="F91" s="3" t="str">
        <f t="shared" si="62"/>
        <v>Новый раздел</v>
      </c>
      <c r="G91" s="3" t="str">
        <f t="shared" si="62"/>
        <v>Монтажные работы</v>
      </c>
      <c r="H91" s="3"/>
      <c r="I91" s="3"/>
      <c r="J91" s="3"/>
      <c r="K91" s="3"/>
      <c r="L91" s="3"/>
      <c r="M91" s="3"/>
      <c r="N91" s="3"/>
      <c r="O91" s="3">
        <f t="shared" ref="O91:AT91" si="63">O148</f>
        <v>27092.85</v>
      </c>
      <c r="P91" s="3">
        <f t="shared" si="63"/>
        <v>26124.11</v>
      </c>
      <c r="Q91" s="3">
        <f t="shared" si="63"/>
        <v>400.9</v>
      </c>
      <c r="R91" s="3">
        <f t="shared" si="63"/>
        <v>56.53</v>
      </c>
      <c r="S91" s="3">
        <f t="shared" si="63"/>
        <v>567.84</v>
      </c>
      <c r="T91" s="3">
        <f t="shared" si="63"/>
        <v>0</v>
      </c>
      <c r="U91" s="3">
        <f t="shared" si="63"/>
        <v>46.373099119599999</v>
      </c>
      <c r="V91" s="3">
        <f t="shared" si="63"/>
        <v>0</v>
      </c>
      <c r="W91" s="3">
        <f t="shared" si="63"/>
        <v>0</v>
      </c>
      <c r="X91" s="3">
        <f t="shared" si="63"/>
        <v>635.96</v>
      </c>
      <c r="Y91" s="3">
        <f t="shared" si="63"/>
        <v>397.5</v>
      </c>
      <c r="Z91" s="3">
        <f t="shared" si="63"/>
        <v>0</v>
      </c>
      <c r="AA91" s="3">
        <f t="shared" si="63"/>
        <v>0</v>
      </c>
      <c r="AB91" s="3">
        <f t="shared" si="63"/>
        <v>27092.85</v>
      </c>
      <c r="AC91" s="3">
        <f t="shared" si="63"/>
        <v>26124.11</v>
      </c>
      <c r="AD91" s="3">
        <f t="shared" si="63"/>
        <v>400.9</v>
      </c>
      <c r="AE91" s="3">
        <f t="shared" si="63"/>
        <v>56.53</v>
      </c>
      <c r="AF91" s="3">
        <f t="shared" si="63"/>
        <v>567.84</v>
      </c>
      <c r="AG91" s="3">
        <f t="shared" si="63"/>
        <v>0</v>
      </c>
      <c r="AH91" s="3">
        <f t="shared" si="63"/>
        <v>46.373099119599999</v>
      </c>
      <c r="AI91" s="3">
        <f t="shared" si="63"/>
        <v>0</v>
      </c>
      <c r="AJ91" s="3">
        <f t="shared" si="63"/>
        <v>0</v>
      </c>
      <c r="AK91" s="3">
        <f t="shared" si="63"/>
        <v>635.96</v>
      </c>
      <c r="AL91" s="3">
        <f t="shared" si="63"/>
        <v>397.5</v>
      </c>
      <c r="AM91" s="3">
        <f t="shared" si="63"/>
        <v>0</v>
      </c>
      <c r="AN91" s="3">
        <f t="shared" si="63"/>
        <v>0</v>
      </c>
      <c r="AO91" s="3">
        <f t="shared" si="63"/>
        <v>0</v>
      </c>
      <c r="AP91" s="3">
        <f t="shared" si="63"/>
        <v>0</v>
      </c>
      <c r="AQ91" s="3">
        <f t="shared" si="63"/>
        <v>0</v>
      </c>
      <c r="AR91" s="3">
        <f t="shared" si="63"/>
        <v>28225.24</v>
      </c>
      <c r="AS91" s="3">
        <f t="shared" si="63"/>
        <v>443.06</v>
      </c>
      <c r="AT91" s="3">
        <f t="shared" si="63"/>
        <v>27782.18</v>
      </c>
      <c r="AU91" s="3">
        <f t="shared" ref="AU91:BZ91" si="64">AU148</f>
        <v>0</v>
      </c>
      <c r="AV91" s="3">
        <f t="shared" si="64"/>
        <v>26124.11</v>
      </c>
      <c r="AW91" s="3">
        <f t="shared" si="64"/>
        <v>26124.11</v>
      </c>
      <c r="AX91" s="3">
        <f t="shared" si="64"/>
        <v>0</v>
      </c>
      <c r="AY91" s="3">
        <f t="shared" si="64"/>
        <v>26124.11</v>
      </c>
      <c r="AZ91" s="3">
        <f t="shared" si="64"/>
        <v>0</v>
      </c>
      <c r="BA91" s="3">
        <f t="shared" si="64"/>
        <v>0</v>
      </c>
      <c r="BB91" s="3">
        <f t="shared" si="64"/>
        <v>0</v>
      </c>
      <c r="BC91" s="3">
        <f t="shared" si="64"/>
        <v>0</v>
      </c>
      <c r="BD91" s="3">
        <f t="shared" si="64"/>
        <v>0</v>
      </c>
      <c r="BE91" s="3">
        <f t="shared" si="64"/>
        <v>0</v>
      </c>
      <c r="BF91" s="3">
        <f t="shared" si="64"/>
        <v>0</v>
      </c>
      <c r="BG91" s="3">
        <f t="shared" si="64"/>
        <v>0</v>
      </c>
      <c r="BH91" s="3">
        <f t="shared" si="64"/>
        <v>0</v>
      </c>
      <c r="BI91" s="3">
        <f t="shared" si="64"/>
        <v>0</v>
      </c>
      <c r="BJ91" s="3">
        <f t="shared" si="64"/>
        <v>0</v>
      </c>
      <c r="BK91" s="3">
        <f t="shared" si="64"/>
        <v>0</v>
      </c>
      <c r="BL91" s="3">
        <f t="shared" si="64"/>
        <v>0</v>
      </c>
      <c r="BM91" s="3">
        <f t="shared" si="64"/>
        <v>0</v>
      </c>
      <c r="BN91" s="3">
        <f t="shared" si="64"/>
        <v>0</v>
      </c>
      <c r="BO91" s="3">
        <f t="shared" si="64"/>
        <v>0</v>
      </c>
      <c r="BP91" s="3">
        <f t="shared" si="64"/>
        <v>0</v>
      </c>
      <c r="BQ91" s="3">
        <f t="shared" si="64"/>
        <v>0</v>
      </c>
      <c r="BR91" s="3">
        <f t="shared" si="64"/>
        <v>0</v>
      </c>
      <c r="BS91" s="3">
        <f t="shared" si="64"/>
        <v>0</v>
      </c>
      <c r="BT91" s="3">
        <f t="shared" si="64"/>
        <v>0</v>
      </c>
      <c r="BU91" s="3">
        <f t="shared" si="64"/>
        <v>0</v>
      </c>
      <c r="BV91" s="3">
        <f t="shared" si="64"/>
        <v>0</v>
      </c>
      <c r="BW91" s="3">
        <f t="shared" si="64"/>
        <v>0</v>
      </c>
      <c r="BX91" s="3">
        <f t="shared" si="64"/>
        <v>0</v>
      </c>
      <c r="BY91" s="3">
        <f t="shared" si="64"/>
        <v>0</v>
      </c>
      <c r="BZ91" s="3">
        <f t="shared" si="64"/>
        <v>0</v>
      </c>
      <c r="CA91" s="3">
        <f t="shared" ref="CA91:DF91" si="65">CA148</f>
        <v>28225.24</v>
      </c>
      <c r="CB91" s="3">
        <f t="shared" si="65"/>
        <v>443.06</v>
      </c>
      <c r="CC91" s="3">
        <f t="shared" si="65"/>
        <v>27782.18</v>
      </c>
      <c r="CD91" s="3">
        <f t="shared" si="65"/>
        <v>0</v>
      </c>
      <c r="CE91" s="3">
        <f t="shared" si="65"/>
        <v>26124.11</v>
      </c>
      <c r="CF91" s="3">
        <f t="shared" si="65"/>
        <v>26124.11</v>
      </c>
      <c r="CG91" s="3">
        <f t="shared" si="65"/>
        <v>0</v>
      </c>
      <c r="CH91" s="3">
        <f t="shared" si="65"/>
        <v>26124.11</v>
      </c>
      <c r="CI91" s="3">
        <f t="shared" si="65"/>
        <v>0</v>
      </c>
      <c r="CJ91" s="3">
        <f t="shared" si="65"/>
        <v>0</v>
      </c>
      <c r="CK91" s="3">
        <f t="shared" si="65"/>
        <v>0</v>
      </c>
      <c r="CL91" s="3">
        <f t="shared" si="65"/>
        <v>0</v>
      </c>
      <c r="CM91" s="3">
        <f t="shared" si="65"/>
        <v>0</v>
      </c>
      <c r="CN91" s="3">
        <f t="shared" si="65"/>
        <v>0</v>
      </c>
      <c r="CO91" s="3">
        <f t="shared" si="65"/>
        <v>0</v>
      </c>
      <c r="CP91" s="3">
        <f t="shared" si="65"/>
        <v>0</v>
      </c>
      <c r="CQ91" s="3">
        <f t="shared" si="65"/>
        <v>0</v>
      </c>
      <c r="CR91" s="3">
        <f t="shared" si="65"/>
        <v>0</v>
      </c>
      <c r="CS91" s="3">
        <f t="shared" si="65"/>
        <v>0</v>
      </c>
      <c r="CT91" s="3">
        <f t="shared" si="65"/>
        <v>0</v>
      </c>
      <c r="CU91" s="3">
        <f t="shared" si="65"/>
        <v>0</v>
      </c>
      <c r="CV91" s="3">
        <f t="shared" si="65"/>
        <v>0</v>
      </c>
      <c r="CW91" s="3">
        <f t="shared" si="65"/>
        <v>0</v>
      </c>
      <c r="CX91" s="3">
        <f t="shared" si="65"/>
        <v>0</v>
      </c>
      <c r="CY91" s="3">
        <f t="shared" si="65"/>
        <v>0</v>
      </c>
      <c r="CZ91" s="3">
        <f t="shared" si="65"/>
        <v>0</v>
      </c>
      <c r="DA91" s="3">
        <f t="shared" si="65"/>
        <v>0</v>
      </c>
      <c r="DB91" s="3">
        <f t="shared" si="65"/>
        <v>0</v>
      </c>
      <c r="DC91" s="3">
        <f t="shared" si="65"/>
        <v>0</v>
      </c>
      <c r="DD91" s="3">
        <f t="shared" si="65"/>
        <v>0</v>
      </c>
      <c r="DE91" s="3">
        <f t="shared" si="65"/>
        <v>0</v>
      </c>
      <c r="DF91" s="3">
        <f t="shared" si="65"/>
        <v>0</v>
      </c>
      <c r="DG91" s="4">
        <f t="shared" ref="DG91:EL91" si="66">DG148</f>
        <v>233095.67999999999</v>
      </c>
      <c r="DH91" s="4">
        <f t="shared" si="66"/>
        <v>208462.94</v>
      </c>
      <c r="DI91" s="4">
        <f t="shared" si="66"/>
        <v>5036.58</v>
      </c>
      <c r="DJ91" s="4">
        <f t="shared" si="66"/>
        <v>1950.85</v>
      </c>
      <c r="DK91" s="4">
        <f t="shared" si="66"/>
        <v>19596.16</v>
      </c>
      <c r="DL91" s="4">
        <f t="shared" si="66"/>
        <v>0</v>
      </c>
      <c r="DM91" s="4">
        <f t="shared" si="66"/>
        <v>46.373099119599999</v>
      </c>
      <c r="DN91" s="4">
        <f t="shared" si="66"/>
        <v>0</v>
      </c>
      <c r="DO91" s="4">
        <f t="shared" si="66"/>
        <v>0</v>
      </c>
      <c r="DP91" s="4">
        <f t="shared" si="66"/>
        <v>18028.45</v>
      </c>
      <c r="DQ91" s="4">
        <f t="shared" si="66"/>
        <v>8426.36</v>
      </c>
      <c r="DR91" s="4">
        <f t="shared" si="66"/>
        <v>0</v>
      </c>
      <c r="DS91" s="4">
        <f t="shared" si="66"/>
        <v>0</v>
      </c>
      <c r="DT91" s="4">
        <f t="shared" si="66"/>
        <v>233095.67999999999</v>
      </c>
      <c r="DU91" s="4">
        <f t="shared" si="66"/>
        <v>208462.94</v>
      </c>
      <c r="DV91" s="4">
        <f t="shared" si="66"/>
        <v>5036.58</v>
      </c>
      <c r="DW91" s="4">
        <f t="shared" si="66"/>
        <v>1950.85</v>
      </c>
      <c r="DX91" s="4">
        <f t="shared" si="66"/>
        <v>19596.16</v>
      </c>
      <c r="DY91" s="4">
        <f t="shared" si="66"/>
        <v>0</v>
      </c>
      <c r="DZ91" s="4">
        <f t="shared" si="66"/>
        <v>46.373099119599999</v>
      </c>
      <c r="EA91" s="4">
        <f t="shared" si="66"/>
        <v>0</v>
      </c>
      <c r="EB91" s="4">
        <f t="shared" si="66"/>
        <v>0</v>
      </c>
      <c r="EC91" s="4">
        <f t="shared" si="66"/>
        <v>18028.45</v>
      </c>
      <c r="ED91" s="4">
        <f t="shared" si="66"/>
        <v>8426.36</v>
      </c>
      <c r="EE91" s="4">
        <f t="shared" si="66"/>
        <v>0</v>
      </c>
      <c r="EF91" s="4">
        <f t="shared" si="66"/>
        <v>0</v>
      </c>
      <c r="EG91" s="4">
        <f t="shared" si="66"/>
        <v>0</v>
      </c>
      <c r="EH91" s="4">
        <f t="shared" si="66"/>
        <v>0</v>
      </c>
      <c r="EI91" s="4">
        <f t="shared" si="66"/>
        <v>0</v>
      </c>
      <c r="EJ91" s="4">
        <f t="shared" si="66"/>
        <v>262671.84999999998</v>
      </c>
      <c r="EK91" s="4">
        <f t="shared" si="66"/>
        <v>3407.13</v>
      </c>
      <c r="EL91" s="4">
        <f t="shared" si="66"/>
        <v>259264.72</v>
      </c>
      <c r="EM91" s="4">
        <f t="shared" ref="EM91:FR91" si="67">EM148</f>
        <v>0</v>
      </c>
      <c r="EN91" s="4">
        <f t="shared" si="67"/>
        <v>208462.94</v>
      </c>
      <c r="EO91" s="4">
        <f t="shared" si="67"/>
        <v>208462.94</v>
      </c>
      <c r="EP91" s="4">
        <f t="shared" si="67"/>
        <v>0</v>
      </c>
      <c r="EQ91" s="4">
        <f t="shared" si="67"/>
        <v>208462.94</v>
      </c>
      <c r="ER91" s="4">
        <f t="shared" si="67"/>
        <v>0</v>
      </c>
      <c r="ES91" s="4">
        <f t="shared" si="67"/>
        <v>0</v>
      </c>
      <c r="ET91" s="4">
        <f t="shared" si="67"/>
        <v>0</v>
      </c>
      <c r="EU91" s="4">
        <f t="shared" si="67"/>
        <v>0</v>
      </c>
      <c r="EV91" s="4">
        <f t="shared" si="67"/>
        <v>0</v>
      </c>
      <c r="EW91" s="4">
        <f t="shared" si="67"/>
        <v>0</v>
      </c>
      <c r="EX91" s="4">
        <f t="shared" si="67"/>
        <v>0</v>
      </c>
      <c r="EY91" s="4">
        <f t="shared" si="67"/>
        <v>0</v>
      </c>
      <c r="EZ91" s="4">
        <f t="shared" si="67"/>
        <v>0</v>
      </c>
      <c r="FA91" s="4">
        <f t="shared" si="67"/>
        <v>0</v>
      </c>
      <c r="FB91" s="4">
        <f t="shared" si="67"/>
        <v>0</v>
      </c>
      <c r="FC91" s="4">
        <f t="shared" si="67"/>
        <v>0</v>
      </c>
      <c r="FD91" s="4">
        <f t="shared" si="67"/>
        <v>0</v>
      </c>
      <c r="FE91" s="4">
        <f t="shared" si="67"/>
        <v>0</v>
      </c>
      <c r="FF91" s="4">
        <f t="shared" si="67"/>
        <v>0</v>
      </c>
      <c r="FG91" s="4">
        <f t="shared" si="67"/>
        <v>0</v>
      </c>
      <c r="FH91" s="4">
        <f t="shared" si="67"/>
        <v>0</v>
      </c>
      <c r="FI91" s="4">
        <f t="shared" si="67"/>
        <v>0</v>
      </c>
      <c r="FJ91" s="4">
        <f t="shared" si="67"/>
        <v>0</v>
      </c>
      <c r="FK91" s="4">
        <f t="shared" si="67"/>
        <v>0</v>
      </c>
      <c r="FL91" s="4">
        <f t="shared" si="67"/>
        <v>0</v>
      </c>
      <c r="FM91" s="4">
        <f t="shared" si="67"/>
        <v>0</v>
      </c>
      <c r="FN91" s="4">
        <f t="shared" si="67"/>
        <v>0</v>
      </c>
      <c r="FO91" s="4">
        <f t="shared" si="67"/>
        <v>0</v>
      </c>
      <c r="FP91" s="4">
        <f t="shared" si="67"/>
        <v>0</v>
      </c>
      <c r="FQ91" s="4">
        <f t="shared" si="67"/>
        <v>0</v>
      </c>
      <c r="FR91" s="4">
        <f t="shared" si="67"/>
        <v>0</v>
      </c>
      <c r="FS91" s="4">
        <f t="shared" ref="FS91:GX91" si="68">FS148</f>
        <v>262671.84999999998</v>
      </c>
      <c r="FT91" s="4">
        <f t="shared" si="68"/>
        <v>3407.13</v>
      </c>
      <c r="FU91" s="4">
        <f t="shared" si="68"/>
        <v>259264.72</v>
      </c>
      <c r="FV91" s="4">
        <f t="shared" si="68"/>
        <v>0</v>
      </c>
      <c r="FW91" s="4">
        <f t="shared" si="68"/>
        <v>208462.94</v>
      </c>
      <c r="FX91" s="4">
        <f t="shared" si="68"/>
        <v>208462.94</v>
      </c>
      <c r="FY91" s="4">
        <f t="shared" si="68"/>
        <v>0</v>
      </c>
      <c r="FZ91" s="4">
        <f t="shared" si="68"/>
        <v>208462.94</v>
      </c>
      <c r="GA91" s="4">
        <f t="shared" si="68"/>
        <v>0</v>
      </c>
      <c r="GB91" s="4">
        <f t="shared" si="68"/>
        <v>0</v>
      </c>
      <c r="GC91" s="4">
        <f t="shared" si="68"/>
        <v>0</v>
      </c>
      <c r="GD91" s="4">
        <f t="shared" si="68"/>
        <v>0</v>
      </c>
      <c r="GE91" s="4">
        <f t="shared" si="68"/>
        <v>0</v>
      </c>
      <c r="GF91" s="4">
        <f t="shared" si="68"/>
        <v>0</v>
      </c>
      <c r="GG91" s="4">
        <f t="shared" si="68"/>
        <v>0</v>
      </c>
      <c r="GH91" s="4">
        <f t="shared" si="68"/>
        <v>0</v>
      </c>
      <c r="GI91" s="4">
        <f t="shared" si="68"/>
        <v>0</v>
      </c>
      <c r="GJ91" s="4">
        <f t="shared" si="68"/>
        <v>0</v>
      </c>
      <c r="GK91" s="4">
        <f t="shared" si="68"/>
        <v>0</v>
      </c>
      <c r="GL91" s="4">
        <f t="shared" si="68"/>
        <v>0</v>
      </c>
      <c r="GM91" s="4">
        <f t="shared" si="68"/>
        <v>0</v>
      </c>
      <c r="GN91" s="4">
        <f t="shared" si="68"/>
        <v>0</v>
      </c>
      <c r="GO91" s="4">
        <f t="shared" si="68"/>
        <v>0</v>
      </c>
      <c r="GP91" s="4">
        <f t="shared" si="68"/>
        <v>0</v>
      </c>
      <c r="GQ91" s="4">
        <f t="shared" si="68"/>
        <v>0</v>
      </c>
      <c r="GR91" s="4">
        <f t="shared" si="68"/>
        <v>0</v>
      </c>
      <c r="GS91" s="4">
        <f t="shared" si="68"/>
        <v>0</v>
      </c>
      <c r="GT91" s="4">
        <f t="shared" si="68"/>
        <v>0</v>
      </c>
      <c r="GU91" s="4">
        <f t="shared" si="68"/>
        <v>0</v>
      </c>
      <c r="GV91" s="4">
        <f t="shared" si="68"/>
        <v>0</v>
      </c>
      <c r="GW91" s="4">
        <f t="shared" si="68"/>
        <v>0</v>
      </c>
      <c r="GX91" s="4">
        <f t="shared" si="68"/>
        <v>0</v>
      </c>
    </row>
    <row r="93" spans="1:255" x14ac:dyDescent="0.2">
      <c r="A93" s="2">
        <v>17</v>
      </c>
      <c r="B93" s="2">
        <v>1</v>
      </c>
      <c r="C93" s="2"/>
      <c r="D93" s="2">
        <f>ROW(EtalonRes!A71)</f>
        <v>71</v>
      </c>
      <c r="E93" s="2" t="s">
        <v>158</v>
      </c>
      <c r="F93" s="2" t="s">
        <v>159</v>
      </c>
      <c r="G93" s="2" t="s">
        <v>160</v>
      </c>
      <c r="H93" s="2" t="s">
        <v>161</v>
      </c>
      <c r="I93" s="2">
        <f>ROUND(25.5/100*0.3,9)</f>
        <v>7.6499999999999999E-2</v>
      </c>
      <c r="J93" s="2">
        <v>0</v>
      </c>
      <c r="K93" s="2">
        <f>ROUND(25.5/100*0.3,9)</f>
        <v>7.6499999999999999E-2</v>
      </c>
      <c r="L93" s="2"/>
      <c r="M93" s="2"/>
      <c r="N93" s="2"/>
      <c r="O93" s="2">
        <f t="shared" ref="O93:O124" si="69">ROUND(CP93,2)</f>
        <v>46.76</v>
      </c>
      <c r="P93" s="2">
        <f t="shared" ref="P93:P124" si="70">ROUND((ROUND((AC93*AW93*I93),2)*BC93),2)</f>
        <v>0</v>
      </c>
      <c r="Q93" s="2">
        <f>(ROUND((ROUND(((((ET93*1.05)*1.2))*AV93*I93),2)*BB93),2)+ROUND((ROUND(((AE93-(((EU93*1.05)*1.2)))*AV93*I93),2)*BS93),2))</f>
        <v>39.06</v>
      </c>
      <c r="R93" s="2">
        <f t="shared" ref="R93:R124" si="71">ROUND((ROUND((AE93*AV93*I93),2)*BS93),2)</f>
        <v>5.93</v>
      </c>
      <c r="S93" s="2">
        <f t="shared" ref="S93:S124" si="72">ROUND((ROUND((AF93*AV93*I93),2)*BA93),2)</f>
        <v>7.7</v>
      </c>
      <c r="T93" s="2">
        <f t="shared" ref="T93:T124" si="73">ROUND(CU93*I93,2)</f>
        <v>0</v>
      </c>
      <c r="U93" s="2">
        <f t="shared" ref="U93:U124" si="74">CV93*I93</f>
        <v>0.62531663039999996</v>
      </c>
      <c r="V93" s="2">
        <f t="shared" ref="V93:V124" si="75">CW93*I93</f>
        <v>0</v>
      </c>
      <c r="W93" s="2">
        <f t="shared" ref="W93:W124" si="76">ROUND(CX93*I93,2)</f>
        <v>0</v>
      </c>
      <c r="X93" s="2">
        <f t="shared" ref="X93:X124" si="77">ROUND(CY93,2)</f>
        <v>8.6199999999999992</v>
      </c>
      <c r="Y93" s="2">
        <f t="shared" ref="Y93:Y124" si="78">ROUND(CZ93,2)</f>
        <v>5.39</v>
      </c>
      <c r="Z93" s="2"/>
      <c r="AA93" s="2">
        <v>56622490</v>
      </c>
      <c r="AB93" s="2">
        <f t="shared" ref="AB93:AB124" si="79">ROUND((AC93+AD93+AF93),6)</f>
        <v>572.89679999999998</v>
      </c>
      <c r="AC93" s="2">
        <f>ROUND(((ES93*1)),6)</f>
        <v>0</v>
      </c>
      <c r="AD93" s="2">
        <f>ROUND((((((ET93*1.05)*1.2))-(((EU93*1.05)*1.2)))+AE93),6)</f>
        <v>478.5102</v>
      </c>
      <c r="AE93" s="2">
        <f>ROUND((((EU93*1.05)*1.2)),6)</f>
        <v>72.664199999999994</v>
      </c>
      <c r="AF93" s="2">
        <f>ROUND((((EV93*1.05)*1.2)),6)</f>
        <v>94.386600000000001</v>
      </c>
      <c r="AG93" s="2">
        <f t="shared" ref="AG93:AG124" si="80">ROUND((AP93),6)</f>
        <v>0</v>
      </c>
      <c r="AH93" s="2">
        <f>(((EW93*1.05)*1.2))</f>
        <v>7.6608000000000001</v>
      </c>
      <c r="AI93" s="2">
        <f>(((EX93*1.05)*1.2))</f>
        <v>0</v>
      </c>
      <c r="AJ93" s="2">
        <f t="shared" ref="AJ93:AJ124" si="81">(AS93)</f>
        <v>0</v>
      </c>
      <c r="AK93" s="2">
        <v>454.68</v>
      </c>
      <c r="AL93" s="2">
        <v>0</v>
      </c>
      <c r="AM93" s="2">
        <v>379.77</v>
      </c>
      <c r="AN93" s="2">
        <v>57.67</v>
      </c>
      <c r="AO93" s="2">
        <v>74.91</v>
      </c>
      <c r="AP93" s="2">
        <v>0</v>
      </c>
      <c r="AQ93" s="2">
        <v>6.08</v>
      </c>
      <c r="AR93" s="2">
        <v>0</v>
      </c>
      <c r="AS93" s="2">
        <v>0</v>
      </c>
      <c r="AT93" s="2">
        <v>112</v>
      </c>
      <c r="AU93" s="2">
        <v>70</v>
      </c>
      <c r="AV93" s="2">
        <v>1.0669999999999999</v>
      </c>
      <c r="AW93" s="2">
        <v>1.081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0</v>
      </c>
      <c r="BI93" s="2">
        <v>2</v>
      </c>
      <c r="BJ93" s="2" t="s">
        <v>162</v>
      </c>
      <c r="BK93" s="2"/>
      <c r="BL93" s="2"/>
      <c r="BM93" s="2">
        <v>318</v>
      </c>
      <c r="BN93" s="2">
        <v>0</v>
      </c>
      <c r="BO93" s="2" t="s">
        <v>3</v>
      </c>
      <c r="BP93" s="2">
        <v>0</v>
      </c>
      <c r="BQ93" s="2">
        <v>40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112</v>
      </c>
      <c r="CA93" s="2">
        <v>70</v>
      </c>
      <c r="CB93" s="2" t="s">
        <v>3</v>
      </c>
      <c r="CC93" s="2"/>
      <c r="CD93" s="2"/>
      <c r="CE93" s="2">
        <v>30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2" t="s">
        <v>710</v>
      </c>
      <c r="CO93" s="2">
        <v>0</v>
      </c>
      <c r="CP93" s="2">
        <f t="shared" ref="CP93:CP124" si="82">(P93+Q93+S93)</f>
        <v>46.760000000000005</v>
      </c>
      <c r="CQ93" s="2">
        <f t="shared" ref="CQ93:CQ124" si="83">ROUND((ROUND((AC93*AW93*1),2)*BC93),2)</f>
        <v>0</v>
      </c>
      <c r="CR93" s="2">
        <f>(ROUND((ROUND(((((ET93*1.05)*1.2))*AV93*1),2)*BB93),2)+ROUND((ROUND(((AE93-(((EU93*1.05)*1.2)))*AV93*1),2)*BS93),2))</f>
        <v>510.57</v>
      </c>
      <c r="CS93" s="2">
        <f t="shared" ref="CS93:CS124" si="84">ROUND((ROUND((AE93*AV93*1),2)*BS93),2)</f>
        <v>77.53</v>
      </c>
      <c r="CT93" s="2">
        <f t="shared" ref="CT93:CT124" si="85">ROUND((ROUND((AF93*AV93*1),2)*BA93),2)</f>
        <v>100.71</v>
      </c>
      <c r="CU93" s="2">
        <f t="shared" ref="CU93:CU124" si="86">AG93</f>
        <v>0</v>
      </c>
      <c r="CV93" s="2">
        <f t="shared" ref="CV93:CV124" si="87">(AH93*AV93)</f>
        <v>8.1740735999999998</v>
      </c>
      <c r="CW93" s="2">
        <f t="shared" ref="CW93:CW124" si="88">AI93</f>
        <v>0</v>
      </c>
      <c r="CX93" s="2">
        <f t="shared" ref="CX93:CX124" si="89">AJ93</f>
        <v>0</v>
      </c>
      <c r="CY93" s="2">
        <f>((S93*BZ93)/100)</f>
        <v>8.6240000000000006</v>
      </c>
      <c r="CZ93" s="2">
        <f>((S93*CA93)/100)</f>
        <v>5.39</v>
      </c>
      <c r="DA93" s="2"/>
      <c r="DB93" s="2">
        <v>31</v>
      </c>
      <c r="DC93" s="2" t="s">
        <v>3</v>
      </c>
      <c r="DD93" s="2" t="s">
        <v>163</v>
      </c>
      <c r="DE93" s="2" t="s">
        <v>164</v>
      </c>
      <c r="DF93" s="2" t="s">
        <v>164</v>
      </c>
      <c r="DG93" s="2" t="s">
        <v>164</v>
      </c>
      <c r="DH93" s="2" t="s">
        <v>3</v>
      </c>
      <c r="DI93" s="2" t="s">
        <v>164</v>
      </c>
      <c r="DJ93" s="2" t="s">
        <v>164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1013</v>
      </c>
      <c r="DV93" s="2" t="s">
        <v>161</v>
      </c>
      <c r="DW93" s="2" t="s">
        <v>161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51696357</v>
      </c>
      <c r="EF93" s="2">
        <v>40</v>
      </c>
      <c r="EG93" s="2" t="s">
        <v>165</v>
      </c>
      <c r="EH93" s="2">
        <v>0</v>
      </c>
      <c r="EI93" s="2" t="s">
        <v>3</v>
      </c>
      <c r="EJ93" s="2">
        <v>2</v>
      </c>
      <c r="EK93" s="2">
        <v>318</v>
      </c>
      <c r="EL93" s="2" t="s">
        <v>166</v>
      </c>
      <c r="EM93" s="2" t="s">
        <v>167</v>
      </c>
      <c r="EN93" s="2"/>
      <c r="EO93" s="2" t="s">
        <v>168</v>
      </c>
      <c r="EP93" s="2"/>
      <c r="EQ93" s="2">
        <v>131072</v>
      </c>
      <c r="ER93" s="2">
        <v>454.68</v>
      </c>
      <c r="ES93" s="2">
        <v>0</v>
      </c>
      <c r="ET93" s="2">
        <v>379.77</v>
      </c>
      <c r="EU93" s="2">
        <v>57.67</v>
      </c>
      <c r="EV93" s="2">
        <v>74.91</v>
      </c>
      <c r="EW93" s="2">
        <v>6.08</v>
      </c>
      <c r="EX93" s="2">
        <v>0</v>
      </c>
      <c r="EY93" s="2">
        <v>0</v>
      </c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v>0</v>
      </c>
      <c r="FS93" s="2">
        <v>0</v>
      </c>
      <c r="FT93" s="2"/>
      <c r="FU93" s="2"/>
      <c r="FV93" s="2"/>
      <c r="FW93" s="2"/>
      <c r="FX93" s="2">
        <v>112</v>
      </c>
      <c r="FY93" s="2">
        <v>70</v>
      </c>
      <c r="FZ93" s="2"/>
      <c r="GA93" s="2" t="s">
        <v>3</v>
      </c>
      <c r="GB93" s="2"/>
      <c r="GC93" s="2"/>
      <c r="GD93" s="2">
        <v>0</v>
      </c>
      <c r="GE93" s="2"/>
      <c r="GF93" s="2">
        <v>369100549</v>
      </c>
      <c r="GG93" s="2">
        <v>2</v>
      </c>
      <c r="GH93" s="2">
        <v>1</v>
      </c>
      <c r="GI93" s="2">
        <v>-2</v>
      </c>
      <c r="GJ93" s="2">
        <v>0</v>
      </c>
      <c r="GK93" s="2">
        <f>ROUND(R93*(R12)/100,2)</f>
        <v>10.38</v>
      </c>
      <c r="GL93" s="2">
        <f t="shared" ref="GL93:GL124" si="90">ROUND(IF(AND(BH93=3,BI93=3,FS93&lt;&gt;0),P93,0),2)</f>
        <v>0</v>
      </c>
      <c r="GM93" s="2">
        <f t="shared" ref="GM93:GM124" si="91">ROUND(O93+X93+Y93+GK93,2)+GX93</f>
        <v>71.150000000000006</v>
      </c>
      <c r="GN93" s="2">
        <f t="shared" ref="GN93:GN124" si="92">IF(OR(BI93=0,BI93=1),GM93-GX93,0)</f>
        <v>0</v>
      </c>
      <c r="GO93" s="2">
        <f t="shared" ref="GO93:GO124" si="93">IF(BI93=2,GM93-GX93,0)</f>
        <v>71.150000000000006</v>
      </c>
      <c r="GP93" s="2">
        <f t="shared" ref="GP93:GP124" si="94">IF(BI93=4,GM93-GX93,0)</f>
        <v>0</v>
      </c>
      <c r="GQ93" s="2"/>
      <c r="GR93" s="2">
        <v>0</v>
      </c>
      <c r="GS93" s="2">
        <v>0</v>
      </c>
      <c r="GT93" s="2">
        <v>0</v>
      </c>
      <c r="GU93" s="2" t="s">
        <v>3</v>
      </c>
      <c r="GV93" s="2">
        <f t="shared" ref="GV93:GV124" si="95">ROUND((GT93),6)</f>
        <v>0</v>
      </c>
      <c r="GW93" s="2">
        <v>1</v>
      </c>
      <c r="GX93" s="2">
        <f t="shared" ref="GX93:GX124" si="96">ROUND(HC93*I93,2)</f>
        <v>0</v>
      </c>
      <c r="GY93" s="2"/>
      <c r="GZ93" s="2"/>
      <c r="HA93" s="2">
        <v>0</v>
      </c>
      <c r="HB93" s="2">
        <v>0</v>
      </c>
      <c r="HC93" s="2">
        <f t="shared" ref="HC93:HC124" si="97">GV93*GW93</f>
        <v>0</v>
      </c>
      <c r="HD93" s="2"/>
      <c r="HE93" s="2" t="s">
        <v>3</v>
      </c>
      <c r="HF93" s="2" t="s">
        <v>3</v>
      </c>
      <c r="HG93" s="2"/>
      <c r="HH93" s="2"/>
      <c r="HI93" s="2"/>
      <c r="HJ93" s="2"/>
      <c r="HK93" s="2"/>
      <c r="HL93" s="2"/>
      <c r="HM93" s="2" t="s">
        <v>3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x14ac:dyDescent="0.2">
      <c r="A94">
        <v>17</v>
      </c>
      <c r="B94">
        <v>1</v>
      </c>
      <c r="D94">
        <f>ROW(EtalonRes!A74)</f>
        <v>74</v>
      </c>
      <c r="E94" t="s">
        <v>158</v>
      </c>
      <c r="F94" t="s">
        <v>159</v>
      </c>
      <c r="G94" t="s">
        <v>160</v>
      </c>
      <c r="H94" t="s">
        <v>161</v>
      </c>
      <c r="I94">
        <f>ROUND(25.5/100*0.3,9)</f>
        <v>7.6499999999999999E-2</v>
      </c>
      <c r="J94">
        <v>0</v>
      </c>
      <c r="K94">
        <f>ROUND(25.5/100*0.3,9)</f>
        <v>7.6499999999999999E-2</v>
      </c>
      <c r="O94">
        <f t="shared" si="69"/>
        <v>768.04</v>
      </c>
      <c r="P94">
        <f t="shared" si="70"/>
        <v>0</v>
      </c>
      <c r="Q94">
        <f>(ROUND((ROUND(((((ET94*1.05)*1.2))*AV94*I94),2)*BB94),2)+ROUND((ROUND(((AE94-(((EU94*1.05)*1.2)))*AV94*I94),2)*BS94),2))</f>
        <v>502.31</v>
      </c>
      <c r="R94">
        <f t="shared" si="71"/>
        <v>204.64</v>
      </c>
      <c r="S94">
        <f t="shared" si="72"/>
        <v>265.73</v>
      </c>
      <c r="T94">
        <f t="shared" si="73"/>
        <v>0</v>
      </c>
      <c r="U94">
        <f t="shared" si="74"/>
        <v>0.62531663039999996</v>
      </c>
      <c r="V94">
        <f t="shared" si="75"/>
        <v>0</v>
      </c>
      <c r="W94">
        <f t="shared" si="76"/>
        <v>0</v>
      </c>
      <c r="X94">
        <f t="shared" si="77"/>
        <v>244.47</v>
      </c>
      <c r="Y94">
        <f t="shared" si="78"/>
        <v>114.26</v>
      </c>
      <c r="AA94">
        <v>56610029</v>
      </c>
      <c r="AB94">
        <f t="shared" si="79"/>
        <v>572.89679999999998</v>
      </c>
      <c r="AC94">
        <f>ROUND(((ES94*1)),6)</f>
        <v>0</v>
      </c>
      <c r="AD94">
        <f>ROUND((((((ET94*1.05)*1.2))-(((EU94*1.05)*1.2)))+AE94),6)</f>
        <v>478.5102</v>
      </c>
      <c r="AE94">
        <f>ROUND((((EU94*1.05)*1.2)),6)</f>
        <v>72.664199999999994</v>
      </c>
      <c r="AF94">
        <f>ROUND((((EV94*1.05)*1.2)),6)</f>
        <v>94.386600000000001</v>
      </c>
      <c r="AG94">
        <f t="shared" si="80"/>
        <v>0</v>
      </c>
      <c r="AH94">
        <f>(((EW94*1.05)*1.2))</f>
        <v>7.6608000000000001</v>
      </c>
      <c r="AI94">
        <f>(((EX94*1.05)*1.2))</f>
        <v>0</v>
      </c>
      <c r="AJ94">
        <f t="shared" si="81"/>
        <v>0</v>
      </c>
      <c r="AK94">
        <v>454.68</v>
      </c>
      <c r="AL94">
        <v>0</v>
      </c>
      <c r="AM94">
        <v>379.77</v>
      </c>
      <c r="AN94">
        <v>57.67</v>
      </c>
      <c r="AO94">
        <v>74.91</v>
      </c>
      <c r="AP94">
        <v>0</v>
      </c>
      <c r="AQ94">
        <v>6.08</v>
      </c>
      <c r="AR94">
        <v>0</v>
      </c>
      <c r="AS94">
        <v>0</v>
      </c>
      <c r="AT94">
        <v>92</v>
      </c>
      <c r="AU94">
        <v>43</v>
      </c>
      <c r="AV94">
        <v>1.0669999999999999</v>
      </c>
      <c r="AW94">
        <v>1.081</v>
      </c>
      <c r="AZ94">
        <v>1</v>
      </c>
      <c r="BA94">
        <v>34.51</v>
      </c>
      <c r="BB94">
        <v>12.86</v>
      </c>
      <c r="BC94">
        <v>1</v>
      </c>
      <c r="BD94" t="s">
        <v>3</v>
      </c>
      <c r="BE94" t="s">
        <v>3</v>
      </c>
      <c r="BF94" t="s">
        <v>3</v>
      </c>
      <c r="BG94" t="s">
        <v>3</v>
      </c>
      <c r="BH94">
        <v>0</v>
      </c>
      <c r="BI94">
        <v>2</v>
      </c>
      <c r="BJ94" t="s">
        <v>162</v>
      </c>
      <c r="BM94">
        <v>318</v>
      </c>
      <c r="BN94">
        <v>0</v>
      </c>
      <c r="BO94" t="s">
        <v>159</v>
      </c>
      <c r="BP94">
        <v>1</v>
      </c>
      <c r="BQ94">
        <v>40</v>
      </c>
      <c r="BR94">
        <v>0</v>
      </c>
      <c r="BS94">
        <v>34.51</v>
      </c>
      <c r="BT94">
        <v>1</v>
      </c>
      <c r="BU94">
        <v>1</v>
      </c>
      <c r="BV94">
        <v>1</v>
      </c>
      <c r="BW94">
        <v>1</v>
      </c>
      <c r="BX94">
        <v>1</v>
      </c>
      <c r="BY94" t="s">
        <v>3</v>
      </c>
      <c r="BZ94">
        <v>92</v>
      </c>
      <c r="CA94">
        <v>43</v>
      </c>
      <c r="CB94" t="s">
        <v>3</v>
      </c>
      <c r="CE94">
        <v>30</v>
      </c>
      <c r="CF94">
        <v>0</v>
      </c>
      <c r="CG94">
        <v>0</v>
      </c>
      <c r="CM94">
        <v>0</v>
      </c>
      <c r="CN94" t="s">
        <v>710</v>
      </c>
      <c r="CO94">
        <v>0</v>
      </c>
      <c r="CP94">
        <f t="shared" si="82"/>
        <v>768.04</v>
      </c>
      <c r="CQ94">
        <f t="shared" si="83"/>
        <v>0</v>
      </c>
      <c r="CR94">
        <f>(ROUND((ROUND(((((ET94*1.05)*1.2))*AV94*1),2)*BB94),2)+ROUND((ROUND(((AE94-(((EU94*1.05)*1.2)))*AV94*1),2)*BS94),2))</f>
        <v>6565.93</v>
      </c>
      <c r="CS94">
        <f t="shared" si="84"/>
        <v>2675.56</v>
      </c>
      <c r="CT94">
        <f t="shared" si="85"/>
        <v>3475.5</v>
      </c>
      <c r="CU94">
        <f t="shared" si="86"/>
        <v>0</v>
      </c>
      <c r="CV94">
        <f t="shared" si="87"/>
        <v>8.1740735999999998</v>
      </c>
      <c r="CW94">
        <f t="shared" si="88"/>
        <v>0</v>
      </c>
      <c r="CX94">
        <f t="shared" si="89"/>
        <v>0</v>
      </c>
      <c r="CY94">
        <f>S94*(BZ94/100)</f>
        <v>244.47160000000002</v>
      </c>
      <c r="CZ94">
        <f>S94*(CA94/100)</f>
        <v>114.26390000000001</v>
      </c>
      <c r="DB94">
        <v>33</v>
      </c>
      <c r="DC94" t="s">
        <v>3</v>
      </c>
      <c r="DD94" t="s">
        <v>163</v>
      </c>
      <c r="DE94" t="s">
        <v>164</v>
      </c>
      <c r="DF94" t="s">
        <v>164</v>
      </c>
      <c r="DG94" t="s">
        <v>164</v>
      </c>
      <c r="DH94" t="s">
        <v>3</v>
      </c>
      <c r="DI94" t="s">
        <v>164</v>
      </c>
      <c r="DJ94" t="s">
        <v>164</v>
      </c>
      <c r="DK94" t="s">
        <v>3</v>
      </c>
      <c r="DL94" t="s">
        <v>3</v>
      </c>
      <c r="DM94" t="s">
        <v>3</v>
      </c>
      <c r="DN94">
        <v>112</v>
      </c>
      <c r="DO94">
        <v>70</v>
      </c>
      <c r="DP94">
        <v>1.0669999999999999</v>
      </c>
      <c r="DQ94">
        <v>1.081</v>
      </c>
      <c r="DU94">
        <v>1013</v>
      </c>
      <c r="DV94" t="s">
        <v>161</v>
      </c>
      <c r="DW94" t="s">
        <v>161</v>
      </c>
      <c r="DX94">
        <v>1</v>
      </c>
      <c r="DZ94" t="s">
        <v>3</v>
      </c>
      <c r="EA94" t="s">
        <v>3</v>
      </c>
      <c r="EB94" t="s">
        <v>3</v>
      </c>
      <c r="EC94" t="s">
        <v>3</v>
      </c>
      <c r="EE94">
        <v>51696357</v>
      </c>
      <c r="EF94">
        <v>40</v>
      </c>
      <c r="EG94" t="s">
        <v>165</v>
      </c>
      <c r="EH94">
        <v>0</v>
      </c>
      <c r="EI94" t="s">
        <v>3</v>
      </c>
      <c r="EJ94">
        <v>2</v>
      </c>
      <c r="EK94">
        <v>318</v>
      </c>
      <c r="EL94" t="s">
        <v>166</v>
      </c>
      <c r="EM94" t="s">
        <v>167</v>
      </c>
      <c r="EO94" t="s">
        <v>168</v>
      </c>
      <c r="EQ94">
        <v>131072</v>
      </c>
      <c r="ER94">
        <v>454.68</v>
      </c>
      <c r="ES94">
        <v>0</v>
      </c>
      <c r="ET94">
        <v>379.77</v>
      </c>
      <c r="EU94">
        <v>57.67</v>
      </c>
      <c r="EV94">
        <v>74.91</v>
      </c>
      <c r="EW94">
        <v>6.08</v>
      </c>
      <c r="EX94">
        <v>0</v>
      </c>
      <c r="EY94">
        <v>0</v>
      </c>
      <c r="FQ94">
        <v>0</v>
      </c>
      <c r="FR94">
        <v>0</v>
      </c>
      <c r="FS94">
        <v>0</v>
      </c>
      <c r="FX94">
        <v>112</v>
      </c>
      <c r="FY94">
        <v>70</v>
      </c>
      <c r="GA94" t="s">
        <v>3</v>
      </c>
      <c r="GD94">
        <v>0</v>
      </c>
      <c r="GF94">
        <v>369100549</v>
      </c>
      <c r="GG94">
        <v>2</v>
      </c>
      <c r="GH94">
        <v>1</v>
      </c>
      <c r="GI94">
        <v>2</v>
      </c>
      <c r="GJ94">
        <v>0</v>
      </c>
      <c r="GK94">
        <f>ROUND(R94*(S12)/100,2)</f>
        <v>327.42</v>
      </c>
      <c r="GL94">
        <f t="shared" si="90"/>
        <v>0</v>
      </c>
      <c r="GM94">
        <f t="shared" si="91"/>
        <v>1454.19</v>
      </c>
      <c r="GN94">
        <f t="shared" si="92"/>
        <v>0</v>
      </c>
      <c r="GO94">
        <f t="shared" si="93"/>
        <v>1454.19</v>
      </c>
      <c r="GP94">
        <f t="shared" si="94"/>
        <v>0</v>
      </c>
      <c r="GR94">
        <v>0</v>
      </c>
      <c r="GS94">
        <v>3</v>
      </c>
      <c r="GT94">
        <v>0</v>
      </c>
      <c r="GU94" t="s">
        <v>3</v>
      </c>
      <c r="GV94">
        <f t="shared" si="95"/>
        <v>0</v>
      </c>
      <c r="GW94">
        <v>1</v>
      </c>
      <c r="GX94">
        <f t="shared" si="96"/>
        <v>0</v>
      </c>
      <c r="HA94">
        <v>0</v>
      </c>
      <c r="HB94">
        <v>0</v>
      </c>
      <c r="HC94">
        <f t="shared" si="97"/>
        <v>0</v>
      </c>
      <c r="HE94" t="s">
        <v>3</v>
      </c>
      <c r="HF94" t="s">
        <v>3</v>
      </c>
      <c r="HM94" t="s">
        <v>3</v>
      </c>
      <c r="HN94" t="s">
        <v>3</v>
      </c>
      <c r="HO94" t="s">
        <v>3</v>
      </c>
      <c r="HP94" t="s">
        <v>3</v>
      </c>
      <c r="HQ94" t="s">
        <v>3</v>
      </c>
      <c r="HS94">
        <v>0</v>
      </c>
      <c r="IK94">
        <v>0</v>
      </c>
    </row>
    <row r="95" spans="1:255" x14ac:dyDescent="0.2">
      <c r="A95" s="2">
        <v>17</v>
      </c>
      <c r="B95" s="2">
        <v>1</v>
      </c>
      <c r="C95" s="2"/>
      <c r="D95" s="2">
        <f>ROW(EtalonRes!A77)</f>
        <v>77</v>
      </c>
      <c r="E95" s="2" t="s">
        <v>169</v>
      </c>
      <c r="F95" s="2" t="s">
        <v>159</v>
      </c>
      <c r="G95" s="2" t="s">
        <v>160</v>
      </c>
      <c r="H95" s="2" t="s">
        <v>161</v>
      </c>
      <c r="I95" s="2">
        <f>ROUND((25.5*0.7)/100,9)</f>
        <v>0.17849999999999999</v>
      </c>
      <c r="J95" s="2">
        <v>0</v>
      </c>
      <c r="K95" s="2">
        <f>ROUND((25.5*0.7)/100,9)</f>
        <v>0.17849999999999999</v>
      </c>
      <c r="L95" s="2"/>
      <c r="M95" s="2"/>
      <c r="N95" s="2"/>
      <c r="O95" s="2">
        <f t="shared" si="69"/>
        <v>90.93</v>
      </c>
      <c r="P95" s="2">
        <f t="shared" si="70"/>
        <v>0</v>
      </c>
      <c r="Q95" s="2">
        <f>(ROUND((ROUND((((ET95*1.05))*AV95*I95),2)*BB95),2)+ROUND((ROUND(((AE95-((EU95*1.05)))*AV95*I95),2)*BS95),2))</f>
        <v>75.95</v>
      </c>
      <c r="R95" s="2">
        <f t="shared" si="71"/>
        <v>11.53</v>
      </c>
      <c r="S95" s="2">
        <f t="shared" si="72"/>
        <v>14.98</v>
      </c>
      <c r="T95" s="2">
        <f t="shared" si="73"/>
        <v>0</v>
      </c>
      <c r="U95" s="2">
        <f t="shared" si="74"/>
        <v>1.2158934480000001</v>
      </c>
      <c r="V95" s="2">
        <f t="shared" si="75"/>
        <v>0</v>
      </c>
      <c r="W95" s="2">
        <f t="shared" si="76"/>
        <v>0</v>
      </c>
      <c r="X95" s="2">
        <f t="shared" si="77"/>
        <v>16.78</v>
      </c>
      <c r="Y95" s="2">
        <f t="shared" si="78"/>
        <v>10.49</v>
      </c>
      <c r="Z95" s="2"/>
      <c r="AA95" s="2">
        <v>56622490</v>
      </c>
      <c r="AB95" s="2">
        <f t="shared" si="79"/>
        <v>477.41399999999999</v>
      </c>
      <c r="AC95" s="2">
        <f t="shared" ref="AC95:AC102" si="98">ROUND((ES95),6)</f>
        <v>0</v>
      </c>
      <c r="AD95" s="2">
        <f>ROUND(((((ET95*1.05))-((EU95*1.05)))+AE95),6)</f>
        <v>398.75850000000003</v>
      </c>
      <c r="AE95" s="2">
        <f>ROUND(((EU95*1.05)),6)</f>
        <v>60.5535</v>
      </c>
      <c r="AF95" s="2">
        <f>ROUND(((EV95*1.05)),6)</f>
        <v>78.655500000000004</v>
      </c>
      <c r="AG95" s="2">
        <f t="shared" si="80"/>
        <v>0</v>
      </c>
      <c r="AH95" s="2">
        <f>((EW95*1.05))</f>
        <v>6.3840000000000003</v>
      </c>
      <c r="AI95" s="2">
        <f>((EX95*1.05))</f>
        <v>0</v>
      </c>
      <c r="AJ95" s="2">
        <f t="shared" si="81"/>
        <v>0</v>
      </c>
      <c r="AK95" s="2">
        <v>454.68</v>
      </c>
      <c r="AL95" s="2">
        <v>0</v>
      </c>
      <c r="AM95" s="2">
        <v>379.77</v>
      </c>
      <c r="AN95" s="2">
        <v>57.67</v>
      </c>
      <c r="AO95" s="2">
        <v>74.91</v>
      </c>
      <c r="AP95" s="2">
        <v>0</v>
      </c>
      <c r="AQ95" s="2">
        <v>6.08</v>
      </c>
      <c r="AR95" s="2">
        <v>0</v>
      </c>
      <c r="AS95" s="2">
        <v>0</v>
      </c>
      <c r="AT95" s="2">
        <v>112</v>
      </c>
      <c r="AU95" s="2">
        <v>70</v>
      </c>
      <c r="AV95" s="2">
        <v>1.0669999999999999</v>
      </c>
      <c r="AW95" s="2">
        <v>1.081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0</v>
      </c>
      <c r="BI95" s="2">
        <v>2</v>
      </c>
      <c r="BJ95" s="2" t="s">
        <v>162</v>
      </c>
      <c r="BK95" s="2"/>
      <c r="BL95" s="2"/>
      <c r="BM95" s="2">
        <v>318</v>
      </c>
      <c r="BN95" s="2">
        <v>0</v>
      </c>
      <c r="BO95" s="2" t="s">
        <v>3</v>
      </c>
      <c r="BP95" s="2">
        <v>0</v>
      </c>
      <c r="BQ95" s="2">
        <v>40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112</v>
      </c>
      <c r="CA95" s="2">
        <v>70</v>
      </c>
      <c r="CB95" s="2" t="s">
        <v>3</v>
      </c>
      <c r="CC95" s="2"/>
      <c r="CD95" s="2"/>
      <c r="CE95" s="2">
        <v>30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2" t="s">
        <v>708</v>
      </c>
      <c r="CO95" s="2">
        <v>0</v>
      </c>
      <c r="CP95" s="2">
        <f t="shared" si="82"/>
        <v>90.93</v>
      </c>
      <c r="CQ95" s="2">
        <f t="shared" si="83"/>
        <v>0</v>
      </c>
      <c r="CR95" s="2">
        <f>(ROUND((ROUND((((ET95*1.05))*AV95*1),2)*BB95),2)+ROUND((ROUND(((AE95-((EU95*1.05)))*AV95*1),2)*BS95),2))</f>
        <v>425.48</v>
      </c>
      <c r="CS95" s="2">
        <f t="shared" si="84"/>
        <v>64.61</v>
      </c>
      <c r="CT95" s="2">
        <f t="shared" si="85"/>
        <v>83.93</v>
      </c>
      <c r="CU95" s="2">
        <f t="shared" si="86"/>
        <v>0</v>
      </c>
      <c r="CV95" s="2">
        <f t="shared" si="87"/>
        <v>6.8117280000000004</v>
      </c>
      <c r="CW95" s="2">
        <f t="shared" si="88"/>
        <v>0</v>
      </c>
      <c r="CX95" s="2">
        <f t="shared" si="89"/>
        <v>0</v>
      </c>
      <c r="CY95" s="2">
        <f>((S95*BZ95)/100)</f>
        <v>16.7776</v>
      </c>
      <c r="CZ95" s="2">
        <f>((S95*CA95)/100)</f>
        <v>10.486000000000001</v>
      </c>
      <c r="DA95" s="2"/>
      <c r="DB95" s="2">
        <v>35</v>
      </c>
      <c r="DC95" s="2" t="s">
        <v>3</v>
      </c>
      <c r="DD95" s="2" t="s">
        <v>3</v>
      </c>
      <c r="DE95" s="2" t="s">
        <v>22</v>
      </c>
      <c r="DF95" s="2" t="s">
        <v>22</v>
      </c>
      <c r="DG95" s="2" t="s">
        <v>22</v>
      </c>
      <c r="DH95" s="2" t="s">
        <v>3</v>
      </c>
      <c r="DI95" s="2" t="s">
        <v>22</v>
      </c>
      <c r="DJ95" s="2" t="s">
        <v>22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1013</v>
      </c>
      <c r="DV95" s="2" t="s">
        <v>161</v>
      </c>
      <c r="DW95" s="2" t="s">
        <v>161</v>
      </c>
      <c r="DX95" s="2">
        <v>1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51696357</v>
      </c>
      <c r="EF95" s="2">
        <v>40</v>
      </c>
      <c r="EG95" s="2" t="s">
        <v>165</v>
      </c>
      <c r="EH95" s="2">
        <v>0</v>
      </c>
      <c r="EI95" s="2" t="s">
        <v>3</v>
      </c>
      <c r="EJ95" s="2">
        <v>2</v>
      </c>
      <c r="EK95" s="2">
        <v>318</v>
      </c>
      <c r="EL95" s="2" t="s">
        <v>166</v>
      </c>
      <c r="EM95" s="2" t="s">
        <v>167</v>
      </c>
      <c r="EN95" s="2"/>
      <c r="EO95" s="2" t="s">
        <v>26</v>
      </c>
      <c r="EP95" s="2"/>
      <c r="EQ95" s="2">
        <v>131072</v>
      </c>
      <c r="ER95" s="2">
        <v>454.68</v>
      </c>
      <c r="ES95" s="2">
        <v>0</v>
      </c>
      <c r="ET95" s="2">
        <v>379.77</v>
      </c>
      <c r="EU95" s="2">
        <v>57.67</v>
      </c>
      <c r="EV95" s="2">
        <v>74.91</v>
      </c>
      <c r="EW95" s="2">
        <v>6.08</v>
      </c>
      <c r="EX95" s="2">
        <v>0</v>
      </c>
      <c r="EY95" s="2">
        <v>0</v>
      </c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v>0</v>
      </c>
      <c r="FS95" s="2">
        <v>0</v>
      </c>
      <c r="FT95" s="2"/>
      <c r="FU95" s="2"/>
      <c r="FV95" s="2"/>
      <c r="FW95" s="2"/>
      <c r="FX95" s="2">
        <v>112</v>
      </c>
      <c r="FY95" s="2">
        <v>70</v>
      </c>
      <c r="FZ95" s="2"/>
      <c r="GA95" s="2" t="s">
        <v>3</v>
      </c>
      <c r="GB95" s="2"/>
      <c r="GC95" s="2"/>
      <c r="GD95" s="2">
        <v>0</v>
      </c>
      <c r="GE95" s="2"/>
      <c r="GF95" s="2">
        <v>369100549</v>
      </c>
      <c r="GG95" s="2">
        <v>2</v>
      </c>
      <c r="GH95" s="2">
        <v>1</v>
      </c>
      <c r="GI95" s="2">
        <v>-2</v>
      </c>
      <c r="GJ95" s="2">
        <v>0</v>
      </c>
      <c r="GK95" s="2">
        <f>ROUND(R95*(R12)/100,2)</f>
        <v>20.18</v>
      </c>
      <c r="GL95" s="2">
        <f t="shared" si="90"/>
        <v>0</v>
      </c>
      <c r="GM95" s="2">
        <f t="shared" si="91"/>
        <v>138.38</v>
      </c>
      <c r="GN95" s="2">
        <f t="shared" si="92"/>
        <v>0</v>
      </c>
      <c r="GO95" s="2">
        <f t="shared" si="93"/>
        <v>138.38</v>
      </c>
      <c r="GP95" s="2">
        <f t="shared" si="94"/>
        <v>0</v>
      </c>
      <c r="GQ95" s="2"/>
      <c r="GR95" s="2">
        <v>0</v>
      </c>
      <c r="GS95" s="2">
        <v>0</v>
      </c>
      <c r="GT95" s="2">
        <v>0</v>
      </c>
      <c r="GU95" s="2" t="s">
        <v>3</v>
      </c>
      <c r="GV95" s="2">
        <f t="shared" si="95"/>
        <v>0</v>
      </c>
      <c r="GW95" s="2">
        <v>1</v>
      </c>
      <c r="GX95" s="2">
        <f t="shared" si="96"/>
        <v>0</v>
      </c>
      <c r="GY95" s="2"/>
      <c r="GZ95" s="2"/>
      <c r="HA95" s="2">
        <v>0</v>
      </c>
      <c r="HB95" s="2">
        <v>0</v>
      </c>
      <c r="HC95" s="2">
        <f t="shared" si="97"/>
        <v>0</v>
      </c>
      <c r="HD95" s="2"/>
      <c r="HE95" s="2" t="s">
        <v>3</v>
      </c>
      <c r="HF95" s="2" t="s">
        <v>3</v>
      </c>
      <c r="HG95" s="2"/>
      <c r="HH95" s="2"/>
      <c r="HI95" s="2"/>
      <c r="HJ95" s="2"/>
      <c r="HK95" s="2"/>
      <c r="HL95" s="2"/>
      <c r="HM95" s="2" t="s">
        <v>3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x14ac:dyDescent="0.2">
      <c r="A96">
        <v>17</v>
      </c>
      <c r="B96">
        <v>1</v>
      </c>
      <c r="D96">
        <f>ROW(EtalonRes!A80)</f>
        <v>80</v>
      </c>
      <c r="E96" t="s">
        <v>169</v>
      </c>
      <c r="F96" t="s">
        <v>159</v>
      </c>
      <c r="G96" t="s">
        <v>160</v>
      </c>
      <c r="H96" t="s">
        <v>161</v>
      </c>
      <c r="I96">
        <f>ROUND((25.5*0.7)/100,9)</f>
        <v>0.17849999999999999</v>
      </c>
      <c r="J96">
        <v>0</v>
      </c>
      <c r="K96">
        <f>ROUND((25.5*0.7)/100,9)</f>
        <v>0.17849999999999999</v>
      </c>
      <c r="O96">
        <f t="shared" si="69"/>
        <v>1493.68</v>
      </c>
      <c r="P96">
        <f t="shared" si="70"/>
        <v>0</v>
      </c>
      <c r="Q96">
        <f>(ROUND((ROUND((((ET96*1.05))*AV96*I96),2)*BB96),2)+ROUND((ROUND(((AE96-((EU96*1.05)))*AV96*I96),2)*BS96),2))</f>
        <v>976.72</v>
      </c>
      <c r="R96">
        <f t="shared" si="71"/>
        <v>397.9</v>
      </c>
      <c r="S96">
        <f t="shared" si="72"/>
        <v>516.96</v>
      </c>
      <c r="T96">
        <f t="shared" si="73"/>
        <v>0</v>
      </c>
      <c r="U96">
        <f t="shared" si="74"/>
        <v>1.2158934480000001</v>
      </c>
      <c r="V96">
        <f t="shared" si="75"/>
        <v>0</v>
      </c>
      <c r="W96">
        <f t="shared" si="76"/>
        <v>0</v>
      </c>
      <c r="X96">
        <f t="shared" si="77"/>
        <v>475.6</v>
      </c>
      <c r="Y96">
        <f t="shared" si="78"/>
        <v>222.29</v>
      </c>
      <c r="AA96">
        <v>56610029</v>
      </c>
      <c r="AB96">
        <f t="shared" si="79"/>
        <v>477.41399999999999</v>
      </c>
      <c r="AC96">
        <f t="shared" si="98"/>
        <v>0</v>
      </c>
      <c r="AD96">
        <f>ROUND(((((ET96*1.05))-((EU96*1.05)))+AE96),6)</f>
        <v>398.75850000000003</v>
      </c>
      <c r="AE96">
        <f>ROUND(((EU96*1.05)),6)</f>
        <v>60.5535</v>
      </c>
      <c r="AF96">
        <f>ROUND(((EV96*1.05)),6)</f>
        <v>78.655500000000004</v>
      </c>
      <c r="AG96">
        <f t="shared" si="80"/>
        <v>0</v>
      </c>
      <c r="AH96">
        <f>((EW96*1.05))</f>
        <v>6.3840000000000003</v>
      </c>
      <c r="AI96">
        <f>((EX96*1.05))</f>
        <v>0</v>
      </c>
      <c r="AJ96">
        <f t="shared" si="81"/>
        <v>0</v>
      </c>
      <c r="AK96">
        <v>454.68</v>
      </c>
      <c r="AL96">
        <v>0</v>
      </c>
      <c r="AM96">
        <v>379.77</v>
      </c>
      <c r="AN96">
        <v>57.67</v>
      </c>
      <c r="AO96">
        <v>74.91</v>
      </c>
      <c r="AP96">
        <v>0</v>
      </c>
      <c r="AQ96">
        <v>6.08</v>
      </c>
      <c r="AR96">
        <v>0</v>
      </c>
      <c r="AS96">
        <v>0</v>
      </c>
      <c r="AT96">
        <v>92</v>
      </c>
      <c r="AU96">
        <v>43</v>
      </c>
      <c r="AV96">
        <v>1.0669999999999999</v>
      </c>
      <c r="AW96">
        <v>1.081</v>
      </c>
      <c r="AZ96">
        <v>1</v>
      </c>
      <c r="BA96">
        <v>34.51</v>
      </c>
      <c r="BB96">
        <v>12.86</v>
      </c>
      <c r="BC96">
        <v>1</v>
      </c>
      <c r="BD96" t="s">
        <v>3</v>
      </c>
      <c r="BE96" t="s">
        <v>3</v>
      </c>
      <c r="BF96" t="s">
        <v>3</v>
      </c>
      <c r="BG96" t="s">
        <v>3</v>
      </c>
      <c r="BH96">
        <v>0</v>
      </c>
      <c r="BI96">
        <v>2</v>
      </c>
      <c r="BJ96" t="s">
        <v>162</v>
      </c>
      <c r="BM96">
        <v>318</v>
      </c>
      <c r="BN96">
        <v>0</v>
      </c>
      <c r="BO96" t="s">
        <v>159</v>
      </c>
      <c r="BP96">
        <v>1</v>
      </c>
      <c r="BQ96">
        <v>40</v>
      </c>
      <c r="BR96">
        <v>0</v>
      </c>
      <c r="BS96">
        <v>34.51</v>
      </c>
      <c r="BT96">
        <v>1</v>
      </c>
      <c r="BU96">
        <v>1</v>
      </c>
      <c r="BV96">
        <v>1</v>
      </c>
      <c r="BW96">
        <v>1</v>
      </c>
      <c r="BX96">
        <v>1</v>
      </c>
      <c r="BY96" t="s">
        <v>3</v>
      </c>
      <c r="BZ96">
        <v>92</v>
      </c>
      <c r="CA96">
        <v>43</v>
      </c>
      <c r="CB96" t="s">
        <v>3</v>
      </c>
      <c r="CE96">
        <v>30</v>
      </c>
      <c r="CF96">
        <v>0</v>
      </c>
      <c r="CG96">
        <v>0</v>
      </c>
      <c r="CM96">
        <v>0</v>
      </c>
      <c r="CN96" t="s">
        <v>708</v>
      </c>
      <c r="CO96">
        <v>0</v>
      </c>
      <c r="CP96">
        <f t="shared" si="82"/>
        <v>1493.68</v>
      </c>
      <c r="CQ96">
        <f t="shared" si="83"/>
        <v>0</v>
      </c>
      <c r="CR96">
        <f>(ROUND((ROUND((((ET96*1.05))*AV96*1),2)*BB96),2)+ROUND((ROUND(((AE96-((EU96*1.05)))*AV96*1),2)*BS96),2))</f>
        <v>5471.67</v>
      </c>
      <c r="CS96">
        <f t="shared" si="84"/>
        <v>2229.69</v>
      </c>
      <c r="CT96">
        <f t="shared" si="85"/>
        <v>2896.42</v>
      </c>
      <c r="CU96">
        <f t="shared" si="86"/>
        <v>0</v>
      </c>
      <c r="CV96">
        <f t="shared" si="87"/>
        <v>6.8117280000000004</v>
      </c>
      <c r="CW96">
        <f t="shared" si="88"/>
        <v>0</v>
      </c>
      <c r="CX96">
        <f t="shared" si="89"/>
        <v>0</v>
      </c>
      <c r="CY96">
        <f>S96*(BZ96/100)</f>
        <v>475.60320000000007</v>
      </c>
      <c r="CZ96">
        <f>S96*(CA96/100)</f>
        <v>222.2928</v>
      </c>
      <c r="DB96">
        <v>36</v>
      </c>
      <c r="DC96" t="s">
        <v>3</v>
      </c>
      <c r="DD96" t="s">
        <v>3</v>
      </c>
      <c r="DE96" t="s">
        <v>22</v>
      </c>
      <c r="DF96" t="s">
        <v>22</v>
      </c>
      <c r="DG96" t="s">
        <v>22</v>
      </c>
      <c r="DH96" t="s">
        <v>3</v>
      </c>
      <c r="DI96" t="s">
        <v>22</v>
      </c>
      <c r="DJ96" t="s">
        <v>22</v>
      </c>
      <c r="DK96" t="s">
        <v>3</v>
      </c>
      <c r="DL96" t="s">
        <v>3</v>
      </c>
      <c r="DM96" t="s">
        <v>3</v>
      </c>
      <c r="DN96">
        <v>112</v>
      </c>
      <c r="DO96">
        <v>70</v>
      </c>
      <c r="DP96">
        <v>1.0669999999999999</v>
      </c>
      <c r="DQ96">
        <v>1.081</v>
      </c>
      <c r="DU96">
        <v>1013</v>
      </c>
      <c r="DV96" t="s">
        <v>161</v>
      </c>
      <c r="DW96" t="s">
        <v>161</v>
      </c>
      <c r="DX96">
        <v>1</v>
      </c>
      <c r="DZ96" t="s">
        <v>3</v>
      </c>
      <c r="EA96" t="s">
        <v>3</v>
      </c>
      <c r="EB96" t="s">
        <v>3</v>
      </c>
      <c r="EC96" t="s">
        <v>3</v>
      </c>
      <c r="EE96">
        <v>51696357</v>
      </c>
      <c r="EF96">
        <v>40</v>
      </c>
      <c r="EG96" t="s">
        <v>165</v>
      </c>
      <c r="EH96">
        <v>0</v>
      </c>
      <c r="EI96" t="s">
        <v>3</v>
      </c>
      <c r="EJ96">
        <v>2</v>
      </c>
      <c r="EK96">
        <v>318</v>
      </c>
      <c r="EL96" t="s">
        <v>166</v>
      </c>
      <c r="EM96" t="s">
        <v>167</v>
      </c>
      <c r="EO96" t="s">
        <v>26</v>
      </c>
      <c r="EQ96">
        <v>131072</v>
      </c>
      <c r="ER96">
        <v>454.68</v>
      </c>
      <c r="ES96">
        <v>0</v>
      </c>
      <c r="ET96">
        <v>379.77</v>
      </c>
      <c r="EU96">
        <v>57.67</v>
      </c>
      <c r="EV96">
        <v>74.91</v>
      </c>
      <c r="EW96">
        <v>6.08</v>
      </c>
      <c r="EX96">
        <v>0</v>
      </c>
      <c r="EY96">
        <v>0</v>
      </c>
      <c r="FQ96">
        <v>0</v>
      </c>
      <c r="FR96">
        <v>0</v>
      </c>
      <c r="FS96">
        <v>0</v>
      </c>
      <c r="FX96">
        <v>112</v>
      </c>
      <c r="FY96">
        <v>70</v>
      </c>
      <c r="GA96" t="s">
        <v>3</v>
      </c>
      <c r="GD96">
        <v>0</v>
      </c>
      <c r="GF96">
        <v>369100549</v>
      </c>
      <c r="GG96">
        <v>2</v>
      </c>
      <c r="GH96">
        <v>1</v>
      </c>
      <c r="GI96">
        <v>2</v>
      </c>
      <c r="GJ96">
        <v>0</v>
      </c>
      <c r="GK96">
        <f>ROUND(R96*(S12)/100,2)</f>
        <v>636.64</v>
      </c>
      <c r="GL96">
        <f t="shared" si="90"/>
        <v>0</v>
      </c>
      <c r="GM96">
        <f t="shared" si="91"/>
        <v>2828.21</v>
      </c>
      <c r="GN96">
        <f t="shared" si="92"/>
        <v>0</v>
      </c>
      <c r="GO96">
        <f t="shared" si="93"/>
        <v>2828.21</v>
      </c>
      <c r="GP96">
        <f t="shared" si="94"/>
        <v>0</v>
      </c>
      <c r="GR96">
        <v>0</v>
      </c>
      <c r="GS96">
        <v>3</v>
      </c>
      <c r="GT96">
        <v>0</v>
      </c>
      <c r="GU96" t="s">
        <v>3</v>
      </c>
      <c r="GV96">
        <f t="shared" si="95"/>
        <v>0</v>
      </c>
      <c r="GW96">
        <v>1</v>
      </c>
      <c r="GX96">
        <f t="shared" si="96"/>
        <v>0</v>
      </c>
      <c r="HA96">
        <v>0</v>
      </c>
      <c r="HB96">
        <v>0</v>
      </c>
      <c r="HC96">
        <f t="shared" si="97"/>
        <v>0</v>
      </c>
      <c r="HE96" t="s">
        <v>3</v>
      </c>
      <c r="HF96" t="s">
        <v>3</v>
      </c>
      <c r="HM96" t="s">
        <v>3</v>
      </c>
      <c r="HN96" t="s">
        <v>3</v>
      </c>
      <c r="HO96" t="s">
        <v>3</v>
      </c>
      <c r="HP96" t="s">
        <v>3</v>
      </c>
      <c r="HQ96" t="s">
        <v>3</v>
      </c>
      <c r="HS96">
        <v>0</v>
      </c>
      <c r="IK96">
        <v>0</v>
      </c>
    </row>
    <row r="97" spans="1:255" x14ac:dyDescent="0.2">
      <c r="A97" s="2">
        <v>17</v>
      </c>
      <c r="B97" s="2">
        <v>1</v>
      </c>
      <c r="C97" s="2"/>
      <c r="D97" s="2">
        <f>ROW(EtalonRes!A83)</f>
        <v>83</v>
      </c>
      <c r="E97" s="2" t="s">
        <v>170</v>
      </c>
      <c r="F97" s="2" t="s">
        <v>171</v>
      </c>
      <c r="G97" s="2" t="s">
        <v>172</v>
      </c>
      <c r="H97" s="2" t="s">
        <v>161</v>
      </c>
      <c r="I97" s="2">
        <f>ROUND(69.5*0.3/100,9)</f>
        <v>0.20849999999999999</v>
      </c>
      <c r="J97" s="2">
        <v>0</v>
      </c>
      <c r="K97" s="2">
        <f>ROUND(69.5*0.3/100,9)</f>
        <v>0.20849999999999999</v>
      </c>
      <c r="L97" s="2"/>
      <c r="M97" s="2"/>
      <c r="N97" s="2"/>
      <c r="O97" s="2">
        <f t="shared" si="69"/>
        <v>38.380000000000003</v>
      </c>
      <c r="P97" s="2">
        <f t="shared" si="70"/>
        <v>0</v>
      </c>
      <c r="Q97" s="2">
        <f>(ROUND((ROUND(((((ET97*1.05)*1.2))*AV97*I97),2)*BB97),2)+ROUND((ROUND(((AE97-(((EU97*1.05)*1.2)))*AV97*I97),2)*BS97),2))</f>
        <v>30.51</v>
      </c>
      <c r="R97" s="2">
        <f t="shared" si="71"/>
        <v>4.63</v>
      </c>
      <c r="S97" s="2">
        <f t="shared" si="72"/>
        <v>7.87</v>
      </c>
      <c r="T97" s="2">
        <f t="shared" si="73"/>
        <v>0</v>
      </c>
      <c r="U97" s="2">
        <f t="shared" si="74"/>
        <v>0.63911037959999972</v>
      </c>
      <c r="V97" s="2">
        <f t="shared" si="75"/>
        <v>0</v>
      </c>
      <c r="W97" s="2">
        <f t="shared" si="76"/>
        <v>0</v>
      </c>
      <c r="X97" s="2">
        <f t="shared" si="77"/>
        <v>8.81</v>
      </c>
      <c r="Y97" s="2">
        <f t="shared" si="78"/>
        <v>5.51</v>
      </c>
      <c r="Z97" s="2"/>
      <c r="AA97" s="2">
        <v>56622490</v>
      </c>
      <c r="AB97" s="2">
        <f t="shared" si="79"/>
        <v>172.55699999999999</v>
      </c>
      <c r="AC97" s="2">
        <f t="shared" si="98"/>
        <v>0</v>
      </c>
      <c r="AD97" s="2">
        <f>ROUND((((((ET97*1.05)*1.2))-(((EU97*1.05)*1.2)))+AE97),6)</f>
        <v>137.1636</v>
      </c>
      <c r="AE97" s="2">
        <f>ROUND((((EU97*1.05)*1.2)),6)</f>
        <v>20.8278</v>
      </c>
      <c r="AF97" s="2">
        <f>ROUND((((EV97*1.05)*1.2)),6)</f>
        <v>35.3934</v>
      </c>
      <c r="AG97" s="2">
        <f t="shared" si="80"/>
        <v>0</v>
      </c>
      <c r="AH97" s="2">
        <f>(((EW97*1.05)*1.2))</f>
        <v>2.8727999999999994</v>
      </c>
      <c r="AI97" s="2">
        <f>(((EX97*1.05)*1.2))</f>
        <v>0</v>
      </c>
      <c r="AJ97" s="2">
        <f t="shared" si="81"/>
        <v>0</v>
      </c>
      <c r="AK97" s="2">
        <v>136.94999999999999</v>
      </c>
      <c r="AL97" s="2">
        <v>0</v>
      </c>
      <c r="AM97" s="2">
        <v>108.86</v>
      </c>
      <c r="AN97" s="2">
        <v>16.53</v>
      </c>
      <c r="AO97" s="2">
        <v>28.09</v>
      </c>
      <c r="AP97" s="2">
        <v>0</v>
      </c>
      <c r="AQ97" s="2">
        <v>2.2799999999999998</v>
      </c>
      <c r="AR97" s="2">
        <v>0</v>
      </c>
      <c r="AS97" s="2">
        <v>0</v>
      </c>
      <c r="AT97" s="2">
        <v>112</v>
      </c>
      <c r="AU97" s="2">
        <v>70</v>
      </c>
      <c r="AV97" s="2">
        <v>1.0669999999999999</v>
      </c>
      <c r="AW97" s="2">
        <v>1.081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0</v>
      </c>
      <c r="BI97" s="2">
        <v>2</v>
      </c>
      <c r="BJ97" s="2" t="s">
        <v>173</v>
      </c>
      <c r="BK97" s="2"/>
      <c r="BL97" s="2"/>
      <c r="BM97" s="2">
        <v>318</v>
      </c>
      <c r="BN97" s="2">
        <v>0</v>
      </c>
      <c r="BO97" s="2" t="s">
        <v>3</v>
      </c>
      <c r="BP97" s="2">
        <v>0</v>
      </c>
      <c r="BQ97" s="2">
        <v>40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112</v>
      </c>
      <c r="CA97" s="2">
        <v>70</v>
      </c>
      <c r="CB97" s="2" t="s">
        <v>3</v>
      </c>
      <c r="CC97" s="2"/>
      <c r="CD97" s="2"/>
      <c r="CE97" s="2">
        <v>30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712</v>
      </c>
      <c r="CO97" s="2">
        <v>0</v>
      </c>
      <c r="CP97" s="2">
        <f t="shared" si="82"/>
        <v>38.380000000000003</v>
      </c>
      <c r="CQ97" s="2">
        <f t="shared" si="83"/>
        <v>0</v>
      </c>
      <c r="CR97" s="2">
        <f>(ROUND((ROUND(((((ET97*1.05)*1.2))*AV97*1),2)*BB97),2)+ROUND((ROUND(((AE97-(((EU97*1.05)*1.2)))*AV97*1),2)*BS97),2))</f>
        <v>146.35</v>
      </c>
      <c r="CS97" s="2">
        <f t="shared" si="84"/>
        <v>22.22</v>
      </c>
      <c r="CT97" s="2">
        <f t="shared" si="85"/>
        <v>37.76</v>
      </c>
      <c r="CU97" s="2">
        <f t="shared" si="86"/>
        <v>0</v>
      </c>
      <c r="CV97" s="2">
        <f t="shared" si="87"/>
        <v>3.065277599999999</v>
      </c>
      <c r="CW97" s="2">
        <f t="shared" si="88"/>
        <v>0</v>
      </c>
      <c r="CX97" s="2">
        <f t="shared" si="89"/>
        <v>0</v>
      </c>
      <c r="CY97" s="2">
        <f>((S97*BZ97)/100)</f>
        <v>8.8144000000000009</v>
      </c>
      <c r="CZ97" s="2">
        <f>((S97*CA97)/100)</f>
        <v>5.5089999999999995</v>
      </c>
      <c r="DA97" s="2"/>
      <c r="DB97" s="2">
        <v>37</v>
      </c>
      <c r="DC97" s="2" t="s">
        <v>3</v>
      </c>
      <c r="DD97" s="2" t="s">
        <v>3</v>
      </c>
      <c r="DE97" s="2" t="s">
        <v>164</v>
      </c>
      <c r="DF97" s="2" t="s">
        <v>164</v>
      </c>
      <c r="DG97" s="2" t="s">
        <v>164</v>
      </c>
      <c r="DH97" s="2" t="s">
        <v>3</v>
      </c>
      <c r="DI97" s="2" t="s">
        <v>164</v>
      </c>
      <c r="DJ97" s="2" t="s">
        <v>164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1013</v>
      </c>
      <c r="DV97" s="2" t="s">
        <v>161</v>
      </c>
      <c r="DW97" s="2" t="s">
        <v>161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51696357</v>
      </c>
      <c r="EF97" s="2">
        <v>40</v>
      </c>
      <c r="EG97" s="2" t="s">
        <v>165</v>
      </c>
      <c r="EH97" s="2">
        <v>0</v>
      </c>
      <c r="EI97" s="2" t="s">
        <v>3</v>
      </c>
      <c r="EJ97" s="2">
        <v>2</v>
      </c>
      <c r="EK97" s="2">
        <v>318</v>
      </c>
      <c r="EL97" s="2" t="s">
        <v>166</v>
      </c>
      <c r="EM97" s="2" t="s">
        <v>167</v>
      </c>
      <c r="EN97" s="2"/>
      <c r="EO97" s="2" t="s">
        <v>174</v>
      </c>
      <c r="EP97" s="2"/>
      <c r="EQ97" s="2">
        <v>131072</v>
      </c>
      <c r="ER97" s="2">
        <v>136.94999999999999</v>
      </c>
      <c r="ES97" s="2">
        <v>0</v>
      </c>
      <c r="ET97" s="2">
        <v>108.86</v>
      </c>
      <c r="EU97" s="2">
        <v>16.53</v>
      </c>
      <c r="EV97" s="2">
        <v>28.09</v>
      </c>
      <c r="EW97" s="2">
        <v>2.2799999999999998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0</v>
      </c>
      <c r="FT97" s="2"/>
      <c r="FU97" s="2"/>
      <c r="FV97" s="2"/>
      <c r="FW97" s="2"/>
      <c r="FX97" s="2">
        <v>112</v>
      </c>
      <c r="FY97" s="2">
        <v>70</v>
      </c>
      <c r="FZ97" s="2"/>
      <c r="GA97" s="2" t="s">
        <v>3</v>
      </c>
      <c r="GB97" s="2"/>
      <c r="GC97" s="2"/>
      <c r="GD97" s="2">
        <v>0</v>
      </c>
      <c r="GE97" s="2"/>
      <c r="GF97" s="2">
        <v>-2050852561</v>
      </c>
      <c r="GG97" s="2">
        <v>2</v>
      </c>
      <c r="GH97" s="2">
        <v>1</v>
      </c>
      <c r="GI97" s="2">
        <v>-2</v>
      </c>
      <c r="GJ97" s="2">
        <v>0</v>
      </c>
      <c r="GK97" s="2">
        <f>ROUND(R97*(R12)/100,2)</f>
        <v>8.1</v>
      </c>
      <c r="GL97" s="2">
        <f t="shared" si="90"/>
        <v>0</v>
      </c>
      <c r="GM97" s="2">
        <f t="shared" si="91"/>
        <v>60.8</v>
      </c>
      <c r="GN97" s="2">
        <f t="shared" si="92"/>
        <v>0</v>
      </c>
      <c r="GO97" s="2">
        <f t="shared" si="93"/>
        <v>60.8</v>
      </c>
      <c r="GP97" s="2">
        <f t="shared" si="94"/>
        <v>0</v>
      </c>
      <c r="GQ97" s="2"/>
      <c r="GR97" s="2">
        <v>0</v>
      </c>
      <c r="GS97" s="2">
        <v>0</v>
      </c>
      <c r="GT97" s="2">
        <v>0</v>
      </c>
      <c r="GU97" s="2" t="s">
        <v>3</v>
      </c>
      <c r="GV97" s="2">
        <f t="shared" si="95"/>
        <v>0</v>
      </c>
      <c r="GW97" s="2">
        <v>1</v>
      </c>
      <c r="GX97" s="2">
        <f t="shared" si="96"/>
        <v>0</v>
      </c>
      <c r="GY97" s="2"/>
      <c r="GZ97" s="2"/>
      <c r="HA97" s="2">
        <v>0</v>
      </c>
      <c r="HB97" s="2">
        <v>0</v>
      </c>
      <c r="HC97" s="2">
        <f t="shared" si="97"/>
        <v>0</v>
      </c>
      <c r="HD97" s="2"/>
      <c r="HE97" s="2" t="s">
        <v>3</v>
      </c>
      <c r="HF97" s="2" t="s">
        <v>3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">
      <c r="A98">
        <v>17</v>
      </c>
      <c r="B98">
        <v>1</v>
      </c>
      <c r="D98">
        <f>ROW(EtalonRes!A86)</f>
        <v>86</v>
      </c>
      <c r="E98" t="s">
        <v>170</v>
      </c>
      <c r="F98" t="s">
        <v>171</v>
      </c>
      <c r="G98" t="s">
        <v>172</v>
      </c>
      <c r="H98" t="s">
        <v>161</v>
      </c>
      <c r="I98">
        <f>ROUND(69.5*0.3/100,9)</f>
        <v>0.20849999999999999</v>
      </c>
      <c r="J98">
        <v>0</v>
      </c>
      <c r="K98">
        <f>ROUND(69.5*0.3/100,9)</f>
        <v>0.20849999999999999</v>
      </c>
      <c r="O98">
        <f t="shared" si="69"/>
        <v>663.95</v>
      </c>
      <c r="P98">
        <f t="shared" si="70"/>
        <v>0</v>
      </c>
      <c r="Q98">
        <f>(ROUND((ROUND(((((ET98*1.05)*1.2))*AV98*I98),2)*BB98),2)+ROUND((ROUND(((AE98-(((EU98*1.05)*1.2)))*AV98*I98),2)*BS98),2))</f>
        <v>392.36</v>
      </c>
      <c r="R98">
        <f t="shared" si="71"/>
        <v>159.78</v>
      </c>
      <c r="S98">
        <f t="shared" si="72"/>
        <v>271.58999999999997</v>
      </c>
      <c r="T98">
        <f t="shared" si="73"/>
        <v>0</v>
      </c>
      <c r="U98">
        <f t="shared" si="74"/>
        <v>0.63911037959999972</v>
      </c>
      <c r="V98">
        <f t="shared" si="75"/>
        <v>0</v>
      </c>
      <c r="W98">
        <f t="shared" si="76"/>
        <v>0</v>
      </c>
      <c r="X98">
        <f t="shared" si="77"/>
        <v>249.86</v>
      </c>
      <c r="Y98">
        <f t="shared" si="78"/>
        <v>116.78</v>
      </c>
      <c r="AA98">
        <v>56610029</v>
      </c>
      <c r="AB98">
        <f t="shared" si="79"/>
        <v>172.55699999999999</v>
      </c>
      <c r="AC98">
        <f t="shared" si="98"/>
        <v>0</v>
      </c>
      <c r="AD98">
        <f>ROUND((((((ET98*1.05)*1.2))-(((EU98*1.05)*1.2)))+AE98),6)</f>
        <v>137.1636</v>
      </c>
      <c r="AE98">
        <f>ROUND((((EU98*1.05)*1.2)),6)</f>
        <v>20.8278</v>
      </c>
      <c r="AF98">
        <f>ROUND((((EV98*1.05)*1.2)),6)</f>
        <v>35.3934</v>
      </c>
      <c r="AG98">
        <f t="shared" si="80"/>
        <v>0</v>
      </c>
      <c r="AH98">
        <f>(((EW98*1.05)*1.2))</f>
        <v>2.8727999999999994</v>
      </c>
      <c r="AI98">
        <f>(((EX98*1.05)*1.2))</f>
        <v>0</v>
      </c>
      <c r="AJ98">
        <f t="shared" si="81"/>
        <v>0</v>
      </c>
      <c r="AK98">
        <v>136.94999999999999</v>
      </c>
      <c r="AL98">
        <v>0</v>
      </c>
      <c r="AM98">
        <v>108.86</v>
      </c>
      <c r="AN98">
        <v>16.53</v>
      </c>
      <c r="AO98">
        <v>28.09</v>
      </c>
      <c r="AP98">
        <v>0</v>
      </c>
      <c r="AQ98">
        <v>2.2799999999999998</v>
      </c>
      <c r="AR98">
        <v>0</v>
      </c>
      <c r="AS98">
        <v>0</v>
      </c>
      <c r="AT98">
        <v>92</v>
      </c>
      <c r="AU98">
        <v>43</v>
      </c>
      <c r="AV98">
        <v>1.0669999999999999</v>
      </c>
      <c r="AW98">
        <v>1.081</v>
      </c>
      <c r="AZ98">
        <v>1</v>
      </c>
      <c r="BA98">
        <v>34.51</v>
      </c>
      <c r="BB98">
        <v>12.86</v>
      </c>
      <c r="BC98">
        <v>1</v>
      </c>
      <c r="BD98" t="s">
        <v>3</v>
      </c>
      <c r="BE98" t="s">
        <v>3</v>
      </c>
      <c r="BF98" t="s">
        <v>3</v>
      </c>
      <c r="BG98" t="s">
        <v>3</v>
      </c>
      <c r="BH98">
        <v>0</v>
      </c>
      <c r="BI98">
        <v>2</v>
      </c>
      <c r="BJ98" t="s">
        <v>173</v>
      </c>
      <c r="BM98">
        <v>318</v>
      </c>
      <c r="BN98">
        <v>0</v>
      </c>
      <c r="BO98" t="s">
        <v>171</v>
      </c>
      <c r="BP98">
        <v>1</v>
      </c>
      <c r="BQ98">
        <v>40</v>
      </c>
      <c r="BR98">
        <v>0</v>
      </c>
      <c r="BS98">
        <v>34.51</v>
      </c>
      <c r="BT98">
        <v>1</v>
      </c>
      <c r="BU98">
        <v>1</v>
      </c>
      <c r="BV98">
        <v>1</v>
      </c>
      <c r="BW98">
        <v>1</v>
      </c>
      <c r="BX98">
        <v>1</v>
      </c>
      <c r="BY98" t="s">
        <v>3</v>
      </c>
      <c r="BZ98">
        <v>92</v>
      </c>
      <c r="CA98">
        <v>43</v>
      </c>
      <c r="CB98" t="s">
        <v>3</v>
      </c>
      <c r="CE98">
        <v>30</v>
      </c>
      <c r="CF98">
        <v>0</v>
      </c>
      <c r="CG98">
        <v>0</v>
      </c>
      <c r="CM98">
        <v>0</v>
      </c>
      <c r="CN98" t="s">
        <v>712</v>
      </c>
      <c r="CO98">
        <v>0</v>
      </c>
      <c r="CP98">
        <f t="shared" si="82"/>
        <v>663.95</v>
      </c>
      <c r="CQ98">
        <f t="shared" si="83"/>
        <v>0</v>
      </c>
      <c r="CR98">
        <f>(ROUND((ROUND(((((ET98*1.05)*1.2))*AV98*1),2)*BB98),2)+ROUND((ROUND(((AE98-(((EU98*1.05)*1.2)))*AV98*1),2)*BS98),2))</f>
        <v>1882.06</v>
      </c>
      <c r="CS98">
        <f t="shared" si="84"/>
        <v>766.81</v>
      </c>
      <c r="CT98">
        <f t="shared" si="85"/>
        <v>1303.0999999999999</v>
      </c>
      <c r="CU98">
        <f t="shared" si="86"/>
        <v>0</v>
      </c>
      <c r="CV98">
        <f t="shared" si="87"/>
        <v>3.065277599999999</v>
      </c>
      <c r="CW98">
        <f t="shared" si="88"/>
        <v>0</v>
      </c>
      <c r="CX98">
        <f t="shared" si="89"/>
        <v>0</v>
      </c>
      <c r="CY98">
        <f>S98*(BZ98/100)</f>
        <v>249.86279999999999</v>
      </c>
      <c r="CZ98">
        <f>S98*(CA98/100)</f>
        <v>116.78369999999998</v>
      </c>
      <c r="DB98">
        <v>39</v>
      </c>
      <c r="DC98" t="s">
        <v>3</v>
      </c>
      <c r="DD98" t="s">
        <v>3</v>
      </c>
      <c r="DE98" t="s">
        <v>164</v>
      </c>
      <c r="DF98" t="s">
        <v>164</v>
      </c>
      <c r="DG98" t="s">
        <v>164</v>
      </c>
      <c r="DH98" t="s">
        <v>3</v>
      </c>
      <c r="DI98" t="s">
        <v>164</v>
      </c>
      <c r="DJ98" t="s">
        <v>164</v>
      </c>
      <c r="DK98" t="s">
        <v>3</v>
      </c>
      <c r="DL98" t="s">
        <v>3</v>
      </c>
      <c r="DM98" t="s">
        <v>3</v>
      </c>
      <c r="DN98">
        <v>112</v>
      </c>
      <c r="DO98">
        <v>70</v>
      </c>
      <c r="DP98">
        <v>1.0669999999999999</v>
      </c>
      <c r="DQ98">
        <v>1.081</v>
      </c>
      <c r="DU98">
        <v>1013</v>
      </c>
      <c r="DV98" t="s">
        <v>161</v>
      </c>
      <c r="DW98" t="s">
        <v>161</v>
      </c>
      <c r="DX98">
        <v>1</v>
      </c>
      <c r="DZ98" t="s">
        <v>3</v>
      </c>
      <c r="EA98" t="s">
        <v>3</v>
      </c>
      <c r="EB98" t="s">
        <v>3</v>
      </c>
      <c r="EC98" t="s">
        <v>3</v>
      </c>
      <c r="EE98">
        <v>51696357</v>
      </c>
      <c r="EF98">
        <v>40</v>
      </c>
      <c r="EG98" t="s">
        <v>165</v>
      </c>
      <c r="EH98">
        <v>0</v>
      </c>
      <c r="EI98" t="s">
        <v>3</v>
      </c>
      <c r="EJ98">
        <v>2</v>
      </c>
      <c r="EK98">
        <v>318</v>
      </c>
      <c r="EL98" t="s">
        <v>166</v>
      </c>
      <c r="EM98" t="s">
        <v>167</v>
      </c>
      <c r="EO98" t="s">
        <v>174</v>
      </c>
      <c r="EQ98">
        <v>131072</v>
      </c>
      <c r="ER98">
        <v>136.94999999999999</v>
      </c>
      <c r="ES98">
        <v>0</v>
      </c>
      <c r="ET98">
        <v>108.86</v>
      </c>
      <c r="EU98">
        <v>16.53</v>
      </c>
      <c r="EV98">
        <v>28.09</v>
      </c>
      <c r="EW98">
        <v>2.2799999999999998</v>
      </c>
      <c r="EX98">
        <v>0</v>
      </c>
      <c r="EY98">
        <v>0</v>
      </c>
      <c r="FQ98">
        <v>0</v>
      </c>
      <c r="FR98">
        <v>0</v>
      </c>
      <c r="FS98">
        <v>0</v>
      </c>
      <c r="FX98">
        <v>112</v>
      </c>
      <c r="FY98">
        <v>70</v>
      </c>
      <c r="GA98" t="s">
        <v>3</v>
      </c>
      <c r="GD98">
        <v>0</v>
      </c>
      <c r="GF98">
        <v>-2050852561</v>
      </c>
      <c r="GG98">
        <v>2</v>
      </c>
      <c r="GH98">
        <v>1</v>
      </c>
      <c r="GI98">
        <v>2</v>
      </c>
      <c r="GJ98">
        <v>0</v>
      </c>
      <c r="GK98">
        <f>ROUND(R98*(S12)/100,2)</f>
        <v>255.65</v>
      </c>
      <c r="GL98">
        <f t="shared" si="90"/>
        <v>0</v>
      </c>
      <c r="GM98">
        <f t="shared" si="91"/>
        <v>1286.24</v>
      </c>
      <c r="GN98">
        <f t="shared" si="92"/>
        <v>0</v>
      </c>
      <c r="GO98">
        <f t="shared" si="93"/>
        <v>1286.24</v>
      </c>
      <c r="GP98">
        <f t="shared" si="94"/>
        <v>0</v>
      </c>
      <c r="GR98">
        <v>0</v>
      </c>
      <c r="GS98">
        <v>3</v>
      </c>
      <c r="GT98">
        <v>0</v>
      </c>
      <c r="GU98" t="s">
        <v>3</v>
      </c>
      <c r="GV98">
        <f t="shared" si="95"/>
        <v>0</v>
      </c>
      <c r="GW98">
        <v>1</v>
      </c>
      <c r="GX98">
        <f t="shared" si="96"/>
        <v>0</v>
      </c>
      <c r="HA98">
        <v>0</v>
      </c>
      <c r="HB98">
        <v>0</v>
      </c>
      <c r="HC98">
        <f t="shared" si="97"/>
        <v>0</v>
      </c>
      <c r="HE98" t="s">
        <v>3</v>
      </c>
      <c r="HF98" t="s">
        <v>3</v>
      </c>
      <c r="HM98" t="s">
        <v>3</v>
      </c>
      <c r="HN98" t="s">
        <v>3</v>
      </c>
      <c r="HO98" t="s">
        <v>3</v>
      </c>
      <c r="HP98" t="s">
        <v>3</v>
      </c>
      <c r="HQ98" t="s">
        <v>3</v>
      </c>
      <c r="HS98">
        <v>0</v>
      </c>
      <c r="IK98">
        <v>0</v>
      </c>
    </row>
    <row r="99" spans="1:255" x14ac:dyDescent="0.2">
      <c r="A99" s="2">
        <v>17</v>
      </c>
      <c r="B99" s="2">
        <v>1</v>
      </c>
      <c r="C99" s="2"/>
      <c r="D99" s="2">
        <f>ROW(EtalonRes!A89)</f>
        <v>89</v>
      </c>
      <c r="E99" s="2" t="s">
        <v>175</v>
      </c>
      <c r="F99" s="2" t="s">
        <v>171</v>
      </c>
      <c r="G99" s="2" t="s">
        <v>172</v>
      </c>
      <c r="H99" s="2" t="s">
        <v>161</v>
      </c>
      <c r="I99" s="2">
        <f>ROUND((69.5*0.7)/100,9)</f>
        <v>0.48649999999999999</v>
      </c>
      <c r="J99" s="2">
        <v>0</v>
      </c>
      <c r="K99" s="2">
        <f>ROUND((69.5*0.7)/100,9)</f>
        <v>0.48649999999999999</v>
      </c>
      <c r="L99" s="2"/>
      <c r="M99" s="2"/>
      <c r="N99" s="2"/>
      <c r="O99" s="2">
        <f t="shared" si="69"/>
        <v>74.64</v>
      </c>
      <c r="P99" s="2">
        <f t="shared" si="70"/>
        <v>0</v>
      </c>
      <c r="Q99" s="2">
        <f>(ROUND((ROUND((((ET99*1.05))*AV99*I99),2)*BB99),2)+ROUND((ROUND(((AE99-((EU99*1.05)))*AV99*I99),2)*BS99),2))</f>
        <v>59.33</v>
      </c>
      <c r="R99" s="2">
        <f t="shared" si="71"/>
        <v>9.01</v>
      </c>
      <c r="S99" s="2">
        <f t="shared" si="72"/>
        <v>15.31</v>
      </c>
      <c r="T99" s="2">
        <f t="shared" si="73"/>
        <v>0</v>
      </c>
      <c r="U99" s="2">
        <f t="shared" si="74"/>
        <v>1.2427146269999998</v>
      </c>
      <c r="V99" s="2">
        <f t="shared" si="75"/>
        <v>0</v>
      </c>
      <c r="W99" s="2">
        <f t="shared" si="76"/>
        <v>0</v>
      </c>
      <c r="X99" s="2">
        <f t="shared" si="77"/>
        <v>17.149999999999999</v>
      </c>
      <c r="Y99" s="2">
        <f t="shared" si="78"/>
        <v>10.72</v>
      </c>
      <c r="Z99" s="2"/>
      <c r="AA99" s="2">
        <v>56622490</v>
      </c>
      <c r="AB99" s="2">
        <f t="shared" si="79"/>
        <v>143.79750000000001</v>
      </c>
      <c r="AC99" s="2">
        <f t="shared" si="98"/>
        <v>0</v>
      </c>
      <c r="AD99" s="2">
        <f>ROUND(((((ET99*1.05))-((EU99*1.05)))+AE99),6)</f>
        <v>114.303</v>
      </c>
      <c r="AE99" s="2">
        <f t="shared" ref="AE99:AF102" si="99">ROUND(((EU99*1.05)),6)</f>
        <v>17.3565</v>
      </c>
      <c r="AF99" s="2">
        <f t="shared" si="99"/>
        <v>29.494499999999999</v>
      </c>
      <c r="AG99" s="2">
        <f t="shared" si="80"/>
        <v>0</v>
      </c>
      <c r="AH99" s="2">
        <f t="shared" ref="AH99:AI102" si="100">((EW99*1.05))</f>
        <v>2.3939999999999997</v>
      </c>
      <c r="AI99" s="2">
        <f t="shared" si="100"/>
        <v>0</v>
      </c>
      <c r="AJ99" s="2">
        <f t="shared" si="81"/>
        <v>0</v>
      </c>
      <c r="AK99" s="2">
        <v>136.94999999999999</v>
      </c>
      <c r="AL99" s="2">
        <v>0</v>
      </c>
      <c r="AM99" s="2">
        <v>108.86</v>
      </c>
      <c r="AN99" s="2">
        <v>16.53</v>
      </c>
      <c r="AO99" s="2">
        <v>28.09</v>
      </c>
      <c r="AP99" s="2">
        <v>0</v>
      </c>
      <c r="AQ99" s="2">
        <v>2.2799999999999998</v>
      </c>
      <c r="AR99" s="2">
        <v>0</v>
      </c>
      <c r="AS99" s="2">
        <v>0</v>
      </c>
      <c r="AT99" s="2">
        <v>112</v>
      </c>
      <c r="AU99" s="2">
        <v>70</v>
      </c>
      <c r="AV99" s="2">
        <v>1.0669999999999999</v>
      </c>
      <c r="AW99" s="2">
        <v>1.081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0</v>
      </c>
      <c r="BI99" s="2">
        <v>2</v>
      </c>
      <c r="BJ99" s="2" t="s">
        <v>173</v>
      </c>
      <c r="BK99" s="2"/>
      <c r="BL99" s="2"/>
      <c r="BM99" s="2">
        <v>318</v>
      </c>
      <c r="BN99" s="2">
        <v>0</v>
      </c>
      <c r="BO99" s="2" t="s">
        <v>3</v>
      </c>
      <c r="BP99" s="2">
        <v>0</v>
      </c>
      <c r="BQ99" s="2">
        <v>40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112</v>
      </c>
      <c r="CA99" s="2">
        <v>70</v>
      </c>
      <c r="CB99" s="2" t="s">
        <v>3</v>
      </c>
      <c r="CC99" s="2"/>
      <c r="CD99" s="2"/>
      <c r="CE99" s="2">
        <v>30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708</v>
      </c>
      <c r="CO99" s="2">
        <v>0</v>
      </c>
      <c r="CP99" s="2">
        <f t="shared" si="82"/>
        <v>74.64</v>
      </c>
      <c r="CQ99" s="2">
        <f t="shared" si="83"/>
        <v>0</v>
      </c>
      <c r="CR99" s="2">
        <f>(ROUND((ROUND((((ET99*1.05))*AV99*1),2)*BB99),2)+ROUND((ROUND(((AE99-((EU99*1.05)))*AV99*1),2)*BS99),2))</f>
        <v>121.96</v>
      </c>
      <c r="CS99" s="2">
        <f t="shared" si="84"/>
        <v>18.52</v>
      </c>
      <c r="CT99" s="2">
        <f t="shared" si="85"/>
        <v>31.47</v>
      </c>
      <c r="CU99" s="2">
        <f t="shared" si="86"/>
        <v>0</v>
      </c>
      <c r="CV99" s="2">
        <f t="shared" si="87"/>
        <v>2.5543979999999995</v>
      </c>
      <c r="CW99" s="2">
        <f t="shared" si="88"/>
        <v>0</v>
      </c>
      <c r="CX99" s="2">
        <f t="shared" si="89"/>
        <v>0</v>
      </c>
      <c r="CY99" s="2">
        <f>((S99*BZ99)/100)</f>
        <v>17.147200000000002</v>
      </c>
      <c r="CZ99" s="2">
        <f>((S99*CA99)/100)</f>
        <v>10.717000000000001</v>
      </c>
      <c r="DA99" s="2"/>
      <c r="DB99" s="2">
        <v>41</v>
      </c>
      <c r="DC99" s="2" t="s">
        <v>3</v>
      </c>
      <c r="DD99" s="2" t="s">
        <v>3</v>
      </c>
      <c r="DE99" s="2" t="s">
        <v>22</v>
      </c>
      <c r="DF99" s="2" t="s">
        <v>22</v>
      </c>
      <c r="DG99" s="2" t="s">
        <v>22</v>
      </c>
      <c r="DH99" s="2" t="s">
        <v>3</v>
      </c>
      <c r="DI99" s="2" t="s">
        <v>22</v>
      </c>
      <c r="DJ99" s="2" t="s">
        <v>22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1013</v>
      </c>
      <c r="DV99" s="2" t="s">
        <v>161</v>
      </c>
      <c r="DW99" s="2" t="s">
        <v>161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51696357</v>
      </c>
      <c r="EF99" s="2">
        <v>40</v>
      </c>
      <c r="EG99" s="2" t="s">
        <v>165</v>
      </c>
      <c r="EH99" s="2">
        <v>0</v>
      </c>
      <c r="EI99" s="2" t="s">
        <v>3</v>
      </c>
      <c r="EJ99" s="2">
        <v>2</v>
      </c>
      <c r="EK99" s="2">
        <v>318</v>
      </c>
      <c r="EL99" s="2" t="s">
        <v>166</v>
      </c>
      <c r="EM99" s="2" t="s">
        <v>167</v>
      </c>
      <c r="EN99" s="2"/>
      <c r="EO99" s="2" t="s">
        <v>26</v>
      </c>
      <c r="EP99" s="2"/>
      <c r="EQ99" s="2">
        <v>131072</v>
      </c>
      <c r="ER99" s="2">
        <v>136.94999999999999</v>
      </c>
      <c r="ES99" s="2">
        <v>0</v>
      </c>
      <c r="ET99" s="2">
        <v>108.86</v>
      </c>
      <c r="EU99" s="2">
        <v>16.53</v>
      </c>
      <c r="EV99" s="2">
        <v>28.09</v>
      </c>
      <c r="EW99" s="2">
        <v>2.2799999999999998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v>0</v>
      </c>
      <c r="FS99" s="2">
        <v>0</v>
      </c>
      <c r="FT99" s="2"/>
      <c r="FU99" s="2"/>
      <c r="FV99" s="2"/>
      <c r="FW99" s="2"/>
      <c r="FX99" s="2">
        <v>112</v>
      </c>
      <c r="FY99" s="2">
        <v>70</v>
      </c>
      <c r="FZ99" s="2"/>
      <c r="GA99" s="2" t="s">
        <v>3</v>
      </c>
      <c r="GB99" s="2"/>
      <c r="GC99" s="2"/>
      <c r="GD99" s="2">
        <v>0</v>
      </c>
      <c r="GE99" s="2"/>
      <c r="GF99" s="2">
        <v>-2050852561</v>
      </c>
      <c r="GG99" s="2">
        <v>2</v>
      </c>
      <c r="GH99" s="2">
        <v>1</v>
      </c>
      <c r="GI99" s="2">
        <v>-2</v>
      </c>
      <c r="GJ99" s="2">
        <v>0</v>
      </c>
      <c r="GK99" s="2">
        <f>ROUND(R99*(R12)/100,2)</f>
        <v>15.77</v>
      </c>
      <c r="GL99" s="2">
        <f t="shared" si="90"/>
        <v>0</v>
      </c>
      <c r="GM99" s="2">
        <f t="shared" si="91"/>
        <v>118.28</v>
      </c>
      <c r="GN99" s="2">
        <f t="shared" si="92"/>
        <v>0</v>
      </c>
      <c r="GO99" s="2">
        <f t="shared" si="93"/>
        <v>118.28</v>
      </c>
      <c r="GP99" s="2">
        <f t="shared" si="94"/>
        <v>0</v>
      </c>
      <c r="GQ99" s="2"/>
      <c r="GR99" s="2">
        <v>0</v>
      </c>
      <c r="GS99" s="2">
        <v>0</v>
      </c>
      <c r="GT99" s="2">
        <v>0</v>
      </c>
      <c r="GU99" s="2" t="s">
        <v>3</v>
      </c>
      <c r="GV99" s="2">
        <f t="shared" si="95"/>
        <v>0</v>
      </c>
      <c r="GW99" s="2">
        <v>1</v>
      </c>
      <c r="GX99" s="2">
        <f t="shared" si="96"/>
        <v>0</v>
      </c>
      <c r="GY99" s="2"/>
      <c r="GZ99" s="2"/>
      <c r="HA99" s="2">
        <v>0</v>
      </c>
      <c r="HB99" s="2">
        <v>0</v>
      </c>
      <c r="HC99" s="2">
        <f t="shared" si="97"/>
        <v>0</v>
      </c>
      <c r="HD99" s="2"/>
      <c r="HE99" s="2" t="s">
        <v>3</v>
      </c>
      <c r="HF99" s="2" t="s">
        <v>3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">
      <c r="A100">
        <v>17</v>
      </c>
      <c r="B100">
        <v>1</v>
      </c>
      <c r="D100">
        <f>ROW(EtalonRes!A92)</f>
        <v>92</v>
      </c>
      <c r="E100" t="s">
        <v>175</v>
      </c>
      <c r="F100" t="s">
        <v>171</v>
      </c>
      <c r="G100" t="s">
        <v>172</v>
      </c>
      <c r="H100" t="s">
        <v>161</v>
      </c>
      <c r="I100">
        <f>ROUND((69.5*0.7)/100,9)</f>
        <v>0.48649999999999999</v>
      </c>
      <c r="J100">
        <v>0</v>
      </c>
      <c r="K100">
        <f>ROUND((69.5*0.7)/100,9)</f>
        <v>0.48649999999999999</v>
      </c>
      <c r="O100">
        <f t="shared" si="69"/>
        <v>1291.33</v>
      </c>
      <c r="P100">
        <f t="shared" si="70"/>
        <v>0</v>
      </c>
      <c r="Q100">
        <f>(ROUND((ROUND((((ET100*1.05))*AV100*I100),2)*BB100),2)+ROUND((ROUND(((AE100-((EU100*1.05)))*AV100*I100),2)*BS100),2))</f>
        <v>762.98</v>
      </c>
      <c r="R100">
        <f t="shared" si="71"/>
        <v>310.94</v>
      </c>
      <c r="S100">
        <f t="shared" si="72"/>
        <v>528.35</v>
      </c>
      <c r="T100">
        <f t="shared" si="73"/>
        <v>0</v>
      </c>
      <c r="U100">
        <f t="shared" si="74"/>
        <v>1.2427146269999998</v>
      </c>
      <c r="V100">
        <f t="shared" si="75"/>
        <v>0</v>
      </c>
      <c r="W100">
        <f t="shared" si="76"/>
        <v>0</v>
      </c>
      <c r="X100">
        <f t="shared" si="77"/>
        <v>486.08</v>
      </c>
      <c r="Y100">
        <f t="shared" si="78"/>
        <v>227.19</v>
      </c>
      <c r="AA100">
        <v>56610029</v>
      </c>
      <c r="AB100">
        <f t="shared" si="79"/>
        <v>143.79750000000001</v>
      </c>
      <c r="AC100">
        <f t="shared" si="98"/>
        <v>0</v>
      </c>
      <c r="AD100">
        <f>ROUND(((((ET100*1.05))-((EU100*1.05)))+AE100),6)</f>
        <v>114.303</v>
      </c>
      <c r="AE100">
        <f t="shared" si="99"/>
        <v>17.3565</v>
      </c>
      <c r="AF100">
        <f t="shared" si="99"/>
        <v>29.494499999999999</v>
      </c>
      <c r="AG100">
        <f t="shared" si="80"/>
        <v>0</v>
      </c>
      <c r="AH100">
        <f t="shared" si="100"/>
        <v>2.3939999999999997</v>
      </c>
      <c r="AI100">
        <f t="shared" si="100"/>
        <v>0</v>
      </c>
      <c r="AJ100">
        <f t="shared" si="81"/>
        <v>0</v>
      </c>
      <c r="AK100">
        <v>136.94999999999999</v>
      </c>
      <c r="AL100">
        <v>0</v>
      </c>
      <c r="AM100">
        <v>108.86</v>
      </c>
      <c r="AN100">
        <v>16.53</v>
      </c>
      <c r="AO100">
        <v>28.09</v>
      </c>
      <c r="AP100">
        <v>0</v>
      </c>
      <c r="AQ100">
        <v>2.2799999999999998</v>
      </c>
      <c r="AR100">
        <v>0</v>
      </c>
      <c r="AS100">
        <v>0</v>
      </c>
      <c r="AT100">
        <v>92</v>
      </c>
      <c r="AU100">
        <v>43</v>
      </c>
      <c r="AV100">
        <v>1.0669999999999999</v>
      </c>
      <c r="AW100">
        <v>1.081</v>
      </c>
      <c r="AZ100">
        <v>1</v>
      </c>
      <c r="BA100">
        <v>34.51</v>
      </c>
      <c r="BB100">
        <v>12.86</v>
      </c>
      <c r="BC100">
        <v>1</v>
      </c>
      <c r="BD100" t="s">
        <v>3</v>
      </c>
      <c r="BE100" t="s">
        <v>3</v>
      </c>
      <c r="BF100" t="s">
        <v>3</v>
      </c>
      <c r="BG100" t="s">
        <v>3</v>
      </c>
      <c r="BH100">
        <v>0</v>
      </c>
      <c r="BI100">
        <v>2</v>
      </c>
      <c r="BJ100" t="s">
        <v>173</v>
      </c>
      <c r="BM100">
        <v>318</v>
      </c>
      <c r="BN100">
        <v>0</v>
      </c>
      <c r="BO100" t="s">
        <v>171</v>
      </c>
      <c r="BP100">
        <v>1</v>
      </c>
      <c r="BQ100">
        <v>40</v>
      </c>
      <c r="BR100">
        <v>0</v>
      </c>
      <c r="BS100">
        <v>34.51</v>
      </c>
      <c r="BT100">
        <v>1</v>
      </c>
      <c r="BU100">
        <v>1</v>
      </c>
      <c r="BV100">
        <v>1</v>
      </c>
      <c r="BW100">
        <v>1</v>
      </c>
      <c r="BX100">
        <v>1</v>
      </c>
      <c r="BY100" t="s">
        <v>3</v>
      </c>
      <c r="BZ100">
        <v>92</v>
      </c>
      <c r="CA100">
        <v>43</v>
      </c>
      <c r="CB100" t="s">
        <v>3</v>
      </c>
      <c r="CE100">
        <v>30</v>
      </c>
      <c r="CF100">
        <v>0</v>
      </c>
      <c r="CG100">
        <v>0</v>
      </c>
      <c r="CM100">
        <v>0</v>
      </c>
      <c r="CN100" t="s">
        <v>708</v>
      </c>
      <c r="CO100">
        <v>0</v>
      </c>
      <c r="CP100">
        <f t="shared" si="82"/>
        <v>1291.33</v>
      </c>
      <c r="CQ100">
        <f t="shared" si="83"/>
        <v>0</v>
      </c>
      <c r="CR100">
        <f>(ROUND((ROUND((((ET100*1.05))*AV100*1),2)*BB100),2)+ROUND((ROUND(((AE100-((EU100*1.05)))*AV100*1),2)*BS100),2))</f>
        <v>1568.41</v>
      </c>
      <c r="CS100">
        <f t="shared" si="84"/>
        <v>639.13</v>
      </c>
      <c r="CT100">
        <f t="shared" si="85"/>
        <v>1086.03</v>
      </c>
      <c r="CU100">
        <f t="shared" si="86"/>
        <v>0</v>
      </c>
      <c r="CV100">
        <f t="shared" si="87"/>
        <v>2.5543979999999995</v>
      </c>
      <c r="CW100">
        <f t="shared" si="88"/>
        <v>0</v>
      </c>
      <c r="CX100">
        <f t="shared" si="89"/>
        <v>0</v>
      </c>
      <c r="CY100">
        <f>S100*(BZ100/100)</f>
        <v>486.08200000000005</v>
      </c>
      <c r="CZ100">
        <f>S100*(CA100/100)</f>
        <v>227.19050000000001</v>
      </c>
      <c r="DB100">
        <v>42</v>
      </c>
      <c r="DC100" t="s">
        <v>3</v>
      </c>
      <c r="DD100" t="s">
        <v>3</v>
      </c>
      <c r="DE100" t="s">
        <v>22</v>
      </c>
      <c r="DF100" t="s">
        <v>22</v>
      </c>
      <c r="DG100" t="s">
        <v>22</v>
      </c>
      <c r="DH100" t="s">
        <v>3</v>
      </c>
      <c r="DI100" t="s">
        <v>22</v>
      </c>
      <c r="DJ100" t="s">
        <v>22</v>
      </c>
      <c r="DK100" t="s">
        <v>3</v>
      </c>
      <c r="DL100" t="s">
        <v>3</v>
      </c>
      <c r="DM100" t="s">
        <v>3</v>
      </c>
      <c r="DN100">
        <v>112</v>
      </c>
      <c r="DO100">
        <v>70</v>
      </c>
      <c r="DP100">
        <v>1.0669999999999999</v>
      </c>
      <c r="DQ100">
        <v>1.081</v>
      </c>
      <c r="DU100">
        <v>1013</v>
      </c>
      <c r="DV100" t="s">
        <v>161</v>
      </c>
      <c r="DW100" t="s">
        <v>161</v>
      </c>
      <c r="DX100">
        <v>1</v>
      </c>
      <c r="DZ100" t="s">
        <v>3</v>
      </c>
      <c r="EA100" t="s">
        <v>3</v>
      </c>
      <c r="EB100" t="s">
        <v>3</v>
      </c>
      <c r="EC100" t="s">
        <v>3</v>
      </c>
      <c r="EE100">
        <v>51696357</v>
      </c>
      <c r="EF100">
        <v>40</v>
      </c>
      <c r="EG100" t="s">
        <v>165</v>
      </c>
      <c r="EH100">
        <v>0</v>
      </c>
      <c r="EI100" t="s">
        <v>3</v>
      </c>
      <c r="EJ100">
        <v>2</v>
      </c>
      <c r="EK100">
        <v>318</v>
      </c>
      <c r="EL100" t="s">
        <v>166</v>
      </c>
      <c r="EM100" t="s">
        <v>167</v>
      </c>
      <c r="EO100" t="s">
        <v>26</v>
      </c>
      <c r="EQ100">
        <v>131072</v>
      </c>
      <c r="ER100">
        <v>136.94999999999999</v>
      </c>
      <c r="ES100">
        <v>0</v>
      </c>
      <c r="ET100">
        <v>108.86</v>
      </c>
      <c r="EU100">
        <v>16.53</v>
      </c>
      <c r="EV100">
        <v>28.09</v>
      </c>
      <c r="EW100">
        <v>2.2799999999999998</v>
      </c>
      <c r="EX100">
        <v>0</v>
      </c>
      <c r="EY100">
        <v>0</v>
      </c>
      <c r="FQ100">
        <v>0</v>
      </c>
      <c r="FR100">
        <v>0</v>
      </c>
      <c r="FS100">
        <v>0</v>
      </c>
      <c r="FX100">
        <v>112</v>
      </c>
      <c r="FY100">
        <v>70</v>
      </c>
      <c r="GA100" t="s">
        <v>3</v>
      </c>
      <c r="GD100">
        <v>0</v>
      </c>
      <c r="GF100">
        <v>-2050852561</v>
      </c>
      <c r="GG100">
        <v>2</v>
      </c>
      <c r="GH100">
        <v>1</v>
      </c>
      <c r="GI100">
        <v>2</v>
      </c>
      <c r="GJ100">
        <v>0</v>
      </c>
      <c r="GK100">
        <f>ROUND(R100*(S12)/100,2)</f>
        <v>497.5</v>
      </c>
      <c r="GL100">
        <f t="shared" si="90"/>
        <v>0</v>
      </c>
      <c r="GM100">
        <f t="shared" si="91"/>
        <v>2502.1</v>
      </c>
      <c r="GN100">
        <f t="shared" si="92"/>
        <v>0</v>
      </c>
      <c r="GO100">
        <f t="shared" si="93"/>
        <v>2502.1</v>
      </c>
      <c r="GP100">
        <f t="shared" si="94"/>
        <v>0</v>
      </c>
      <c r="GR100">
        <v>0</v>
      </c>
      <c r="GS100">
        <v>3</v>
      </c>
      <c r="GT100">
        <v>0</v>
      </c>
      <c r="GU100" t="s">
        <v>3</v>
      </c>
      <c r="GV100">
        <f t="shared" si="95"/>
        <v>0</v>
      </c>
      <c r="GW100">
        <v>1</v>
      </c>
      <c r="GX100">
        <f t="shared" si="96"/>
        <v>0</v>
      </c>
      <c r="HA100">
        <v>0</v>
      </c>
      <c r="HB100">
        <v>0</v>
      </c>
      <c r="HC100">
        <f t="shared" si="97"/>
        <v>0</v>
      </c>
      <c r="HE100" t="s">
        <v>3</v>
      </c>
      <c r="HF100" t="s">
        <v>3</v>
      </c>
      <c r="HM100" t="s">
        <v>3</v>
      </c>
      <c r="HN100" t="s">
        <v>3</v>
      </c>
      <c r="HO100" t="s">
        <v>3</v>
      </c>
      <c r="HP100" t="s">
        <v>3</v>
      </c>
      <c r="HQ100" t="s">
        <v>3</v>
      </c>
      <c r="HS100">
        <v>0</v>
      </c>
      <c r="IK100">
        <v>0</v>
      </c>
    </row>
    <row r="101" spans="1:255" x14ac:dyDescent="0.2">
      <c r="A101" s="2">
        <v>17</v>
      </c>
      <c r="B101" s="2">
        <v>1</v>
      </c>
      <c r="C101" s="2"/>
      <c r="D101" s="2"/>
      <c r="E101" s="2" t="s">
        <v>176</v>
      </c>
      <c r="F101" s="2" t="s">
        <v>83</v>
      </c>
      <c r="G101" s="2" t="s">
        <v>84</v>
      </c>
      <c r="H101" s="2" t="s">
        <v>85</v>
      </c>
      <c r="I101" s="2">
        <v>4.22</v>
      </c>
      <c r="J101" s="2">
        <v>0</v>
      </c>
      <c r="K101" s="2">
        <v>4.22</v>
      </c>
      <c r="L101" s="2"/>
      <c r="M101" s="2"/>
      <c r="N101" s="2"/>
      <c r="O101" s="2">
        <f t="shared" si="69"/>
        <v>443.06</v>
      </c>
      <c r="P101" s="2">
        <f t="shared" si="70"/>
        <v>443.06</v>
      </c>
      <c r="Q101" s="2">
        <f>(ROUND((ROUND((((ET101*1.05))*AV101*I101),2)*BB101),2)+ROUND((ROUND(((AE101-((EU101*1.05)))*AV101*I101),2)*BS101),2))</f>
        <v>0</v>
      </c>
      <c r="R101" s="2">
        <f t="shared" si="71"/>
        <v>0</v>
      </c>
      <c r="S101" s="2">
        <f t="shared" si="72"/>
        <v>0</v>
      </c>
      <c r="T101" s="2">
        <f t="shared" si="73"/>
        <v>0</v>
      </c>
      <c r="U101" s="2">
        <f t="shared" si="74"/>
        <v>0</v>
      </c>
      <c r="V101" s="2">
        <f t="shared" si="75"/>
        <v>0</v>
      </c>
      <c r="W101" s="2">
        <f t="shared" si="76"/>
        <v>0</v>
      </c>
      <c r="X101" s="2">
        <f t="shared" si="77"/>
        <v>0</v>
      </c>
      <c r="Y101" s="2">
        <f t="shared" si="78"/>
        <v>0</v>
      </c>
      <c r="Z101" s="2"/>
      <c r="AA101" s="2">
        <v>56622490</v>
      </c>
      <c r="AB101" s="2">
        <f t="shared" si="79"/>
        <v>104.99</v>
      </c>
      <c r="AC101" s="2">
        <f t="shared" si="98"/>
        <v>104.99</v>
      </c>
      <c r="AD101" s="2">
        <f>ROUND(((((ET101*1.05))-((EU101*1.05)))+AE101),6)</f>
        <v>0</v>
      </c>
      <c r="AE101" s="2">
        <f t="shared" si="99"/>
        <v>0</v>
      </c>
      <c r="AF101" s="2">
        <f t="shared" si="99"/>
        <v>0</v>
      </c>
      <c r="AG101" s="2">
        <f t="shared" si="80"/>
        <v>0</v>
      </c>
      <c r="AH101" s="2">
        <f t="shared" si="100"/>
        <v>0</v>
      </c>
      <c r="AI101" s="2">
        <f t="shared" si="100"/>
        <v>0</v>
      </c>
      <c r="AJ101" s="2">
        <f t="shared" si="81"/>
        <v>0</v>
      </c>
      <c r="AK101" s="2">
        <v>104.99</v>
      </c>
      <c r="AL101" s="2">
        <v>104.99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1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3</v>
      </c>
      <c r="BI101" s="2">
        <v>1</v>
      </c>
      <c r="BJ101" s="2" t="s">
        <v>86</v>
      </c>
      <c r="BK101" s="2"/>
      <c r="BL101" s="2"/>
      <c r="BM101" s="2">
        <v>1617</v>
      </c>
      <c r="BN101" s="2">
        <v>0</v>
      </c>
      <c r="BO101" s="2" t="s">
        <v>3</v>
      </c>
      <c r="BP101" s="2">
        <v>0</v>
      </c>
      <c r="BQ101" s="2">
        <v>200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0</v>
      </c>
      <c r="CA101" s="2">
        <v>0</v>
      </c>
      <c r="CB101" s="2" t="s">
        <v>3</v>
      </c>
      <c r="CC101" s="2"/>
      <c r="CD101" s="2"/>
      <c r="CE101" s="2">
        <v>30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708</v>
      </c>
      <c r="CO101" s="2">
        <v>0</v>
      </c>
      <c r="CP101" s="2">
        <f t="shared" si="82"/>
        <v>443.06</v>
      </c>
      <c r="CQ101" s="2">
        <f t="shared" si="83"/>
        <v>104.99</v>
      </c>
      <c r="CR101" s="2">
        <f>(ROUND((ROUND((((ET101*1.05))*AV101*1),2)*BB101),2)+ROUND((ROUND(((AE101-((EU101*1.05)))*AV101*1),2)*BS101),2))</f>
        <v>0</v>
      </c>
      <c r="CS101" s="2">
        <f t="shared" si="84"/>
        <v>0</v>
      </c>
      <c r="CT101" s="2">
        <f t="shared" si="85"/>
        <v>0</v>
      </c>
      <c r="CU101" s="2">
        <f t="shared" si="86"/>
        <v>0</v>
      </c>
      <c r="CV101" s="2">
        <f t="shared" si="87"/>
        <v>0</v>
      </c>
      <c r="CW101" s="2">
        <f t="shared" si="88"/>
        <v>0</v>
      </c>
      <c r="CX101" s="2">
        <f t="shared" si="89"/>
        <v>0</v>
      </c>
      <c r="CY101" s="2">
        <f>((S101*BZ101)/100)</f>
        <v>0</v>
      </c>
      <c r="CZ101" s="2">
        <f>((S101*CA101)/100)</f>
        <v>0</v>
      </c>
      <c r="DA101" s="2"/>
      <c r="DB101" s="2">
        <v>43</v>
      </c>
      <c r="DC101" s="2" t="s">
        <v>3</v>
      </c>
      <c r="DD101" s="2" t="s">
        <v>3</v>
      </c>
      <c r="DE101" s="2" t="s">
        <v>22</v>
      </c>
      <c r="DF101" s="2" t="s">
        <v>22</v>
      </c>
      <c r="DG101" s="2" t="s">
        <v>22</v>
      </c>
      <c r="DH101" s="2" t="s">
        <v>3</v>
      </c>
      <c r="DI101" s="2" t="s">
        <v>22</v>
      </c>
      <c r="DJ101" s="2" t="s">
        <v>22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1007</v>
      </c>
      <c r="DV101" s="2" t="s">
        <v>85</v>
      </c>
      <c r="DW101" s="2" t="s">
        <v>85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51697656</v>
      </c>
      <c r="EF101" s="2">
        <v>200</v>
      </c>
      <c r="EG101" s="2" t="s">
        <v>59</v>
      </c>
      <c r="EH101" s="2">
        <v>0</v>
      </c>
      <c r="EI101" s="2" t="s">
        <v>3</v>
      </c>
      <c r="EJ101" s="2">
        <v>1</v>
      </c>
      <c r="EK101" s="2">
        <v>1617</v>
      </c>
      <c r="EL101" s="2" t="s">
        <v>60</v>
      </c>
      <c r="EM101" s="2" t="s">
        <v>61</v>
      </c>
      <c r="EN101" s="2"/>
      <c r="EO101" s="2" t="s">
        <v>26</v>
      </c>
      <c r="EP101" s="2"/>
      <c r="EQ101" s="2">
        <v>131072</v>
      </c>
      <c r="ER101" s="2">
        <v>104.99</v>
      </c>
      <c r="ES101" s="2">
        <v>104.99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0</v>
      </c>
      <c r="FT101" s="2"/>
      <c r="FU101" s="2"/>
      <c r="FV101" s="2"/>
      <c r="FW101" s="2"/>
      <c r="FX101" s="2">
        <v>0</v>
      </c>
      <c r="FY101" s="2">
        <v>0</v>
      </c>
      <c r="FZ101" s="2"/>
      <c r="GA101" s="2" t="s">
        <v>3</v>
      </c>
      <c r="GB101" s="2"/>
      <c r="GC101" s="2"/>
      <c r="GD101" s="2">
        <v>0</v>
      </c>
      <c r="GE101" s="2"/>
      <c r="GF101" s="2">
        <v>-449487181</v>
      </c>
      <c r="GG101" s="2">
        <v>2</v>
      </c>
      <c r="GH101" s="2">
        <v>1</v>
      </c>
      <c r="GI101" s="2">
        <v>-2</v>
      </c>
      <c r="GJ101" s="2">
        <v>0</v>
      </c>
      <c r="GK101" s="2">
        <f>ROUND(R101*(R12)/100,2)</f>
        <v>0</v>
      </c>
      <c r="GL101" s="2">
        <f t="shared" si="90"/>
        <v>0</v>
      </c>
      <c r="GM101" s="2">
        <f t="shared" si="91"/>
        <v>443.06</v>
      </c>
      <c r="GN101" s="2">
        <f t="shared" si="92"/>
        <v>443.06</v>
      </c>
      <c r="GO101" s="2">
        <f t="shared" si="93"/>
        <v>0</v>
      </c>
      <c r="GP101" s="2">
        <f t="shared" si="94"/>
        <v>0</v>
      </c>
      <c r="GQ101" s="2"/>
      <c r="GR101" s="2">
        <v>0</v>
      </c>
      <c r="GS101" s="2">
        <v>0</v>
      </c>
      <c r="GT101" s="2">
        <v>0</v>
      </c>
      <c r="GU101" s="2" t="s">
        <v>3</v>
      </c>
      <c r="GV101" s="2">
        <f t="shared" si="95"/>
        <v>0</v>
      </c>
      <c r="GW101" s="2">
        <v>1</v>
      </c>
      <c r="GX101" s="2">
        <f t="shared" si="96"/>
        <v>0</v>
      </c>
      <c r="GY101" s="2"/>
      <c r="GZ101" s="2"/>
      <c r="HA101" s="2">
        <v>0</v>
      </c>
      <c r="HB101" s="2">
        <v>0</v>
      </c>
      <c r="HC101" s="2">
        <f t="shared" si="97"/>
        <v>0</v>
      </c>
      <c r="HD101" s="2"/>
      <c r="HE101" s="2" t="s">
        <v>3</v>
      </c>
      <c r="HF101" s="2" t="s">
        <v>3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">
      <c r="A102">
        <v>17</v>
      </c>
      <c r="B102">
        <v>1</v>
      </c>
      <c r="E102" t="s">
        <v>176</v>
      </c>
      <c r="F102" t="s">
        <v>83</v>
      </c>
      <c r="G102" t="s">
        <v>84</v>
      </c>
      <c r="H102" t="s">
        <v>85</v>
      </c>
      <c r="I102">
        <v>4.22</v>
      </c>
      <c r="J102">
        <v>0</v>
      </c>
      <c r="K102">
        <v>4.22</v>
      </c>
      <c r="O102">
        <f t="shared" si="69"/>
        <v>3407.13</v>
      </c>
      <c r="P102">
        <f t="shared" si="70"/>
        <v>3407.13</v>
      </c>
      <c r="Q102">
        <f>(ROUND((ROUND((((ET102*1.05))*AV102*I102),2)*BB102),2)+ROUND((ROUND(((AE102-((EU102*1.05)))*AV102*I102),2)*BS102),2))</f>
        <v>0</v>
      </c>
      <c r="R102">
        <f t="shared" si="71"/>
        <v>0</v>
      </c>
      <c r="S102">
        <f t="shared" si="72"/>
        <v>0</v>
      </c>
      <c r="T102">
        <f t="shared" si="73"/>
        <v>0</v>
      </c>
      <c r="U102">
        <f t="shared" si="74"/>
        <v>0</v>
      </c>
      <c r="V102">
        <f t="shared" si="75"/>
        <v>0</v>
      </c>
      <c r="W102">
        <f t="shared" si="76"/>
        <v>0</v>
      </c>
      <c r="X102">
        <f t="shared" si="77"/>
        <v>0</v>
      </c>
      <c r="Y102">
        <f t="shared" si="78"/>
        <v>0</v>
      </c>
      <c r="AA102">
        <v>56610029</v>
      </c>
      <c r="AB102">
        <f t="shared" si="79"/>
        <v>104.99</v>
      </c>
      <c r="AC102">
        <f t="shared" si="98"/>
        <v>104.99</v>
      </c>
      <c r="AD102">
        <f>ROUND(((((ET102*1.05))-((EU102*1.05)))+AE102),6)</f>
        <v>0</v>
      </c>
      <c r="AE102">
        <f t="shared" si="99"/>
        <v>0</v>
      </c>
      <c r="AF102">
        <f t="shared" si="99"/>
        <v>0</v>
      </c>
      <c r="AG102">
        <f t="shared" si="80"/>
        <v>0</v>
      </c>
      <c r="AH102">
        <f t="shared" si="100"/>
        <v>0</v>
      </c>
      <c r="AI102">
        <f t="shared" si="100"/>
        <v>0</v>
      </c>
      <c r="AJ102">
        <f t="shared" si="81"/>
        <v>0</v>
      </c>
      <c r="AK102">
        <v>104.99</v>
      </c>
      <c r="AL102">
        <v>104.99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1</v>
      </c>
      <c r="AZ102">
        <v>1</v>
      </c>
      <c r="BA102">
        <v>1</v>
      </c>
      <c r="BB102">
        <v>1</v>
      </c>
      <c r="BC102">
        <v>7.69</v>
      </c>
      <c r="BD102" t="s">
        <v>3</v>
      </c>
      <c r="BE102" t="s">
        <v>3</v>
      </c>
      <c r="BF102" t="s">
        <v>3</v>
      </c>
      <c r="BG102" t="s">
        <v>3</v>
      </c>
      <c r="BH102">
        <v>3</v>
      </c>
      <c r="BI102">
        <v>1</v>
      </c>
      <c r="BJ102" t="s">
        <v>86</v>
      </c>
      <c r="BM102">
        <v>1617</v>
      </c>
      <c r="BN102">
        <v>0</v>
      </c>
      <c r="BO102" t="s">
        <v>83</v>
      </c>
      <c r="BP102">
        <v>1</v>
      </c>
      <c r="BQ102">
        <v>200</v>
      </c>
      <c r="BR102">
        <v>0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 t="s">
        <v>3</v>
      </c>
      <c r="BZ102">
        <v>0</v>
      </c>
      <c r="CA102">
        <v>0</v>
      </c>
      <c r="CB102" t="s">
        <v>3</v>
      </c>
      <c r="CE102">
        <v>30</v>
      </c>
      <c r="CF102">
        <v>0</v>
      </c>
      <c r="CG102">
        <v>0</v>
      </c>
      <c r="CM102">
        <v>0</v>
      </c>
      <c r="CN102" t="s">
        <v>708</v>
      </c>
      <c r="CO102">
        <v>0</v>
      </c>
      <c r="CP102">
        <f t="shared" si="82"/>
        <v>3407.13</v>
      </c>
      <c r="CQ102">
        <f t="shared" si="83"/>
        <v>807.37</v>
      </c>
      <c r="CR102">
        <f>(ROUND((ROUND((((ET102*1.05))*AV102*1),2)*BB102),2)+ROUND((ROUND(((AE102-((EU102*1.05)))*AV102*1),2)*BS102),2))</f>
        <v>0</v>
      </c>
      <c r="CS102">
        <f t="shared" si="84"/>
        <v>0</v>
      </c>
      <c r="CT102">
        <f t="shared" si="85"/>
        <v>0</v>
      </c>
      <c r="CU102">
        <f t="shared" si="86"/>
        <v>0</v>
      </c>
      <c r="CV102">
        <f t="shared" si="87"/>
        <v>0</v>
      </c>
      <c r="CW102">
        <f t="shared" si="88"/>
        <v>0</v>
      </c>
      <c r="CX102">
        <f t="shared" si="89"/>
        <v>0</v>
      </c>
      <c r="CY102">
        <f>S102*(BZ102/100)</f>
        <v>0</v>
      </c>
      <c r="CZ102">
        <f>S102*(CA102/100)</f>
        <v>0</v>
      </c>
      <c r="DB102">
        <v>44</v>
      </c>
      <c r="DC102" t="s">
        <v>3</v>
      </c>
      <c r="DD102" t="s">
        <v>3</v>
      </c>
      <c r="DE102" t="s">
        <v>22</v>
      </c>
      <c r="DF102" t="s">
        <v>22</v>
      </c>
      <c r="DG102" t="s">
        <v>22</v>
      </c>
      <c r="DH102" t="s">
        <v>3</v>
      </c>
      <c r="DI102" t="s">
        <v>22</v>
      </c>
      <c r="DJ102" t="s">
        <v>22</v>
      </c>
      <c r="DK102" t="s">
        <v>3</v>
      </c>
      <c r="DL102" t="s">
        <v>3</v>
      </c>
      <c r="DM102" t="s">
        <v>3</v>
      </c>
      <c r="DN102">
        <v>0</v>
      </c>
      <c r="DO102">
        <v>0</v>
      </c>
      <c r="DP102">
        <v>1</v>
      </c>
      <c r="DQ102">
        <v>1</v>
      </c>
      <c r="DU102">
        <v>1007</v>
      </c>
      <c r="DV102" t="s">
        <v>85</v>
      </c>
      <c r="DW102" t="s">
        <v>85</v>
      </c>
      <c r="DX102">
        <v>1</v>
      </c>
      <c r="DZ102" t="s">
        <v>3</v>
      </c>
      <c r="EA102" t="s">
        <v>3</v>
      </c>
      <c r="EB102" t="s">
        <v>3</v>
      </c>
      <c r="EC102" t="s">
        <v>3</v>
      </c>
      <c r="EE102">
        <v>51697656</v>
      </c>
      <c r="EF102">
        <v>200</v>
      </c>
      <c r="EG102" t="s">
        <v>59</v>
      </c>
      <c r="EH102">
        <v>0</v>
      </c>
      <c r="EI102" t="s">
        <v>3</v>
      </c>
      <c r="EJ102">
        <v>1</v>
      </c>
      <c r="EK102">
        <v>1617</v>
      </c>
      <c r="EL102" t="s">
        <v>60</v>
      </c>
      <c r="EM102" t="s">
        <v>61</v>
      </c>
      <c r="EO102" t="s">
        <v>26</v>
      </c>
      <c r="EQ102">
        <v>131072</v>
      </c>
      <c r="ER102">
        <v>104.99</v>
      </c>
      <c r="ES102">
        <v>104.99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FQ102">
        <v>0</v>
      </c>
      <c r="FR102">
        <v>0</v>
      </c>
      <c r="FS102">
        <v>0</v>
      </c>
      <c r="FX102">
        <v>0</v>
      </c>
      <c r="FY102">
        <v>0</v>
      </c>
      <c r="GA102" t="s">
        <v>3</v>
      </c>
      <c r="GD102">
        <v>0</v>
      </c>
      <c r="GF102">
        <v>-449487181</v>
      </c>
      <c r="GG102">
        <v>2</v>
      </c>
      <c r="GH102">
        <v>1</v>
      </c>
      <c r="GI102">
        <v>2</v>
      </c>
      <c r="GJ102">
        <v>0</v>
      </c>
      <c r="GK102">
        <f>ROUND(R102*(S12)/100,2)</f>
        <v>0</v>
      </c>
      <c r="GL102">
        <f t="shared" si="90"/>
        <v>0</v>
      </c>
      <c r="GM102">
        <f t="shared" si="91"/>
        <v>3407.13</v>
      </c>
      <c r="GN102">
        <f t="shared" si="92"/>
        <v>3407.13</v>
      </c>
      <c r="GO102">
        <f t="shared" si="93"/>
        <v>0</v>
      </c>
      <c r="GP102">
        <f t="shared" si="94"/>
        <v>0</v>
      </c>
      <c r="GR102">
        <v>0</v>
      </c>
      <c r="GS102">
        <v>3</v>
      </c>
      <c r="GT102">
        <v>0</v>
      </c>
      <c r="GU102" t="s">
        <v>3</v>
      </c>
      <c r="GV102">
        <f t="shared" si="95"/>
        <v>0</v>
      </c>
      <c r="GW102">
        <v>1</v>
      </c>
      <c r="GX102">
        <f t="shared" si="96"/>
        <v>0</v>
      </c>
      <c r="HA102">
        <v>0</v>
      </c>
      <c r="HB102">
        <v>0</v>
      </c>
      <c r="HC102">
        <f t="shared" si="97"/>
        <v>0</v>
      </c>
      <c r="HE102" t="s">
        <v>3</v>
      </c>
      <c r="HF102" t="s">
        <v>3</v>
      </c>
      <c r="HM102" t="s">
        <v>3</v>
      </c>
      <c r="HN102" t="s">
        <v>3</v>
      </c>
      <c r="HO102" t="s">
        <v>3</v>
      </c>
      <c r="HP102" t="s">
        <v>3</v>
      </c>
      <c r="HQ102" t="s">
        <v>3</v>
      </c>
      <c r="HS102">
        <v>0</v>
      </c>
      <c r="IK102">
        <v>0</v>
      </c>
    </row>
    <row r="103" spans="1:255" x14ac:dyDescent="0.2">
      <c r="A103" s="2">
        <v>17</v>
      </c>
      <c r="B103" s="2">
        <v>1</v>
      </c>
      <c r="C103" s="2"/>
      <c r="D103" s="2">
        <f>ROW(EtalonRes!A106)</f>
        <v>106</v>
      </c>
      <c r="E103" s="2" t="s">
        <v>177</v>
      </c>
      <c r="F103" s="2" t="s">
        <v>178</v>
      </c>
      <c r="G103" s="2" t="s">
        <v>179</v>
      </c>
      <c r="H103" s="2" t="s">
        <v>161</v>
      </c>
      <c r="I103" s="2">
        <f>ROUND(290.7/100*0.3,9)</f>
        <v>0.87209999999999999</v>
      </c>
      <c r="J103" s="2">
        <v>0</v>
      </c>
      <c r="K103" s="2">
        <f>ROUND(290.7/100*0.3,9)</f>
        <v>0.87209999999999999</v>
      </c>
      <c r="L103" s="2"/>
      <c r="M103" s="2"/>
      <c r="N103" s="2"/>
      <c r="O103" s="2">
        <f t="shared" si="69"/>
        <v>355.39</v>
      </c>
      <c r="P103" s="2">
        <f t="shared" si="70"/>
        <v>125.51</v>
      </c>
      <c r="Q103" s="2">
        <f>(ROUND((ROUND(((((ET103*1.05)*1.2))*AV103*I103),2)*BB103),2)+ROUND((ROUND(((AE103-(((EU103*1.05)*1.2)))*AV103*I103),2)*BS103),2))</f>
        <v>59.43</v>
      </c>
      <c r="R103" s="2">
        <f t="shared" si="71"/>
        <v>7.55</v>
      </c>
      <c r="S103" s="2">
        <f t="shared" si="72"/>
        <v>170.45</v>
      </c>
      <c r="T103" s="2">
        <f t="shared" si="73"/>
        <v>0</v>
      </c>
      <c r="U103" s="2">
        <f t="shared" si="74"/>
        <v>13.835130447599999</v>
      </c>
      <c r="V103" s="2">
        <f t="shared" si="75"/>
        <v>0</v>
      </c>
      <c r="W103" s="2">
        <f t="shared" si="76"/>
        <v>0</v>
      </c>
      <c r="X103" s="2">
        <f t="shared" si="77"/>
        <v>190.9</v>
      </c>
      <c r="Y103" s="2">
        <f t="shared" si="78"/>
        <v>119.32</v>
      </c>
      <c r="Z103" s="2"/>
      <c r="AA103" s="2">
        <v>56622490</v>
      </c>
      <c r="AB103" s="2">
        <f t="shared" si="79"/>
        <v>380.1782</v>
      </c>
      <c r="AC103" s="2">
        <f>ROUND(((ES103*1)),6)</f>
        <v>133.13</v>
      </c>
      <c r="AD103" s="2">
        <f>ROUND((((((ET103*1.05)*1.2))-(((EU103*1.05)*1.2)))+AE103),6)</f>
        <v>63.869399999999999</v>
      </c>
      <c r="AE103" s="2">
        <f>ROUND((((EU103*1.05)*1.2)),6)</f>
        <v>8.1143999999999998</v>
      </c>
      <c r="AF103" s="2">
        <f>ROUND((((EV103*1.05)*1.2)),6)</f>
        <v>183.1788</v>
      </c>
      <c r="AG103" s="2">
        <f t="shared" si="80"/>
        <v>0</v>
      </c>
      <c r="AH103" s="2">
        <f>(((EW103*1.05)*1.2))</f>
        <v>14.868</v>
      </c>
      <c r="AI103" s="2">
        <f>(((EX103*1.05)*1.2))</f>
        <v>0</v>
      </c>
      <c r="AJ103" s="2">
        <f t="shared" si="81"/>
        <v>0</v>
      </c>
      <c r="AK103" s="2">
        <v>329.2</v>
      </c>
      <c r="AL103" s="2">
        <v>133.13</v>
      </c>
      <c r="AM103" s="2">
        <v>50.69</v>
      </c>
      <c r="AN103" s="2">
        <v>6.44</v>
      </c>
      <c r="AO103" s="2">
        <v>145.38</v>
      </c>
      <c r="AP103" s="2">
        <v>0</v>
      </c>
      <c r="AQ103" s="2">
        <v>11.8</v>
      </c>
      <c r="AR103" s="2">
        <v>0</v>
      </c>
      <c r="AS103" s="2">
        <v>0</v>
      </c>
      <c r="AT103" s="2">
        <v>112</v>
      </c>
      <c r="AU103" s="2">
        <v>70</v>
      </c>
      <c r="AV103" s="2">
        <v>1.0669999999999999</v>
      </c>
      <c r="AW103" s="2">
        <v>1.081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0</v>
      </c>
      <c r="BI103" s="2">
        <v>2</v>
      </c>
      <c r="BJ103" s="2" t="s">
        <v>180</v>
      </c>
      <c r="BK103" s="2"/>
      <c r="BL103" s="2"/>
      <c r="BM103" s="2">
        <v>318</v>
      </c>
      <c r="BN103" s="2">
        <v>0</v>
      </c>
      <c r="BO103" s="2" t="s">
        <v>3</v>
      </c>
      <c r="BP103" s="2">
        <v>0</v>
      </c>
      <c r="BQ103" s="2">
        <v>40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112</v>
      </c>
      <c r="CA103" s="2">
        <v>70</v>
      </c>
      <c r="CB103" s="2" t="s">
        <v>3</v>
      </c>
      <c r="CC103" s="2"/>
      <c r="CD103" s="2"/>
      <c r="CE103" s="2">
        <v>30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710</v>
      </c>
      <c r="CO103" s="2">
        <v>0</v>
      </c>
      <c r="CP103" s="2">
        <f t="shared" si="82"/>
        <v>355.39</v>
      </c>
      <c r="CQ103" s="2">
        <f t="shared" si="83"/>
        <v>143.91</v>
      </c>
      <c r="CR103" s="2">
        <f>(ROUND((ROUND(((((ET103*1.05)*1.2))*AV103*1),2)*BB103),2)+ROUND((ROUND(((AE103-(((EU103*1.05)*1.2)))*AV103*1),2)*BS103),2))</f>
        <v>68.150000000000006</v>
      </c>
      <c r="CS103" s="2">
        <f t="shared" si="84"/>
        <v>8.66</v>
      </c>
      <c r="CT103" s="2">
        <f t="shared" si="85"/>
        <v>195.45</v>
      </c>
      <c r="CU103" s="2">
        <f t="shared" si="86"/>
        <v>0</v>
      </c>
      <c r="CV103" s="2">
        <f t="shared" si="87"/>
        <v>15.864155999999999</v>
      </c>
      <c r="CW103" s="2">
        <f t="shared" si="88"/>
        <v>0</v>
      </c>
      <c r="CX103" s="2">
        <f t="shared" si="89"/>
        <v>0</v>
      </c>
      <c r="CY103" s="2">
        <f>((S103*BZ103)/100)</f>
        <v>190.90399999999997</v>
      </c>
      <c r="CZ103" s="2">
        <f>((S103*CA103)/100)</f>
        <v>119.315</v>
      </c>
      <c r="DA103" s="2"/>
      <c r="DB103" s="2">
        <v>45</v>
      </c>
      <c r="DC103" s="2" t="s">
        <v>3</v>
      </c>
      <c r="DD103" s="2" t="s">
        <v>163</v>
      </c>
      <c r="DE103" s="2" t="s">
        <v>164</v>
      </c>
      <c r="DF103" s="2" t="s">
        <v>164</v>
      </c>
      <c r="DG103" s="2" t="s">
        <v>164</v>
      </c>
      <c r="DH103" s="2" t="s">
        <v>3</v>
      </c>
      <c r="DI103" s="2" t="s">
        <v>164</v>
      </c>
      <c r="DJ103" s="2" t="s">
        <v>164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1013</v>
      </c>
      <c r="DV103" s="2" t="s">
        <v>161</v>
      </c>
      <c r="DW103" s="2" t="s">
        <v>161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51696357</v>
      </c>
      <c r="EF103" s="2">
        <v>40</v>
      </c>
      <c r="EG103" s="2" t="s">
        <v>165</v>
      </c>
      <c r="EH103" s="2">
        <v>0</v>
      </c>
      <c r="EI103" s="2" t="s">
        <v>3</v>
      </c>
      <c r="EJ103" s="2">
        <v>2</v>
      </c>
      <c r="EK103" s="2">
        <v>318</v>
      </c>
      <c r="EL103" s="2" t="s">
        <v>166</v>
      </c>
      <c r="EM103" s="2" t="s">
        <v>167</v>
      </c>
      <c r="EN103" s="2"/>
      <c r="EO103" s="2" t="s">
        <v>168</v>
      </c>
      <c r="EP103" s="2"/>
      <c r="EQ103" s="2">
        <v>131072</v>
      </c>
      <c r="ER103" s="2">
        <v>329.2</v>
      </c>
      <c r="ES103" s="2">
        <v>133.13</v>
      </c>
      <c r="ET103" s="2">
        <v>50.69</v>
      </c>
      <c r="EU103" s="2">
        <v>6.44</v>
      </c>
      <c r="EV103" s="2">
        <v>145.38</v>
      </c>
      <c r="EW103" s="2">
        <v>11.8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v>0</v>
      </c>
      <c r="FS103" s="2">
        <v>0</v>
      </c>
      <c r="FT103" s="2"/>
      <c r="FU103" s="2"/>
      <c r="FV103" s="2"/>
      <c r="FW103" s="2"/>
      <c r="FX103" s="2">
        <v>112</v>
      </c>
      <c r="FY103" s="2">
        <v>70</v>
      </c>
      <c r="FZ103" s="2"/>
      <c r="GA103" s="2" t="s">
        <v>3</v>
      </c>
      <c r="GB103" s="2"/>
      <c r="GC103" s="2"/>
      <c r="GD103" s="2">
        <v>0</v>
      </c>
      <c r="GE103" s="2"/>
      <c r="GF103" s="2">
        <v>1434814843</v>
      </c>
      <c r="GG103" s="2">
        <v>2</v>
      </c>
      <c r="GH103" s="2">
        <v>1</v>
      </c>
      <c r="GI103" s="2">
        <v>-2</v>
      </c>
      <c r="GJ103" s="2">
        <v>0</v>
      </c>
      <c r="GK103" s="2">
        <f>ROUND(R103*(R12)/100,2)</f>
        <v>13.21</v>
      </c>
      <c r="GL103" s="2">
        <f t="shared" si="90"/>
        <v>0</v>
      </c>
      <c r="GM103" s="2">
        <f t="shared" si="91"/>
        <v>678.82</v>
      </c>
      <c r="GN103" s="2">
        <f t="shared" si="92"/>
        <v>0</v>
      </c>
      <c r="GO103" s="2">
        <f t="shared" si="93"/>
        <v>678.82</v>
      </c>
      <c r="GP103" s="2">
        <f t="shared" si="94"/>
        <v>0</v>
      </c>
      <c r="GQ103" s="2"/>
      <c r="GR103" s="2">
        <v>0</v>
      </c>
      <c r="GS103" s="2">
        <v>0</v>
      </c>
      <c r="GT103" s="2">
        <v>0</v>
      </c>
      <c r="GU103" s="2" t="s">
        <v>3</v>
      </c>
      <c r="GV103" s="2">
        <f t="shared" si="95"/>
        <v>0</v>
      </c>
      <c r="GW103" s="2">
        <v>1</v>
      </c>
      <c r="GX103" s="2">
        <f t="shared" si="96"/>
        <v>0</v>
      </c>
      <c r="GY103" s="2"/>
      <c r="GZ103" s="2"/>
      <c r="HA103" s="2">
        <v>0</v>
      </c>
      <c r="HB103" s="2">
        <v>0</v>
      </c>
      <c r="HC103" s="2">
        <f t="shared" si="97"/>
        <v>0</v>
      </c>
      <c r="HD103" s="2"/>
      <c r="HE103" s="2" t="s">
        <v>3</v>
      </c>
      <c r="HF103" s="2" t="s">
        <v>3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">
      <c r="A104">
        <v>17</v>
      </c>
      <c r="B104">
        <v>1</v>
      </c>
      <c r="D104">
        <f>ROW(EtalonRes!A120)</f>
        <v>120</v>
      </c>
      <c r="E104" t="s">
        <v>177</v>
      </c>
      <c r="F104" t="s">
        <v>178</v>
      </c>
      <c r="G104" t="s">
        <v>179</v>
      </c>
      <c r="H104" t="s">
        <v>161</v>
      </c>
      <c r="I104">
        <f>ROUND(290.7/100*0.3,9)</f>
        <v>0.87209999999999999</v>
      </c>
      <c r="J104">
        <v>0</v>
      </c>
      <c r="K104">
        <f>ROUND(290.7/100*0.3,9)</f>
        <v>0.87209999999999999</v>
      </c>
      <c r="O104">
        <f t="shared" si="69"/>
        <v>7418.14</v>
      </c>
      <c r="P104">
        <f t="shared" si="70"/>
        <v>812.05</v>
      </c>
      <c r="Q104">
        <f>(ROUND((ROUND(((((ET104*1.05)*1.2))*AV104*I104),2)*BB104),2)+ROUND((ROUND(((AE104-(((EU104*1.05)*1.2)))*AV104*I104),2)*BS104),2))</f>
        <v>723.86</v>
      </c>
      <c r="R104">
        <f t="shared" si="71"/>
        <v>260.55</v>
      </c>
      <c r="S104">
        <f t="shared" si="72"/>
        <v>5882.23</v>
      </c>
      <c r="T104">
        <f t="shared" si="73"/>
        <v>0</v>
      </c>
      <c r="U104">
        <f t="shared" si="74"/>
        <v>13.835130447599999</v>
      </c>
      <c r="V104">
        <f t="shared" si="75"/>
        <v>0</v>
      </c>
      <c r="W104">
        <f t="shared" si="76"/>
        <v>0</v>
      </c>
      <c r="X104">
        <f t="shared" si="77"/>
        <v>5411.65</v>
      </c>
      <c r="Y104">
        <f t="shared" si="78"/>
        <v>2529.36</v>
      </c>
      <c r="AA104">
        <v>56610029</v>
      </c>
      <c r="AB104">
        <f t="shared" si="79"/>
        <v>380.1782</v>
      </c>
      <c r="AC104">
        <f>ROUND(((ES104*1)),6)</f>
        <v>133.13</v>
      </c>
      <c r="AD104">
        <f>ROUND((((((ET104*1.05)*1.2))-(((EU104*1.05)*1.2)))+AE104),6)</f>
        <v>63.869399999999999</v>
      </c>
      <c r="AE104">
        <f>ROUND((((EU104*1.05)*1.2)),6)</f>
        <v>8.1143999999999998</v>
      </c>
      <c r="AF104">
        <f>ROUND((((EV104*1.05)*1.2)),6)</f>
        <v>183.1788</v>
      </c>
      <c r="AG104">
        <f t="shared" si="80"/>
        <v>0</v>
      </c>
      <c r="AH104">
        <f>(((EW104*1.05)*1.2))</f>
        <v>14.868</v>
      </c>
      <c r="AI104">
        <f>(((EX104*1.05)*1.2))</f>
        <v>0</v>
      </c>
      <c r="AJ104">
        <f t="shared" si="81"/>
        <v>0</v>
      </c>
      <c r="AK104">
        <v>329.2</v>
      </c>
      <c r="AL104">
        <v>133.13</v>
      </c>
      <c r="AM104">
        <v>50.69</v>
      </c>
      <c r="AN104">
        <v>6.44</v>
      </c>
      <c r="AO104">
        <v>145.38</v>
      </c>
      <c r="AP104">
        <v>0</v>
      </c>
      <c r="AQ104">
        <v>11.8</v>
      </c>
      <c r="AR104">
        <v>0</v>
      </c>
      <c r="AS104">
        <v>0</v>
      </c>
      <c r="AT104">
        <v>92</v>
      </c>
      <c r="AU104">
        <v>43</v>
      </c>
      <c r="AV104">
        <v>1.0669999999999999</v>
      </c>
      <c r="AW104">
        <v>1.081</v>
      </c>
      <c r="AZ104">
        <v>1</v>
      </c>
      <c r="BA104">
        <v>34.51</v>
      </c>
      <c r="BB104">
        <v>12.18</v>
      </c>
      <c r="BC104">
        <v>6.47</v>
      </c>
      <c r="BD104" t="s">
        <v>3</v>
      </c>
      <c r="BE104" t="s">
        <v>3</v>
      </c>
      <c r="BF104" t="s">
        <v>3</v>
      </c>
      <c r="BG104" t="s">
        <v>3</v>
      </c>
      <c r="BH104">
        <v>0</v>
      </c>
      <c r="BI104">
        <v>2</v>
      </c>
      <c r="BJ104" t="s">
        <v>180</v>
      </c>
      <c r="BM104">
        <v>318</v>
      </c>
      <c r="BN104">
        <v>0</v>
      </c>
      <c r="BO104" t="s">
        <v>178</v>
      </c>
      <c r="BP104">
        <v>1</v>
      </c>
      <c r="BQ104">
        <v>40</v>
      </c>
      <c r="BR104">
        <v>0</v>
      </c>
      <c r="BS104">
        <v>34.51</v>
      </c>
      <c r="BT104">
        <v>1</v>
      </c>
      <c r="BU104">
        <v>1</v>
      </c>
      <c r="BV104">
        <v>1</v>
      </c>
      <c r="BW104">
        <v>1</v>
      </c>
      <c r="BX104">
        <v>1</v>
      </c>
      <c r="BY104" t="s">
        <v>3</v>
      </c>
      <c r="BZ104">
        <v>92</v>
      </c>
      <c r="CA104">
        <v>43</v>
      </c>
      <c r="CB104" t="s">
        <v>3</v>
      </c>
      <c r="CE104">
        <v>30</v>
      </c>
      <c r="CF104">
        <v>0</v>
      </c>
      <c r="CG104">
        <v>0</v>
      </c>
      <c r="CM104">
        <v>0</v>
      </c>
      <c r="CN104" t="s">
        <v>710</v>
      </c>
      <c r="CO104">
        <v>0</v>
      </c>
      <c r="CP104">
        <f t="shared" si="82"/>
        <v>7418.1399999999994</v>
      </c>
      <c r="CQ104">
        <f t="shared" si="83"/>
        <v>931.1</v>
      </c>
      <c r="CR104">
        <f>(ROUND((ROUND(((((ET104*1.05)*1.2))*AV104*1),2)*BB104),2)+ROUND((ROUND(((AE104-(((EU104*1.05)*1.2)))*AV104*1),2)*BS104),2))</f>
        <v>830.07</v>
      </c>
      <c r="CS104">
        <f t="shared" si="84"/>
        <v>298.86</v>
      </c>
      <c r="CT104">
        <f t="shared" si="85"/>
        <v>6744.98</v>
      </c>
      <c r="CU104">
        <f t="shared" si="86"/>
        <v>0</v>
      </c>
      <c r="CV104">
        <f t="shared" si="87"/>
        <v>15.864155999999999</v>
      </c>
      <c r="CW104">
        <f t="shared" si="88"/>
        <v>0</v>
      </c>
      <c r="CX104">
        <f t="shared" si="89"/>
        <v>0</v>
      </c>
      <c r="CY104">
        <f>S104*(BZ104/100)</f>
        <v>5411.6516000000001</v>
      </c>
      <c r="CZ104">
        <f>S104*(CA104/100)</f>
        <v>2529.3588999999997</v>
      </c>
      <c r="DB104">
        <v>47</v>
      </c>
      <c r="DC104" t="s">
        <v>3</v>
      </c>
      <c r="DD104" t="s">
        <v>163</v>
      </c>
      <c r="DE104" t="s">
        <v>164</v>
      </c>
      <c r="DF104" t="s">
        <v>164</v>
      </c>
      <c r="DG104" t="s">
        <v>164</v>
      </c>
      <c r="DH104" t="s">
        <v>3</v>
      </c>
      <c r="DI104" t="s">
        <v>164</v>
      </c>
      <c r="DJ104" t="s">
        <v>164</v>
      </c>
      <c r="DK104" t="s">
        <v>3</v>
      </c>
      <c r="DL104" t="s">
        <v>3</v>
      </c>
      <c r="DM104" t="s">
        <v>3</v>
      </c>
      <c r="DN104">
        <v>112</v>
      </c>
      <c r="DO104">
        <v>70</v>
      </c>
      <c r="DP104">
        <v>1.0669999999999999</v>
      </c>
      <c r="DQ104">
        <v>1.081</v>
      </c>
      <c r="DU104">
        <v>1013</v>
      </c>
      <c r="DV104" t="s">
        <v>161</v>
      </c>
      <c r="DW104" t="s">
        <v>161</v>
      </c>
      <c r="DX104">
        <v>1</v>
      </c>
      <c r="DZ104" t="s">
        <v>3</v>
      </c>
      <c r="EA104" t="s">
        <v>3</v>
      </c>
      <c r="EB104" t="s">
        <v>3</v>
      </c>
      <c r="EC104" t="s">
        <v>3</v>
      </c>
      <c r="EE104">
        <v>51696357</v>
      </c>
      <c r="EF104">
        <v>40</v>
      </c>
      <c r="EG104" t="s">
        <v>165</v>
      </c>
      <c r="EH104">
        <v>0</v>
      </c>
      <c r="EI104" t="s">
        <v>3</v>
      </c>
      <c r="EJ104">
        <v>2</v>
      </c>
      <c r="EK104">
        <v>318</v>
      </c>
      <c r="EL104" t="s">
        <v>166</v>
      </c>
      <c r="EM104" t="s">
        <v>167</v>
      </c>
      <c r="EO104" t="s">
        <v>168</v>
      </c>
      <c r="EQ104">
        <v>131072</v>
      </c>
      <c r="ER104">
        <v>329.2</v>
      </c>
      <c r="ES104">
        <v>133.13</v>
      </c>
      <c r="ET104">
        <v>50.69</v>
      </c>
      <c r="EU104">
        <v>6.44</v>
      </c>
      <c r="EV104">
        <v>145.38</v>
      </c>
      <c r="EW104">
        <v>11.8</v>
      </c>
      <c r="EX104">
        <v>0</v>
      </c>
      <c r="EY104">
        <v>0</v>
      </c>
      <c r="FQ104">
        <v>0</v>
      </c>
      <c r="FR104">
        <v>0</v>
      </c>
      <c r="FS104">
        <v>0</v>
      </c>
      <c r="FX104">
        <v>112</v>
      </c>
      <c r="FY104">
        <v>70</v>
      </c>
      <c r="GA104" t="s">
        <v>3</v>
      </c>
      <c r="GD104">
        <v>0</v>
      </c>
      <c r="GF104">
        <v>1434814843</v>
      </c>
      <c r="GG104">
        <v>2</v>
      </c>
      <c r="GH104">
        <v>1</v>
      </c>
      <c r="GI104">
        <v>2</v>
      </c>
      <c r="GJ104">
        <v>0</v>
      </c>
      <c r="GK104">
        <f>ROUND(R104*(S12)/100,2)</f>
        <v>416.88</v>
      </c>
      <c r="GL104">
        <f t="shared" si="90"/>
        <v>0</v>
      </c>
      <c r="GM104">
        <f t="shared" si="91"/>
        <v>15776.03</v>
      </c>
      <c r="GN104">
        <f t="shared" si="92"/>
        <v>0</v>
      </c>
      <c r="GO104">
        <f t="shared" si="93"/>
        <v>15776.03</v>
      </c>
      <c r="GP104">
        <f t="shared" si="94"/>
        <v>0</v>
      </c>
      <c r="GR104">
        <v>0</v>
      </c>
      <c r="GS104">
        <v>3</v>
      </c>
      <c r="GT104">
        <v>0</v>
      </c>
      <c r="GU104" t="s">
        <v>3</v>
      </c>
      <c r="GV104">
        <f t="shared" si="95"/>
        <v>0</v>
      </c>
      <c r="GW104">
        <v>1</v>
      </c>
      <c r="GX104">
        <f t="shared" si="96"/>
        <v>0</v>
      </c>
      <c r="HA104">
        <v>0</v>
      </c>
      <c r="HB104">
        <v>0</v>
      </c>
      <c r="HC104">
        <f t="shared" si="97"/>
        <v>0</v>
      </c>
      <c r="HE104" t="s">
        <v>3</v>
      </c>
      <c r="HF104" t="s">
        <v>3</v>
      </c>
      <c r="HM104" t="s">
        <v>3</v>
      </c>
      <c r="HN104" t="s">
        <v>3</v>
      </c>
      <c r="HO104" t="s">
        <v>3</v>
      </c>
      <c r="HP104" t="s">
        <v>3</v>
      </c>
      <c r="HQ104" t="s">
        <v>3</v>
      </c>
      <c r="HS104">
        <v>0</v>
      </c>
      <c r="IK104">
        <v>0</v>
      </c>
    </row>
    <row r="105" spans="1:255" x14ac:dyDescent="0.2">
      <c r="A105" s="2">
        <v>17</v>
      </c>
      <c r="B105" s="2">
        <v>1</v>
      </c>
      <c r="C105" s="2"/>
      <c r="D105" s="2">
        <f>ROW(EtalonRes!A134)</f>
        <v>134</v>
      </c>
      <c r="E105" s="2" t="s">
        <v>181</v>
      </c>
      <c r="F105" s="2" t="s">
        <v>178</v>
      </c>
      <c r="G105" s="2" t="s">
        <v>179</v>
      </c>
      <c r="H105" s="2" t="s">
        <v>161</v>
      </c>
      <c r="I105" s="2">
        <f>ROUND(290.7/100*0.7,9)</f>
        <v>2.0348999999999999</v>
      </c>
      <c r="J105" s="2">
        <v>0</v>
      </c>
      <c r="K105" s="2">
        <f>ROUND(290.7/100*0.7,9)</f>
        <v>2.0348999999999999</v>
      </c>
      <c r="L105" s="2"/>
      <c r="M105" s="2"/>
      <c r="N105" s="2"/>
      <c r="O105" s="2">
        <f t="shared" si="69"/>
        <v>739.85</v>
      </c>
      <c r="P105" s="2">
        <f t="shared" si="70"/>
        <v>292.85000000000002</v>
      </c>
      <c r="Q105" s="2">
        <f t="shared" ref="Q105:Q120" si="101">(ROUND((ROUND((((ET105*1.05))*AV105*I105),2)*BB105),2)+ROUND((ROUND(((AE105-((EU105*1.05)))*AV105*I105),2)*BS105),2))</f>
        <v>115.56</v>
      </c>
      <c r="R105" s="2">
        <f t="shared" si="71"/>
        <v>14.68</v>
      </c>
      <c r="S105" s="2">
        <f t="shared" si="72"/>
        <v>331.44</v>
      </c>
      <c r="T105" s="2">
        <f t="shared" si="73"/>
        <v>0</v>
      </c>
      <c r="U105" s="2">
        <f t="shared" si="74"/>
        <v>26.901642536999997</v>
      </c>
      <c r="V105" s="2">
        <f t="shared" si="75"/>
        <v>0</v>
      </c>
      <c r="W105" s="2">
        <f t="shared" si="76"/>
        <v>0</v>
      </c>
      <c r="X105" s="2">
        <f t="shared" si="77"/>
        <v>371.21</v>
      </c>
      <c r="Y105" s="2">
        <f t="shared" si="78"/>
        <v>232.01</v>
      </c>
      <c r="Z105" s="2"/>
      <c r="AA105" s="2">
        <v>56622490</v>
      </c>
      <c r="AB105" s="2">
        <f t="shared" si="79"/>
        <v>339.00349999999997</v>
      </c>
      <c r="AC105" s="2">
        <f t="shared" ref="AC105:AC146" si="102">ROUND((ES105),6)</f>
        <v>133.13</v>
      </c>
      <c r="AD105" s="2">
        <f t="shared" ref="AD105:AD120" si="103">ROUND(((((ET105*1.05))-((EU105*1.05)))+AE105),6)</f>
        <v>53.224499999999999</v>
      </c>
      <c r="AE105" s="2">
        <f t="shared" ref="AE105:AE120" si="104">ROUND(((EU105*1.05)),6)</f>
        <v>6.7619999999999996</v>
      </c>
      <c r="AF105" s="2">
        <f t="shared" ref="AF105:AF120" si="105">ROUND(((EV105*1.05)),6)</f>
        <v>152.649</v>
      </c>
      <c r="AG105" s="2">
        <f t="shared" si="80"/>
        <v>0</v>
      </c>
      <c r="AH105" s="2">
        <f t="shared" ref="AH105:AH120" si="106">((EW105*1.05))</f>
        <v>12.39</v>
      </c>
      <c r="AI105" s="2">
        <f t="shared" ref="AI105:AI120" si="107">((EX105*1.05))</f>
        <v>0</v>
      </c>
      <c r="AJ105" s="2">
        <f t="shared" si="81"/>
        <v>0</v>
      </c>
      <c r="AK105" s="2">
        <v>329.2</v>
      </c>
      <c r="AL105" s="2">
        <v>133.13</v>
      </c>
      <c r="AM105" s="2">
        <v>50.69</v>
      </c>
      <c r="AN105" s="2">
        <v>6.44</v>
      </c>
      <c r="AO105" s="2">
        <v>145.38</v>
      </c>
      <c r="AP105" s="2">
        <v>0</v>
      </c>
      <c r="AQ105" s="2">
        <v>11.8</v>
      </c>
      <c r="AR105" s="2">
        <v>0</v>
      </c>
      <c r="AS105" s="2">
        <v>0</v>
      </c>
      <c r="AT105" s="2">
        <v>112</v>
      </c>
      <c r="AU105" s="2">
        <v>70</v>
      </c>
      <c r="AV105" s="2">
        <v>1.0669999999999999</v>
      </c>
      <c r="AW105" s="2">
        <v>1.081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0</v>
      </c>
      <c r="BI105" s="2">
        <v>2</v>
      </c>
      <c r="BJ105" s="2" t="s">
        <v>180</v>
      </c>
      <c r="BK105" s="2"/>
      <c r="BL105" s="2"/>
      <c r="BM105" s="2">
        <v>318</v>
      </c>
      <c r="BN105" s="2">
        <v>0</v>
      </c>
      <c r="BO105" s="2" t="s">
        <v>3</v>
      </c>
      <c r="BP105" s="2">
        <v>0</v>
      </c>
      <c r="BQ105" s="2">
        <v>40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112</v>
      </c>
      <c r="CA105" s="2">
        <v>70</v>
      </c>
      <c r="CB105" s="2" t="s">
        <v>3</v>
      </c>
      <c r="CC105" s="2"/>
      <c r="CD105" s="2"/>
      <c r="CE105" s="2">
        <v>30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708</v>
      </c>
      <c r="CO105" s="2">
        <v>0</v>
      </c>
      <c r="CP105" s="2">
        <f t="shared" si="82"/>
        <v>739.85</v>
      </c>
      <c r="CQ105" s="2">
        <f t="shared" si="83"/>
        <v>143.91</v>
      </c>
      <c r="CR105" s="2">
        <f t="shared" ref="CR105:CR120" si="108">(ROUND((ROUND((((ET105*1.05))*AV105*1),2)*BB105),2)+ROUND((ROUND(((AE105-((EU105*1.05)))*AV105*1),2)*BS105),2))</f>
        <v>56.79</v>
      </c>
      <c r="CS105" s="2">
        <f t="shared" si="84"/>
        <v>7.22</v>
      </c>
      <c r="CT105" s="2">
        <f t="shared" si="85"/>
        <v>162.88</v>
      </c>
      <c r="CU105" s="2">
        <f t="shared" si="86"/>
        <v>0</v>
      </c>
      <c r="CV105" s="2">
        <f t="shared" si="87"/>
        <v>13.220129999999999</v>
      </c>
      <c r="CW105" s="2">
        <f t="shared" si="88"/>
        <v>0</v>
      </c>
      <c r="CX105" s="2">
        <f t="shared" si="89"/>
        <v>0</v>
      </c>
      <c r="CY105" s="2">
        <f>((S105*BZ105)/100)</f>
        <v>371.21280000000002</v>
      </c>
      <c r="CZ105" s="2">
        <f>((S105*CA105)/100)</f>
        <v>232.00799999999998</v>
      </c>
      <c r="DA105" s="2"/>
      <c r="DB105" s="2">
        <v>49</v>
      </c>
      <c r="DC105" s="2" t="s">
        <v>3</v>
      </c>
      <c r="DD105" s="2" t="s">
        <v>3</v>
      </c>
      <c r="DE105" s="2" t="s">
        <v>22</v>
      </c>
      <c r="DF105" s="2" t="s">
        <v>22</v>
      </c>
      <c r="DG105" s="2" t="s">
        <v>22</v>
      </c>
      <c r="DH105" s="2" t="s">
        <v>3</v>
      </c>
      <c r="DI105" s="2" t="s">
        <v>22</v>
      </c>
      <c r="DJ105" s="2" t="s">
        <v>22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1013</v>
      </c>
      <c r="DV105" s="2" t="s">
        <v>161</v>
      </c>
      <c r="DW105" s="2" t="s">
        <v>161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51696357</v>
      </c>
      <c r="EF105" s="2">
        <v>40</v>
      </c>
      <c r="EG105" s="2" t="s">
        <v>165</v>
      </c>
      <c r="EH105" s="2">
        <v>0</v>
      </c>
      <c r="EI105" s="2" t="s">
        <v>3</v>
      </c>
      <c r="EJ105" s="2">
        <v>2</v>
      </c>
      <c r="EK105" s="2">
        <v>318</v>
      </c>
      <c r="EL105" s="2" t="s">
        <v>166</v>
      </c>
      <c r="EM105" s="2" t="s">
        <v>167</v>
      </c>
      <c r="EN105" s="2"/>
      <c r="EO105" s="2" t="s">
        <v>26</v>
      </c>
      <c r="EP105" s="2"/>
      <c r="EQ105" s="2">
        <v>131072</v>
      </c>
      <c r="ER105" s="2">
        <v>329.2</v>
      </c>
      <c r="ES105" s="2">
        <v>133.13</v>
      </c>
      <c r="ET105" s="2">
        <v>50.69</v>
      </c>
      <c r="EU105" s="2">
        <v>6.44</v>
      </c>
      <c r="EV105" s="2">
        <v>145.38</v>
      </c>
      <c r="EW105" s="2">
        <v>11.8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112</v>
      </c>
      <c r="FY105" s="2">
        <v>70</v>
      </c>
      <c r="FZ105" s="2"/>
      <c r="GA105" s="2" t="s">
        <v>3</v>
      </c>
      <c r="GB105" s="2"/>
      <c r="GC105" s="2"/>
      <c r="GD105" s="2">
        <v>0</v>
      </c>
      <c r="GE105" s="2"/>
      <c r="GF105" s="2">
        <v>1434814843</v>
      </c>
      <c r="GG105" s="2">
        <v>2</v>
      </c>
      <c r="GH105" s="2">
        <v>1</v>
      </c>
      <c r="GI105" s="2">
        <v>-2</v>
      </c>
      <c r="GJ105" s="2">
        <v>0</v>
      </c>
      <c r="GK105" s="2">
        <f>ROUND(R105*(R12)/100,2)</f>
        <v>25.69</v>
      </c>
      <c r="GL105" s="2">
        <f t="shared" si="90"/>
        <v>0</v>
      </c>
      <c r="GM105" s="2">
        <f t="shared" si="91"/>
        <v>1368.76</v>
      </c>
      <c r="GN105" s="2">
        <f t="shared" si="92"/>
        <v>0</v>
      </c>
      <c r="GO105" s="2">
        <f t="shared" si="93"/>
        <v>1368.76</v>
      </c>
      <c r="GP105" s="2">
        <f t="shared" si="94"/>
        <v>0</v>
      </c>
      <c r="GQ105" s="2"/>
      <c r="GR105" s="2">
        <v>0</v>
      </c>
      <c r="GS105" s="2">
        <v>0</v>
      </c>
      <c r="GT105" s="2">
        <v>0</v>
      </c>
      <c r="GU105" s="2" t="s">
        <v>3</v>
      </c>
      <c r="GV105" s="2">
        <f t="shared" si="95"/>
        <v>0</v>
      </c>
      <c r="GW105" s="2">
        <v>1</v>
      </c>
      <c r="GX105" s="2">
        <f t="shared" si="96"/>
        <v>0</v>
      </c>
      <c r="GY105" s="2"/>
      <c r="GZ105" s="2"/>
      <c r="HA105" s="2">
        <v>0</v>
      </c>
      <c r="HB105" s="2">
        <v>0</v>
      </c>
      <c r="HC105" s="2">
        <f t="shared" si="97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">
      <c r="A106">
        <v>17</v>
      </c>
      <c r="B106">
        <v>1</v>
      </c>
      <c r="D106">
        <f>ROW(EtalonRes!A148)</f>
        <v>148</v>
      </c>
      <c r="E106" t="s">
        <v>181</v>
      </c>
      <c r="F106" t="s">
        <v>178</v>
      </c>
      <c r="G106" t="s">
        <v>179</v>
      </c>
      <c r="H106" t="s">
        <v>161</v>
      </c>
      <c r="I106">
        <f>ROUND(290.7/100*0.7,9)</f>
        <v>2.0348999999999999</v>
      </c>
      <c r="J106">
        <v>0</v>
      </c>
      <c r="K106">
        <f>ROUND(290.7/100*0.7,9)</f>
        <v>2.0348999999999999</v>
      </c>
      <c r="O106">
        <f t="shared" si="69"/>
        <v>14740.25</v>
      </c>
      <c r="P106">
        <f t="shared" si="70"/>
        <v>1894.74</v>
      </c>
      <c r="Q106">
        <f t="shared" si="101"/>
        <v>1407.52</v>
      </c>
      <c r="R106">
        <f t="shared" si="71"/>
        <v>506.61</v>
      </c>
      <c r="S106">
        <f t="shared" si="72"/>
        <v>11437.99</v>
      </c>
      <c r="T106">
        <f t="shared" si="73"/>
        <v>0</v>
      </c>
      <c r="U106">
        <f t="shared" si="74"/>
        <v>26.901642536999997</v>
      </c>
      <c r="V106">
        <f t="shared" si="75"/>
        <v>0</v>
      </c>
      <c r="W106">
        <f t="shared" si="76"/>
        <v>0</v>
      </c>
      <c r="X106">
        <f t="shared" si="77"/>
        <v>10522.95</v>
      </c>
      <c r="Y106">
        <f t="shared" si="78"/>
        <v>4918.34</v>
      </c>
      <c r="AA106">
        <v>56610029</v>
      </c>
      <c r="AB106">
        <f t="shared" si="79"/>
        <v>339.00349999999997</v>
      </c>
      <c r="AC106">
        <f t="shared" si="102"/>
        <v>133.13</v>
      </c>
      <c r="AD106">
        <f t="shared" si="103"/>
        <v>53.224499999999999</v>
      </c>
      <c r="AE106">
        <f t="shared" si="104"/>
        <v>6.7619999999999996</v>
      </c>
      <c r="AF106">
        <f t="shared" si="105"/>
        <v>152.649</v>
      </c>
      <c r="AG106">
        <f t="shared" si="80"/>
        <v>0</v>
      </c>
      <c r="AH106">
        <f t="shared" si="106"/>
        <v>12.39</v>
      </c>
      <c r="AI106">
        <f t="shared" si="107"/>
        <v>0</v>
      </c>
      <c r="AJ106">
        <f t="shared" si="81"/>
        <v>0</v>
      </c>
      <c r="AK106">
        <v>329.2</v>
      </c>
      <c r="AL106">
        <v>133.13</v>
      </c>
      <c r="AM106">
        <v>50.69</v>
      </c>
      <c r="AN106">
        <v>6.44</v>
      </c>
      <c r="AO106">
        <v>145.38</v>
      </c>
      <c r="AP106">
        <v>0</v>
      </c>
      <c r="AQ106">
        <v>11.8</v>
      </c>
      <c r="AR106">
        <v>0</v>
      </c>
      <c r="AS106">
        <v>0</v>
      </c>
      <c r="AT106">
        <v>92</v>
      </c>
      <c r="AU106">
        <v>43</v>
      </c>
      <c r="AV106">
        <v>1.0669999999999999</v>
      </c>
      <c r="AW106">
        <v>1.081</v>
      </c>
      <c r="AZ106">
        <v>1</v>
      </c>
      <c r="BA106">
        <v>34.51</v>
      </c>
      <c r="BB106">
        <v>12.18</v>
      </c>
      <c r="BC106">
        <v>6.47</v>
      </c>
      <c r="BD106" t="s">
        <v>3</v>
      </c>
      <c r="BE106" t="s">
        <v>3</v>
      </c>
      <c r="BF106" t="s">
        <v>3</v>
      </c>
      <c r="BG106" t="s">
        <v>3</v>
      </c>
      <c r="BH106">
        <v>0</v>
      </c>
      <c r="BI106">
        <v>2</v>
      </c>
      <c r="BJ106" t="s">
        <v>180</v>
      </c>
      <c r="BM106">
        <v>318</v>
      </c>
      <c r="BN106">
        <v>0</v>
      </c>
      <c r="BO106" t="s">
        <v>178</v>
      </c>
      <c r="BP106">
        <v>1</v>
      </c>
      <c r="BQ106">
        <v>40</v>
      </c>
      <c r="BR106">
        <v>0</v>
      </c>
      <c r="BS106">
        <v>34.51</v>
      </c>
      <c r="BT106">
        <v>1</v>
      </c>
      <c r="BU106">
        <v>1</v>
      </c>
      <c r="BV106">
        <v>1</v>
      </c>
      <c r="BW106">
        <v>1</v>
      </c>
      <c r="BX106">
        <v>1</v>
      </c>
      <c r="BY106" t="s">
        <v>3</v>
      </c>
      <c r="BZ106">
        <v>92</v>
      </c>
      <c r="CA106">
        <v>43</v>
      </c>
      <c r="CB106" t="s">
        <v>3</v>
      </c>
      <c r="CE106">
        <v>30</v>
      </c>
      <c r="CF106">
        <v>0</v>
      </c>
      <c r="CG106">
        <v>0</v>
      </c>
      <c r="CM106">
        <v>0</v>
      </c>
      <c r="CN106" t="s">
        <v>708</v>
      </c>
      <c r="CO106">
        <v>0</v>
      </c>
      <c r="CP106">
        <f t="shared" si="82"/>
        <v>14740.25</v>
      </c>
      <c r="CQ106">
        <f t="shared" si="83"/>
        <v>931.1</v>
      </c>
      <c r="CR106">
        <f t="shared" si="108"/>
        <v>691.7</v>
      </c>
      <c r="CS106">
        <f t="shared" si="84"/>
        <v>249.16</v>
      </c>
      <c r="CT106">
        <f t="shared" si="85"/>
        <v>5620.99</v>
      </c>
      <c r="CU106">
        <f t="shared" si="86"/>
        <v>0</v>
      </c>
      <c r="CV106">
        <f t="shared" si="87"/>
        <v>13.220129999999999</v>
      </c>
      <c r="CW106">
        <f t="shared" si="88"/>
        <v>0</v>
      </c>
      <c r="CX106">
        <f t="shared" si="89"/>
        <v>0</v>
      </c>
      <c r="CY106">
        <f>S106*(BZ106/100)</f>
        <v>10522.950800000001</v>
      </c>
      <c r="CZ106">
        <f>S106*(CA106/100)</f>
        <v>4918.3356999999996</v>
      </c>
      <c r="DB106">
        <v>50</v>
      </c>
      <c r="DC106" t="s">
        <v>3</v>
      </c>
      <c r="DD106" t="s">
        <v>3</v>
      </c>
      <c r="DE106" t="s">
        <v>22</v>
      </c>
      <c r="DF106" t="s">
        <v>22</v>
      </c>
      <c r="DG106" t="s">
        <v>22</v>
      </c>
      <c r="DH106" t="s">
        <v>3</v>
      </c>
      <c r="DI106" t="s">
        <v>22</v>
      </c>
      <c r="DJ106" t="s">
        <v>22</v>
      </c>
      <c r="DK106" t="s">
        <v>3</v>
      </c>
      <c r="DL106" t="s">
        <v>3</v>
      </c>
      <c r="DM106" t="s">
        <v>3</v>
      </c>
      <c r="DN106">
        <v>112</v>
      </c>
      <c r="DO106">
        <v>70</v>
      </c>
      <c r="DP106">
        <v>1.0669999999999999</v>
      </c>
      <c r="DQ106">
        <v>1.081</v>
      </c>
      <c r="DU106">
        <v>1013</v>
      </c>
      <c r="DV106" t="s">
        <v>161</v>
      </c>
      <c r="DW106" t="s">
        <v>161</v>
      </c>
      <c r="DX106">
        <v>1</v>
      </c>
      <c r="DZ106" t="s">
        <v>3</v>
      </c>
      <c r="EA106" t="s">
        <v>3</v>
      </c>
      <c r="EB106" t="s">
        <v>3</v>
      </c>
      <c r="EC106" t="s">
        <v>3</v>
      </c>
      <c r="EE106">
        <v>51696357</v>
      </c>
      <c r="EF106">
        <v>40</v>
      </c>
      <c r="EG106" t="s">
        <v>165</v>
      </c>
      <c r="EH106">
        <v>0</v>
      </c>
      <c r="EI106" t="s">
        <v>3</v>
      </c>
      <c r="EJ106">
        <v>2</v>
      </c>
      <c r="EK106">
        <v>318</v>
      </c>
      <c r="EL106" t="s">
        <v>166</v>
      </c>
      <c r="EM106" t="s">
        <v>167</v>
      </c>
      <c r="EO106" t="s">
        <v>26</v>
      </c>
      <c r="EQ106">
        <v>131072</v>
      </c>
      <c r="ER106">
        <v>329.2</v>
      </c>
      <c r="ES106">
        <v>133.13</v>
      </c>
      <c r="ET106">
        <v>50.69</v>
      </c>
      <c r="EU106">
        <v>6.44</v>
      </c>
      <c r="EV106">
        <v>145.38</v>
      </c>
      <c r="EW106">
        <v>11.8</v>
      </c>
      <c r="EX106">
        <v>0</v>
      </c>
      <c r="EY106">
        <v>0</v>
      </c>
      <c r="FQ106">
        <v>0</v>
      </c>
      <c r="FR106">
        <v>0</v>
      </c>
      <c r="FS106">
        <v>0</v>
      </c>
      <c r="FX106">
        <v>112</v>
      </c>
      <c r="FY106">
        <v>70</v>
      </c>
      <c r="GA106" t="s">
        <v>3</v>
      </c>
      <c r="GD106">
        <v>0</v>
      </c>
      <c r="GF106">
        <v>1434814843</v>
      </c>
      <c r="GG106">
        <v>2</v>
      </c>
      <c r="GH106">
        <v>1</v>
      </c>
      <c r="GI106">
        <v>2</v>
      </c>
      <c r="GJ106">
        <v>0</v>
      </c>
      <c r="GK106">
        <f>ROUND(R106*(S12)/100,2)</f>
        <v>810.58</v>
      </c>
      <c r="GL106">
        <f t="shared" si="90"/>
        <v>0</v>
      </c>
      <c r="GM106">
        <f t="shared" si="91"/>
        <v>30992.12</v>
      </c>
      <c r="GN106">
        <f t="shared" si="92"/>
        <v>0</v>
      </c>
      <c r="GO106">
        <f t="shared" si="93"/>
        <v>30992.12</v>
      </c>
      <c r="GP106">
        <f t="shared" si="94"/>
        <v>0</v>
      </c>
      <c r="GR106">
        <v>0</v>
      </c>
      <c r="GS106">
        <v>3</v>
      </c>
      <c r="GT106">
        <v>0</v>
      </c>
      <c r="GU106" t="s">
        <v>3</v>
      </c>
      <c r="GV106">
        <f t="shared" si="95"/>
        <v>0</v>
      </c>
      <c r="GW106">
        <v>1</v>
      </c>
      <c r="GX106">
        <f t="shared" si="96"/>
        <v>0</v>
      </c>
      <c r="HA106">
        <v>0</v>
      </c>
      <c r="HB106">
        <v>0</v>
      </c>
      <c r="HC106">
        <f t="shared" si="97"/>
        <v>0</v>
      </c>
      <c r="HE106" t="s">
        <v>3</v>
      </c>
      <c r="HF106" t="s">
        <v>3</v>
      </c>
      <c r="HM106" t="s">
        <v>3</v>
      </c>
      <c r="HN106" t="s">
        <v>3</v>
      </c>
      <c r="HO106" t="s">
        <v>3</v>
      </c>
      <c r="HP106" t="s">
        <v>3</v>
      </c>
      <c r="HQ106" t="s">
        <v>3</v>
      </c>
      <c r="HS106">
        <v>0</v>
      </c>
      <c r="IK106">
        <v>0</v>
      </c>
    </row>
    <row r="107" spans="1:255" x14ac:dyDescent="0.2">
      <c r="A107" s="2">
        <v>17</v>
      </c>
      <c r="B107" s="2">
        <v>1</v>
      </c>
      <c r="C107" s="2"/>
      <c r="D107" s="2">
        <f>ROW(EtalonRes!A161)</f>
        <v>161</v>
      </c>
      <c r="E107" s="2" t="s">
        <v>182</v>
      </c>
      <c r="F107" s="2" t="s">
        <v>183</v>
      </c>
      <c r="G107" s="2" t="s">
        <v>184</v>
      </c>
      <c r="H107" s="2" t="s">
        <v>161</v>
      </c>
      <c r="I107" s="2">
        <v>0</v>
      </c>
      <c r="J107" s="2">
        <v>0</v>
      </c>
      <c r="K107" s="2">
        <v>0</v>
      </c>
      <c r="L107" s="2"/>
      <c r="M107" s="2"/>
      <c r="N107" s="2"/>
      <c r="O107" s="2">
        <f t="shared" si="69"/>
        <v>0</v>
      </c>
      <c r="P107" s="2">
        <f t="shared" si="70"/>
        <v>0</v>
      </c>
      <c r="Q107" s="2">
        <f t="shared" si="101"/>
        <v>0</v>
      </c>
      <c r="R107" s="2">
        <f t="shared" si="71"/>
        <v>0</v>
      </c>
      <c r="S107" s="2">
        <f t="shared" si="72"/>
        <v>0</v>
      </c>
      <c r="T107" s="2">
        <f t="shared" si="73"/>
        <v>0</v>
      </c>
      <c r="U107" s="2">
        <f t="shared" si="74"/>
        <v>0</v>
      </c>
      <c r="V107" s="2">
        <f t="shared" si="75"/>
        <v>0</v>
      </c>
      <c r="W107" s="2">
        <f t="shared" si="76"/>
        <v>0</v>
      </c>
      <c r="X107" s="2">
        <f t="shared" si="77"/>
        <v>0</v>
      </c>
      <c r="Y107" s="2">
        <f t="shared" si="78"/>
        <v>0</v>
      </c>
      <c r="Z107" s="2"/>
      <c r="AA107" s="2">
        <v>56622490</v>
      </c>
      <c r="AB107" s="2">
        <f t="shared" si="79"/>
        <v>312.77300000000002</v>
      </c>
      <c r="AC107" s="2">
        <f t="shared" si="102"/>
        <v>52.94</v>
      </c>
      <c r="AD107" s="2">
        <f t="shared" si="103"/>
        <v>55.44</v>
      </c>
      <c r="AE107" s="2">
        <f t="shared" si="104"/>
        <v>6.7619999999999996</v>
      </c>
      <c r="AF107" s="2">
        <f t="shared" si="105"/>
        <v>204.393</v>
      </c>
      <c r="AG107" s="2">
        <f t="shared" si="80"/>
        <v>0</v>
      </c>
      <c r="AH107" s="2">
        <f t="shared" si="106"/>
        <v>16.59</v>
      </c>
      <c r="AI107" s="2">
        <f t="shared" si="107"/>
        <v>0</v>
      </c>
      <c r="AJ107" s="2">
        <f t="shared" si="81"/>
        <v>0</v>
      </c>
      <c r="AK107" s="2">
        <v>300.39999999999998</v>
      </c>
      <c r="AL107" s="2">
        <v>52.94</v>
      </c>
      <c r="AM107" s="2">
        <v>52.8</v>
      </c>
      <c r="AN107" s="2">
        <v>6.44</v>
      </c>
      <c r="AO107" s="2">
        <v>194.66</v>
      </c>
      <c r="AP107" s="2">
        <v>0</v>
      </c>
      <c r="AQ107" s="2">
        <v>15.8</v>
      </c>
      <c r="AR107" s="2">
        <v>0</v>
      </c>
      <c r="AS107" s="2">
        <v>0</v>
      </c>
      <c r="AT107" s="2">
        <v>112</v>
      </c>
      <c r="AU107" s="2">
        <v>70</v>
      </c>
      <c r="AV107" s="2">
        <v>1.0669999999999999</v>
      </c>
      <c r="AW107" s="2">
        <v>1.081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0</v>
      </c>
      <c r="BI107" s="2">
        <v>2</v>
      </c>
      <c r="BJ107" s="2" t="s">
        <v>185</v>
      </c>
      <c r="BK107" s="2"/>
      <c r="BL107" s="2"/>
      <c r="BM107" s="2">
        <v>318</v>
      </c>
      <c r="BN107" s="2">
        <v>0</v>
      </c>
      <c r="BO107" s="2" t="s">
        <v>3</v>
      </c>
      <c r="BP107" s="2">
        <v>0</v>
      </c>
      <c r="BQ107" s="2">
        <v>40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112</v>
      </c>
      <c r="CA107" s="2">
        <v>70</v>
      </c>
      <c r="CB107" s="2" t="s">
        <v>3</v>
      </c>
      <c r="CC107" s="2"/>
      <c r="CD107" s="2"/>
      <c r="CE107" s="2">
        <v>30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708</v>
      </c>
      <c r="CO107" s="2">
        <v>0</v>
      </c>
      <c r="CP107" s="2">
        <f t="shared" si="82"/>
        <v>0</v>
      </c>
      <c r="CQ107" s="2">
        <f t="shared" si="83"/>
        <v>57.23</v>
      </c>
      <c r="CR107" s="2">
        <f t="shared" si="108"/>
        <v>59.15</v>
      </c>
      <c r="CS107" s="2">
        <f t="shared" si="84"/>
        <v>7.22</v>
      </c>
      <c r="CT107" s="2">
        <f t="shared" si="85"/>
        <v>218.09</v>
      </c>
      <c r="CU107" s="2">
        <f t="shared" si="86"/>
        <v>0</v>
      </c>
      <c r="CV107" s="2">
        <f t="shared" si="87"/>
        <v>17.701529999999998</v>
      </c>
      <c r="CW107" s="2">
        <f t="shared" si="88"/>
        <v>0</v>
      </c>
      <c r="CX107" s="2">
        <f t="shared" si="89"/>
        <v>0</v>
      </c>
      <c r="CY107" s="2">
        <f>((S107*BZ107)/100)</f>
        <v>0</v>
      </c>
      <c r="CZ107" s="2">
        <f>((S107*CA107)/100)</f>
        <v>0</v>
      </c>
      <c r="DA107" s="2"/>
      <c r="DB107" s="2">
        <v>51</v>
      </c>
      <c r="DC107" s="2" t="s">
        <v>3</v>
      </c>
      <c r="DD107" s="2" t="s">
        <v>3</v>
      </c>
      <c r="DE107" s="2" t="s">
        <v>22</v>
      </c>
      <c r="DF107" s="2" t="s">
        <v>22</v>
      </c>
      <c r="DG107" s="2" t="s">
        <v>22</v>
      </c>
      <c r="DH107" s="2" t="s">
        <v>3</v>
      </c>
      <c r="DI107" s="2" t="s">
        <v>22</v>
      </c>
      <c r="DJ107" s="2" t="s">
        <v>22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1013</v>
      </c>
      <c r="DV107" s="2" t="s">
        <v>161</v>
      </c>
      <c r="DW107" s="2" t="s">
        <v>161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51696357</v>
      </c>
      <c r="EF107" s="2">
        <v>40</v>
      </c>
      <c r="EG107" s="2" t="s">
        <v>165</v>
      </c>
      <c r="EH107" s="2">
        <v>0</v>
      </c>
      <c r="EI107" s="2" t="s">
        <v>3</v>
      </c>
      <c r="EJ107" s="2">
        <v>2</v>
      </c>
      <c r="EK107" s="2">
        <v>318</v>
      </c>
      <c r="EL107" s="2" t="s">
        <v>166</v>
      </c>
      <c r="EM107" s="2" t="s">
        <v>167</v>
      </c>
      <c r="EN107" s="2"/>
      <c r="EO107" s="2" t="s">
        <v>26</v>
      </c>
      <c r="EP107" s="2"/>
      <c r="EQ107" s="2">
        <v>131072</v>
      </c>
      <c r="ER107" s="2">
        <v>300.39999999999998</v>
      </c>
      <c r="ES107" s="2">
        <v>52.94</v>
      </c>
      <c r="ET107" s="2">
        <v>52.8</v>
      </c>
      <c r="EU107" s="2">
        <v>6.44</v>
      </c>
      <c r="EV107" s="2">
        <v>194.66</v>
      </c>
      <c r="EW107" s="2">
        <v>15.8</v>
      </c>
      <c r="EX107" s="2">
        <v>0</v>
      </c>
      <c r="EY107" s="2">
        <v>0</v>
      </c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v>0</v>
      </c>
      <c r="FS107" s="2">
        <v>0</v>
      </c>
      <c r="FT107" s="2"/>
      <c r="FU107" s="2"/>
      <c r="FV107" s="2"/>
      <c r="FW107" s="2"/>
      <c r="FX107" s="2">
        <v>112</v>
      </c>
      <c r="FY107" s="2">
        <v>70</v>
      </c>
      <c r="FZ107" s="2"/>
      <c r="GA107" s="2" t="s">
        <v>3</v>
      </c>
      <c r="GB107" s="2"/>
      <c r="GC107" s="2"/>
      <c r="GD107" s="2">
        <v>0</v>
      </c>
      <c r="GE107" s="2"/>
      <c r="GF107" s="2">
        <v>1245614398</v>
      </c>
      <c r="GG107" s="2">
        <v>2</v>
      </c>
      <c r="GH107" s="2">
        <v>1</v>
      </c>
      <c r="GI107" s="2">
        <v>-2</v>
      </c>
      <c r="GJ107" s="2">
        <v>0</v>
      </c>
      <c r="GK107" s="2">
        <f>ROUND(R107*(R12)/100,2)</f>
        <v>0</v>
      </c>
      <c r="GL107" s="2">
        <f t="shared" si="90"/>
        <v>0</v>
      </c>
      <c r="GM107" s="2">
        <f t="shared" si="91"/>
        <v>0</v>
      </c>
      <c r="GN107" s="2">
        <f t="shared" si="92"/>
        <v>0</v>
      </c>
      <c r="GO107" s="2">
        <f t="shared" si="93"/>
        <v>0</v>
      </c>
      <c r="GP107" s="2">
        <f t="shared" si="94"/>
        <v>0</v>
      </c>
      <c r="GQ107" s="2"/>
      <c r="GR107" s="2">
        <v>0</v>
      </c>
      <c r="GS107" s="2">
        <v>0</v>
      </c>
      <c r="GT107" s="2">
        <v>0</v>
      </c>
      <c r="GU107" s="2" t="s">
        <v>3</v>
      </c>
      <c r="GV107" s="2">
        <f t="shared" si="95"/>
        <v>0</v>
      </c>
      <c r="GW107" s="2">
        <v>1</v>
      </c>
      <c r="GX107" s="2">
        <f t="shared" si="96"/>
        <v>0</v>
      </c>
      <c r="GY107" s="2"/>
      <c r="GZ107" s="2"/>
      <c r="HA107" s="2">
        <v>0</v>
      </c>
      <c r="HB107" s="2">
        <v>0</v>
      </c>
      <c r="HC107" s="2">
        <f t="shared" si="97"/>
        <v>0</v>
      </c>
      <c r="HD107" s="2"/>
      <c r="HE107" s="2" t="s">
        <v>3</v>
      </c>
      <c r="HF107" s="2" t="s">
        <v>3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">
      <c r="A108">
        <v>17</v>
      </c>
      <c r="B108">
        <v>1</v>
      </c>
      <c r="D108">
        <f>ROW(EtalonRes!A174)</f>
        <v>174</v>
      </c>
      <c r="E108" t="s">
        <v>182</v>
      </c>
      <c r="F108" t="s">
        <v>183</v>
      </c>
      <c r="G108" t="s">
        <v>184</v>
      </c>
      <c r="H108" t="s">
        <v>161</v>
      </c>
      <c r="I108">
        <v>0</v>
      </c>
      <c r="J108">
        <v>0</v>
      </c>
      <c r="K108">
        <v>0</v>
      </c>
      <c r="O108">
        <f t="shared" si="69"/>
        <v>0</v>
      </c>
      <c r="P108">
        <f t="shared" si="70"/>
        <v>0</v>
      </c>
      <c r="Q108">
        <f t="shared" si="101"/>
        <v>0</v>
      </c>
      <c r="R108">
        <f t="shared" si="71"/>
        <v>0</v>
      </c>
      <c r="S108">
        <f t="shared" si="72"/>
        <v>0</v>
      </c>
      <c r="T108">
        <f t="shared" si="73"/>
        <v>0</v>
      </c>
      <c r="U108">
        <f t="shared" si="74"/>
        <v>0</v>
      </c>
      <c r="V108">
        <f t="shared" si="75"/>
        <v>0</v>
      </c>
      <c r="W108">
        <f t="shared" si="76"/>
        <v>0</v>
      </c>
      <c r="X108">
        <f t="shared" si="77"/>
        <v>0</v>
      </c>
      <c r="Y108">
        <f t="shared" si="78"/>
        <v>0</v>
      </c>
      <c r="AA108">
        <v>56610029</v>
      </c>
      <c r="AB108">
        <f t="shared" si="79"/>
        <v>312.77300000000002</v>
      </c>
      <c r="AC108">
        <f t="shared" si="102"/>
        <v>52.94</v>
      </c>
      <c r="AD108">
        <f t="shared" si="103"/>
        <v>55.44</v>
      </c>
      <c r="AE108">
        <f t="shared" si="104"/>
        <v>6.7619999999999996</v>
      </c>
      <c r="AF108">
        <f t="shared" si="105"/>
        <v>204.393</v>
      </c>
      <c r="AG108">
        <f t="shared" si="80"/>
        <v>0</v>
      </c>
      <c r="AH108">
        <f t="shared" si="106"/>
        <v>16.59</v>
      </c>
      <c r="AI108">
        <f t="shared" si="107"/>
        <v>0</v>
      </c>
      <c r="AJ108">
        <f t="shared" si="81"/>
        <v>0</v>
      </c>
      <c r="AK108">
        <v>300.39999999999998</v>
      </c>
      <c r="AL108">
        <v>52.94</v>
      </c>
      <c r="AM108">
        <v>52.8</v>
      </c>
      <c r="AN108">
        <v>6.44</v>
      </c>
      <c r="AO108">
        <v>194.66</v>
      </c>
      <c r="AP108">
        <v>0</v>
      </c>
      <c r="AQ108">
        <v>15.8</v>
      </c>
      <c r="AR108">
        <v>0</v>
      </c>
      <c r="AS108">
        <v>0</v>
      </c>
      <c r="AT108">
        <v>92</v>
      </c>
      <c r="AU108">
        <v>43</v>
      </c>
      <c r="AV108">
        <v>1.0669999999999999</v>
      </c>
      <c r="AW108">
        <v>1.081</v>
      </c>
      <c r="AZ108">
        <v>1</v>
      </c>
      <c r="BA108">
        <v>34.51</v>
      </c>
      <c r="BB108">
        <v>12.04</v>
      </c>
      <c r="BC108">
        <v>17.38</v>
      </c>
      <c r="BD108" t="s">
        <v>3</v>
      </c>
      <c r="BE108" t="s">
        <v>3</v>
      </c>
      <c r="BF108" t="s">
        <v>3</v>
      </c>
      <c r="BG108" t="s">
        <v>3</v>
      </c>
      <c r="BH108">
        <v>0</v>
      </c>
      <c r="BI108">
        <v>2</v>
      </c>
      <c r="BJ108" t="s">
        <v>185</v>
      </c>
      <c r="BM108">
        <v>318</v>
      </c>
      <c r="BN108">
        <v>0</v>
      </c>
      <c r="BO108" t="s">
        <v>183</v>
      </c>
      <c r="BP108">
        <v>1</v>
      </c>
      <c r="BQ108">
        <v>40</v>
      </c>
      <c r="BR108">
        <v>0</v>
      </c>
      <c r="BS108">
        <v>34.51</v>
      </c>
      <c r="BT108">
        <v>1</v>
      </c>
      <c r="BU108">
        <v>1</v>
      </c>
      <c r="BV108">
        <v>1</v>
      </c>
      <c r="BW108">
        <v>1</v>
      </c>
      <c r="BX108">
        <v>1</v>
      </c>
      <c r="BY108" t="s">
        <v>3</v>
      </c>
      <c r="BZ108">
        <v>92</v>
      </c>
      <c r="CA108">
        <v>43</v>
      </c>
      <c r="CB108" t="s">
        <v>3</v>
      </c>
      <c r="CE108">
        <v>30</v>
      </c>
      <c r="CF108">
        <v>0</v>
      </c>
      <c r="CG108">
        <v>0</v>
      </c>
      <c r="CM108">
        <v>0</v>
      </c>
      <c r="CN108" t="s">
        <v>708</v>
      </c>
      <c r="CO108">
        <v>0</v>
      </c>
      <c r="CP108">
        <f t="shared" si="82"/>
        <v>0</v>
      </c>
      <c r="CQ108">
        <f t="shared" si="83"/>
        <v>994.66</v>
      </c>
      <c r="CR108">
        <f t="shared" si="108"/>
        <v>712.17</v>
      </c>
      <c r="CS108">
        <f t="shared" si="84"/>
        <v>249.16</v>
      </c>
      <c r="CT108">
        <f t="shared" si="85"/>
        <v>7526.29</v>
      </c>
      <c r="CU108">
        <f t="shared" si="86"/>
        <v>0</v>
      </c>
      <c r="CV108">
        <f t="shared" si="87"/>
        <v>17.701529999999998</v>
      </c>
      <c r="CW108">
        <f t="shared" si="88"/>
        <v>0</v>
      </c>
      <c r="CX108">
        <f t="shared" si="89"/>
        <v>0</v>
      </c>
      <c r="CY108">
        <f>S108*(BZ108/100)</f>
        <v>0</v>
      </c>
      <c r="CZ108">
        <f>S108*(CA108/100)</f>
        <v>0</v>
      </c>
      <c r="DB108">
        <v>52</v>
      </c>
      <c r="DC108" t="s">
        <v>3</v>
      </c>
      <c r="DD108" t="s">
        <v>3</v>
      </c>
      <c r="DE108" t="s">
        <v>22</v>
      </c>
      <c r="DF108" t="s">
        <v>22</v>
      </c>
      <c r="DG108" t="s">
        <v>22</v>
      </c>
      <c r="DH108" t="s">
        <v>3</v>
      </c>
      <c r="DI108" t="s">
        <v>22</v>
      </c>
      <c r="DJ108" t="s">
        <v>22</v>
      </c>
      <c r="DK108" t="s">
        <v>3</v>
      </c>
      <c r="DL108" t="s">
        <v>3</v>
      </c>
      <c r="DM108" t="s">
        <v>3</v>
      </c>
      <c r="DN108">
        <v>112</v>
      </c>
      <c r="DO108">
        <v>70</v>
      </c>
      <c r="DP108">
        <v>1.0669999999999999</v>
      </c>
      <c r="DQ108">
        <v>1.081</v>
      </c>
      <c r="DU108">
        <v>1013</v>
      </c>
      <c r="DV108" t="s">
        <v>161</v>
      </c>
      <c r="DW108" t="s">
        <v>161</v>
      </c>
      <c r="DX108">
        <v>1</v>
      </c>
      <c r="DZ108" t="s">
        <v>3</v>
      </c>
      <c r="EA108" t="s">
        <v>3</v>
      </c>
      <c r="EB108" t="s">
        <v>3</v>
      </c>
      <c r="EC108" t="s">
        <v>3</v>
      </c>
      <c r="EE108">
        <v>51696357</v>
      </c>
      <c r="EF108">
        <v>40</v>
      </c>
      <c r="EG108" t="s">
        <v>165</v>
      </c>
      <c r="EH108">
        <v>0</v>
      </c>
      <c r="EI108" t="s">
        <v>3</v>
      </c>
      <c r="EJ108">
        <v>2</v>
      </c>
      <c r="EK108">
        <v>318</v>
      </c>
      <c r="EL108" t="s">
        <v>166</v>
      </c>
      <c r="EM108" t="s">
        <v>167</v>
      </c>
      <c r="EO108" t="s">
        <v>26</v>
      </c>
      <c r="EQ108">
        <v>131072</v>
      </c>
      <c r="ER108">
        <v>300.39999999999998</v>
      </c>
      <c r="ES108">
        <v>52.94</v>
      </c>
      <c r="ET108">
        <v>52.8</v>
      </c>
      <c r="EU108">
        <v>6.44</v>
      </c>
      <c r="EV108">
        <v>194.66</v>
      </c>
      <c r="EW108">
        <v>15.8</v>
      </c>
      <c r="EX108">
        <v>0</v>
      </c>
      <c r="EY108">
        <v>0</v>
      </c>
      <c r="FQ108">
        <v>0</v>
      </c>
      <c r="FR108">
        <v>0</v>
      </c>
      <c r="FS108">
        <v>0</v>
      </c>
      <c r="FX108">
        <v>112</v>
      </c>
      <c r="FY108">
        <v>70</v>
      </c>
      <c r="GA108" t="s">
        <v>3</v>
      </c>
      <c r="GD108">
        <v>0</v>
      </c>
      <c r="GF108">
        <v>1245614398</v>
      </c>
      <c r="GG108">
        <v>2</v>
      </c>
      <c r="GH108">
        <v>1</v>
      </c>
      <c r="GI108">
        <v>2</v>
      </c>
      <c r="GJ108">
        <v>0</v>
      </c>
      <c r="GK108">
        <f>ROUND(R108*(S12)/100,2)</f>
        <v>0</v>
      </c>
      <c r="GL108">
        <f t="shared" si="90"/>
        <v>0</v>
      </c>
      <c r="GM108">
        <f t="shared" si="91"/>
        <v>0</v>
      </c>
      <c r="GN108">
        <f t="shared" si="92"/>
        <v>0</v>
      </c>
      <c r="GO108">
        <f t="shared" si="93"/>
        <v>0</v>
      </c>
      <c r="GP108">
        <f t="shared" si="94"/>
        <v>0</v>
      </c>
      <c r="GR108">
        <v>0</v>
      </c>
      <c r="GS108">
        <v>3</v>
      </c>
      <c r="GT108">
        <v>0</v>
      </c>
      <c r="GU108" t="s">
        <v>3</v>
      </c>
      <c r="GV108">
        <f t="shared" si="95"/>
        <v>0</v>
      </c>
      <c r="GW108">
        <v>1</v>
      </c>
      <c r="GX108">
        <f t="shared" si="96"/>
        <v>0</v>
      </c>
      <c r="HA108">
        <v>0</v>
      </c>
      <c r="HB108">
        <v>0</v>
      </c>
      <c r="HC108">
        <f t="shared" si="97"/>
        <v>0</v>
      </c>
      <c r="HE108" t="s">
        <v>3</v>
      </c>
      <c r="HF108" t="s">
        <v>3</v>
      </c>
      <c r="HM108" t="s">
        <v>3</v>
      </c>
      <c r="HN108" t="s">
        <v>3</v>
      </c>
      <c r="HO108" t="s">
        <v>3</v>
      </c>
      <c r="HP108" t="s">
        <v>3</v>
      </c>
      <c r="HQ108" t="s">
        <v>3</v>
      </c>
      <c r="HS108">
        <v>0</v>
      </c>
      <c r="IK108">
        <v>0</v>
      </c>
    </row>
    <row r="109" spans="1:255" x14ac:dyDescent="0.2">
      <c r="A109" s="2">
        <v>17</v>
      </c>
      <c r="B109" s="2">
        <v>1</v>
      </c>
      <c r="C109" s="2"/>
      <c r="D109" s="2">
        <f>ROW(EtalonRes!A187)</f>
        <v>187</v>
      </c>
      <c r="E109" s="2" t="s">
        <v>186</v>
      </c>
      <c r="F109" s="2" t="s">
        <v>183</v>
      </c>
      <c r="G109" s="2" t="s">
        <v>184</v>
      </c>
      <c r="H109" s="2" t="s">
        <v>161</v>
      </c>
      <c r="I109" s="2">
        <v>0</v>
      </c>
      <c r="J109" s="2">
        <v>0</v>
      </c>
      <c r="K109" s="2">
        <v>0</v>
      </c>
      <c r="L109" s="2"/>
      <c r="M109" s="2"/>
      <c r="N109" s="2"/>
      <c r="O109" s="2">
        <f t="shared" si="69"/>
        <v>0</v>
      </c>
      <c r="P109" s="2">
        <f t="shared" si="70"/>
        <v>0</v>
      </c>
      <c r="Q109" s="2">
        <f t="shared" si="101"/>
        <v>0</v>
      </c>
      <c r="R109" s="2">
        <f t="shared" si="71"/>
        <v>0</v>
      </c>
      <c r="S109" s="2">
        <f t="shared" si="72"/>
        <v>0</v>
      </c>
      <c r="T109" s="2">
        <f t="shared" si="73"/>
        <v>0</v>
      </c>
      <c r="U109" s="2">
        <f t="shared" si="74"/>
        <v>0</v>
      </c>
      <c r="V109" s="2">
        <f t="shared" si="75"/>
        <v>0</v>
      </c>
      <c r="W109" s="2">
        <f t="shared" si="76"/>
        <v>0</v>
      </c>
      <c r="X109" s="2">
        <f t="shared" si="77"/>
        <v>0</v>
      </c>
      <c r="Y109" s="2">
        <f t="shared" si="78"/>
        <v>0</v>
      </c>
      <c r="Z109" s="2"/>
      <c r="AA109" s="2">
        <v>56622490</v>
      </c>
      <c r="AB109" s="2">
        <f t="shared" si="79"/>
        <v>312.77300000000002</v>
      </c>
      <c r="AC109" s="2">
        <f t="shared" si="102"/>
        <v>52.94</v>
      </c>
      <c r="AD109" s="2">
        <f t="shared" si="103"/>
        <v>55.44</v>
      </c>
      <c r="AE109" s="2">
        <f t="shared" si="104"/>
        <v>6.7619999999999996</v>
      </c>
      <c r="AF109" s="2">
        <f t="shared" si="105"/>
        <v>204.393</v>
      </c>
      <c r="AG109" s="2">
        <f t="shared" si="80"/>
        <v>0</v>
      </c>
      <c r="AH109" s="2">
        <f t="shared" si="106"/>
        <v>16.59</v>
      </c>
      <c r="AI109" s="2">
        <f t="shared" si="107"/>
        <v>0</v>
      </c>
      <c r="AJ109" s="2">
        <f t="shared" si="81"/>
        <v>0</v>
      </c>
      <c r="AK109" s="2">
        <v>300.39999999999998</v>
      </c>
      <c r="AL109" s="2">
        <v>52.94</v>
      </c>
      <c r="AM109" s="2">
        <v>52.8</v>
      </c>
      <c r="AN109" s="2">
        <v>6.44</v>
      </c>
      <c r="AO109" s="2">
        <v>194.66</v>
      </c>
      <c r="AP109" s="2">
        <v>0</v>
      </c>
      <c r="AQ109" s="2">
        <v>15.8</v>
      </c>
      <c r="AR109" s="2">
        <v>0</v>
      </c>
      <c r="AS109" s="2">
        <v>0</v>
      </c>
      <c r="AT109" s="2">
        <v>112</v>
      </c>
      <c r="AU109" s="2">
        <v>70</v>
      </c>
      <c r="AV109" s="2">
        <v>1.0669999999999999</v>
      </c>
      <c r="AW109" s="2">
        <v>1.081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0</v>
      </c>
      <c r="BI109" s="2">
        <v>2</v>
      </c>
      <c r="BJ109" s="2" t="s">
        <v>185</v>
      </c>
      <c r="BK109" s="2"/>
      <c r="BL109" s="2"/>
      <c r="BM109" s="2">
        <v>318</v>
      </c>
      <c r="BN109" s="2">
        <v>0</v>
      </c>
      <c r="BO109" s="2" t="s">
        <v>3</v>
      </c>
      <c r="BP109" s="2">
        <v>0</v>
      </c>
      <c r="BQ109" s="2">
        <v>40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112</v>
      </c>
      <c r="CA109" s="2">
        <v>70</v>
      </c>
      <c r="CB109" s="2" t="s">
        <v>3</v>
      </c>
      <c r="CC109" s="2"/>
      <c r="CD109" s="2"/>
      <c r="CE109" s="2">
        <v>30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708</v>
      </c>
      <c r="CO109" s="2">
        <v>0</v>
      </c>
      <c r="CP109" s="2">
        <f t="shared" si="82"/>
        <v>0</v>
      </c>
      <c r="CQ109" s="2">
        <f t="shared" si="83"/>
        <v>57.23</v>
      </c>
      <c r="CR109" s="2">
        <f t="shared" si="108"/>
        <v>59.15</v>
      </c>
      <c r="CS109" s="2">
        <f t="shared" si="84"/>
        <v>7.22</v>
      </c>
      <c r="CT109" s="2">
        <f t="shared" si="85"/>
        <v>218.09</v>
      </c>
      <c r="CU109" s="2">
        <f t="shared" si="86"/>
        <v>0</v>
      </c>
      <c r="CV109" s="2">
        <f t="shared" si="87"/>
        <v>17.701529999999998</v>
      </c>
      <c r="CW109" s="2">
        <f t="shared" si="88"/>
        <v>0</v>
      </c>
      <c r="CX109" s="2">
        <f t="shared" si="89"/>
        <v>0</v>
      </c>
      <c r="CY109" s="2">
        <f>((S109*BZ109)/100)</f>
        <v>0</v>
      </c>
      <c r="CZ109" s="2">
        <f>((S109*CA109)/100)</f>
        <v>0</v>
      </c>
      <c r="DA109" s="2"/>
      <c r="DB109" s="2">
        <v>53</v>
      </c>
      <c r="DC109" s="2" t="s">
        <v>3</v>
      </c>
      <c r="DD109" s="2" t="s">
        <v>3</v>
      </c>
      <c r="DE109" s="2" t="s">
        <v>22</v>
      </c>
      <c r="DF109" s="2" t="s">
        <v>22</v>
      </c>
      <c r="DG109" s="2" t="s">
        <v>22</v>
      </c>
      <c r="DH109" s="2" t="s">
        <v>3</v>
      </c>
      <c r="DI109" s="2" t="s">
        <v>22</v>
      </c>
      <c r="DJ109" s="2" t="s">
        <v>22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1013</v>
      </c>
      <c r="DV109" s="2" t="s">
        <v>161</v>
      </c>
      <c r="DW109" s="2" t="s">
        <v>161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51696357</v>
      </c>
      <c r="EF109" s="2">
        <v>40</v>
      </c>
      <c r="EG109" s="2" t="s">
        <v>165</v>
      </c>
      <c r="EH109" s="2">
        <v>0</v>
      </c>
      <c r="EI109" s="2" t="s">
        <v>3</v>
      </c>
      <c r="EJ109" s="2">
        <v>2</v>
      </c>
      <c r="EK109" s="2">
        <v>318</v>
      </c>
      <c r="EL109" s="2" t="s">
        <v>166</v>
      </c>
      <c r="EM109" s="2" t="s">
        <v>167</v>
      </c>
      <c r="EN109" s="2"/>
      <c r="EO109" s="2" t="s">
        <v>26</v>
      </c>
      <c r="EP109" s="2"/>
      <c r="EQ109" s="2">
        <v>131072</v>
      </c>
      <c r="ER109" s="2">
        <v>300.39999999999998</v>
      </c>
      <c r="ES109" s="2">
        <v>52.94</v>
      </c>
      <c r="ET109" s="2">
        <v>52.8</v>
      </c>
      <c r="EU109" s="2">
        <v>6.44</v>
      </c>
      <c r="EV109" s="2">
        <v>194.66</v>
      </c>
      <c r="EW109" s="2">
        <v>15.8</v>
      </c>
      <c r="EX109" s="2">
        <v>0</v>
      </c>
      <c r="EY109" s="2">
        <v>0</v>
      </c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112</v>
      </c>
      <c r="FY109" s="2">
        <v>70</v>
      </c>
      <c r="FZ109" s="2"/>
      <c r="GA109" s="2" t="s">
        <v>3</v>
      </c>
      <c r="GB109" s="2"/>
      <c r="GC109" s="2"/>
      <c r="GD109" s="2">
        <v>0</v>
      </c>
      <c r="GE109" s="2"/>
      <c r="GF109" s="2">
        <v>1245614398</v>
      </c>
      <c r="GG109" s="2">
        <v>2</v>
      </c>
      <c r="GH109" s="2">
        <v>1</v>
      </c>
      <c r="GI109" s="2">
        <v>-2</v>
      </c>
      <c r="GJ109" s="2">
        <v>0</v>
      </c>
      <c r="GK109" s="2">
        <f>ROUND(R109*(R12)/100,2)</f>
        <v>0</v>
      </c>
      <c r="GL109" s="2">
        <f t="shared" si="90"/>
        <v>0</v>
      </c>
      <c r="GM109" s="2">
        <f t="shared" si="91"/>
        <v>0</v>
      </c>
      <c r="GN109" s="2">
        <f t="shared" si="92"/>
        <v>0</v>
      </c>
      <c r="GO109" s="2">
        <f t="shared" si="93"/>
        <v>0</v>
      </c>
      <c r="GP109" s="2">
        <f t="shared" si="94"/>
        <v>0</v>
      </c>
      <c r="GQ109" s="2"/>
      <c r="GR109" s="2">
        <v>0</v>
      </c>
      <c r="GS109" s="2">
        <v>0</v>
      </c>
      <c r="GT109" s="2">
        <v>0</v>
      </c>
      <c r="GU109" s="2" t="s">
        <v>3</v>
      </c>
      <c r="GV109" s="2">
        <f t="shared" si="95"/>
        <v>0</v>
      </c>
      <c r="GW109" s="2">
        <v>1</v>
      </c>
      <c r="GX109" s="2">
        <f t="shared" si="96"/>
        <v>0</v>
      </c>
      <c r="GY109" s="2"/>
      <c r="GZ109" s="2"/>
      <c r="HA109" s="2">
        <v>0</v>
      </c>
      <c r="HB109" s="2">
        <v>0</v>
      </c>
      <c r="HC109" s="2">
        <f t="shared" si="97"/>
        <v>0</v>
      </c>
      <c r="HD109" s="2"/>
      <c r="HE109" s="2" t="s">
        <v>3</v>
      </c>
      <c r="HF109" s="2" t="s">
        <v>3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">
      <c r="A110">
        <v>17</v>
      </c>
      <c r="B110">
        <v>1</v>
      </c>
      <c r="D110">
        <f>ROW(EtalonRes!A200)</f>
        <v>200</v>
      </c>
      <c r="E110" t="s">
        <v>186</v>
      </c>
      <c r="F110" t="s">
        <v>183</v>
      </c>
      <c r="G110" t="s">
        <v>184</v>
      </c>
      <c r="H110" t="s">
        <v>161</v>
      </c>
      <c r="I110">
        <v>0</v>
      </c>
      <c r="J110">
        <v>0</v>
      </c>
      <c r="K110">
        <v>0</v>
      </c>
      <c r="O110">
        <f t="shared" si="69"/>
        <v>0</v>
      </c>
      <c r="P110">
        <f t="shared" si="70"/>
        <v>0</v>
      </c>
      <c r="Q110">
        <f t="shared" si="101"/>
        <v>0</v>
      </c>
      <c r="R110">
        <f t="shared" si="71"/>
        <v>0</v>
      </c>
      <c r="S110">
        <f t="shared" si="72"/>
        <v>0</v>
      </c>
      <c r="T110">
        <f t="shared" si="73"/>
        <v>0</v>
      </c>
      <c r="U110">
        <f t="shared" si="74"/>
        <v>0</v>
      </c>
      <c r="V110">
        <f t="shared" si="75"/>
        <v>0</v>
      </c>
      <c r="W110">
        <f t="shared" si="76"/>
        <v>0</v>
      </c>
      <c r="X110">
        <f t="shared" si="77"/>
        <v>0</v>
      </c>
      <c r="Y110">
        <f t="shared" si="78"/>
        <v>0</v>
      </c>
      <c r="AA110">
        <v>56610029</v>
      </c>
      <c r="AB110">
        <f t="shared" si="79"/>
        <v>312.77300000000002</v>
      </c>
      <c r="AC110">
        <f t="shared" si="102"/>
        <v>52.94</v>
      </c>
      <c r="AD110">
        <f t="shared" si="103"/>
        <v>55.44</v>
      </c>
      <c r="AE110">
        <f t="shared" si="104"/>
        <v>6.7619999999999996</v>
      </c>
      <c r="AF110">
        <f t="shared" si="105"/>
        <v>204.393</v>
      </c>
      <c r="AG110">
        <f t="shared" si="80"/>
        <v>0</v>
      </c>
      <c r="AH110">
        <f t="shared" si="106"/>
        <v>16.59</v>
      </c>
      <c r="AI110">
        <f t="shared" si="107"/>
        <v>0</v>
      </c>
      <c r="AJ110">
        <f t="shared" si="81"/>
        <v>0</v>
      </c>
      <c r="AK110">
        <v>300.39999999999998</v>
      </c>
      <c r="AL110">
        <v>52.94</v>
      </c>
      <c r="AM110">
        <v>52.8</v>
      </c>
      <c r="AN110">
        <v>6.44</v>
      </c>
      <c r="AO110">
        <v>194.66</v>
      </c>
      <c r="AP110">
        <v>0</v>
      </c>
      <c r="AQ110">
        <v>15.8</v>
      </c>
      <c r="AR110">
        <v>0</v>
      </c>
      <c r="AS110">
        <v>0</v>
      </c>
      <c r="AT110">
        <v>92</v>
      </c>
      <c r="AU110">
        <v>43</v>
      </c>
      <c r="AV110">
        <v>1.0669999999999999</v>
      </c>
      <c r="AW110">
        <v>1.081</v>
      </c>
      <c r="AZ110">
        <v>1</v>
      </c>
      <c r="BA110">
        <v>34.51</v>
      </c>
      <c r="BB110">
        <v>12.04</v>
      </c>
      <c r="BC110">
        <v>17.38</v>
      </c>
      <c r="BD110" t="s">
        <v>3</v>
      </c>
      <c r="BE110" t="s">
        <v>3</v>
      </c>
      <c r="BF110" t="s">
        <v>3</v>
      </c>
      <c r="BG110" t="s">
        <v>3</v>
      </c>
      <c r="BH110">
        <v>0</v>
      </c>
      <c r="BI110">
        <v>2</v>
      </c>
      <c r="BJ110" t="s">
        <v>185</v>
      </c>
      <c r="BM110">
        <v>318</v>
      </c>
      <c r="BN110">
        <v>0</v>
      </c>
      <c r="BO110" t="s">
        <v>183</v>
      </c>
      <c r="BP110">
        <v>1</v>
      </c>
      <c r="BQ110">
        <v>40</v>
      </c>
      <c r="BR110">
        <v>0</v>
      </c>
      <c r="BS110">
        <v>34.51</v>
      </c>
      <c r="BT110">
        <v>1</v>
      </c>
      <c r="BU110">
        <v>1</v>
      </c>
      <c r="BV110">
        <v>1</v>
      </c>
      <c r="BW110">
        <v>1</v>
      </c>
      <c r="BX110">
        <v>1</v>
      </c>
      <c r="BY110" t="s">
        <v>3</v>
      </c>
      <c r="BZ110">
        <v>92</v>
      </c>
      <c r="CA110">
        <v>43</v>
      </c>
      <c r="CB110" t="s">
        <v>3</v>
      </c>
      <c r="CE110">
        <v>30</v>
      </c>
      <c r="CF110">
        <v>0</v>
      </c>
      <c r="CG110">
        <v>0</v>
      </c>
      <c r="CM110">
        <v>0</v>
      </c>
      <c r="CN110" t="s">
        <v>708</v>
      </c>
      <c r="CO110">
        <v>0</v>
      </c>
      <c r="CP110">
        <f t="shared" si="82"/>
        <v>0</v>
      </c>
      <c r="CQ110">
        <f t="shared" si="83"/>
        <v>994.66</v>
      </c>
      <c r="CR110">
        <f t="shared" si="108"/>
        <v>712.17</v>
      </c>
      <c r="CS110">
        <f t="shared" si="84"/>
        <v>249.16</v>
      </c>
      <c r="CT110">
        <f t="shared" si="85"/>
        <v>7526.29</v>
      </c>
      <c r="CU110">
        <f t="shared" si="86"/>
        <v>0</v>
      </c>
      <c r="CV110">
        <f t="shared" si="87"/>
        <v>17.701529999999998</v>
      </c>
      <c r="CW110">
        <f t="shared" si="88"/>
        <v>0</v>
      </c>
      <c r="CX110">
        <f t="shared" si="89"/>
        <v>0</v>
      </c>
      <c r="CY110">
        <f>S110*(BZ110/100)</f>
        <v>0</v>
      </c>
      <c r="CZ110">
        <f>S110*(CA110/100)</f>
        <v>0</v>
      </c>
      <c r="DB110">
        <v>54</v>
      </c>
      <c r="DC110" t="s">
        <v>3</v>
      </c>
      <c r="DD110" t="s">
        <v>3</v>
      </c>
      <c r="DE110" t="s">
        <v>22</v>
      </c>
      <c r="DF110" t="s">
        <v>22</v>
      </c>
      <c r="DG110" t="s">
        <v>22</v>
      </c>
      <c r="DH110" t="s">
        <v>3</v>
      </c>
      <c r="DI110" t="s">
        <v>22</v>
      </c>
      <c r="DJ110" t="s">
        <v>22</v>
      </c>
      <c r="DK110" t="s">
        <v>3</v>
      </c>
      <c r="DL110" t="s">
        <v>3</v>
      </c>
      <c r="DM110" t="s">
        <v>3</v>
      </c>
      <c r="DN110">
        <v>112</v>
      </c>
      <c r="DO110">
        <v>70</v>
      </c>
      <c r="DP110">
        <v>1.0669999999999999</v>
      </c>
      <c r="DQ110">
        <v>1.081</v>
      </c>
      <c r="DU110">
        <v>1013</v>
      </c>
      <c r="DV110" t="s">
        <v>161</v>
      </c>
      <c r="DW110" t="s">
        <v>161</v>
      </c>
      <c r="DX110">
        <v>1</v>
      </c>
      <c r="DZ110" t="s">
        <v>3</v>
      </c>
      <c r="EA110" t="s">
        <v>3</v>
      </c>
      <c r="EB110" t="s">
        <v>3</v>
      </c>
      <c r="EC110" t="s">
        <v>3</v>
      </c>
      <c r="EE110">
        <v>51696357</v>
      </c>
      <c r="EF110">
        <v>40</v>
      </c>
      <c r="EG110" t="s">
        <v>165</v>
      </c>
      <c r="EH110">
        <v>0</v>
      </c>
      <c r="EI110" t="s">
        <v>3</v>
      </c>
      <c r="EJ110">
        <v>2</v>
      </c>
      <c r="EK110">
        <v>318</v>
      </c>
      <c r="EL110" t="s">
        <v>166</v>
      </c>
      <c r="EM110" t="s">
        <v>167</v>
      </c>
      <c r="EO110" t="s">
        <v>26</v>
      </c>
      <c r="EQ110">
        <v>131072</v>
      </c>
      <c r="ER110">
        <v>300.39999999999998</v>
      </c>
      <c r="ES110">
        <v>52.94</v>
      </c>
      <c r="ET110">
        <v>52.8</v>
      </c>
      <c r="EU110">
        <v>6.44</v>
      </c>
      <c r="EV110">
        <v>194.66</v>
      </c>
      <c r="EW110">
        <v>15.8</v>
      </c>
      <c r="EX110">
        <v>0</v>
      </c>
      <c r="EY110">
        <v>0</v>
      </c>
      <c r="FQ110">
        <v>0</v>
      </c>
      <c r="FR110">
        <v>0</v>
      </c>
      <c r="FS110">
        <v>0</v>
      </c>
      <c r="FX110">
        <v>112</v>
      </c>
      <c r="FY110">
        <v>70</v>
      </c>
      <c r="GA110" t="s">
        <v>3</v>
      </c>
      <c r="GD110">
        <v>0</v>
      </c>
      <c r="GF110">
        <v>1245614398</v>
      </c>
      <c r="GG110">
        <v>2</v>
      </c>
      <c r="GH110">
        <v>1</v>
      </c>
      <c r="GI110">
        <v>2</v>
      </c>
      <c r="GJ110">
        <v>0</v>
      </c>
      <c r="GK110">
        <f>ROUND(R110*(S12)/100,2)</f>
        <v>0</v>
      </c>
      <c r="GL110">
        <f t="shared" si="90"/>
        <v>0</v>
      </c>
      <c r="GM110">
        <f t="shared" si="91"/>
        <v>0</v>
      </c>
      <c r="GN110">
        <f t="shared" si="92"/>
        <v>0</v>
      </c>
      <c r="GO110">
        <f t="shared" si="93"/>
        <v>0</v>
      </c>
      <c r="GP110">
        <f t="shared" si="94"/>
        <v>0</v>
      </c>
      <c r="GR110">
        <v>0</v>
      </c>
      <c r="GS110">
        <v>3</v>
      </c>
      <c r="GT110">
        <v>0</v>
      </c>
      <c r="GU110" t="s">
        <v>3</v>
      </c>
      <c r="GV110">
        <f t="shared" si="95"/>
        <v>0</v>
      </c>
      <c r="GW110">
        <v>1</v>
      </c>
      <c r="GX110">
        <f t="shared" si="96"/>
        <v>0</v>
      </c>
      <c r="HA110">
        <v>0</v>
      </c>
      <c r="HB110">
        <v>0</v>
      </c>
      <c r="HC110">
        <f t="shared" si="97"/>
        <v>0</v>
      </c>
      <c r="HE110" t="s">
        <v>3</v>
      </c>
      <c r="HF110" t="s">
        <v>3</v>
      </c>
      <c r="HM110" t="s">
        <v>3</v>
      </c>
      <c r="HN110" t="s">
        <v>3</v>
      </c>
      <c r="HO110" t="s">
        <v>3</v>
      </c>
      <c r="HP110" t="s">
        <v>3</v>
      </c>
      <c r="HQ110" t="s">
        <v>3</v>
      </c>
      <c r="HS110">
        <v>0</v>
      </c>
      <c r="IK110">
        <v>0</v>
      </c>
    </row>
    <row r="111" spans="1:255" x14ac:dyDescent="0.2">
      <c r="A111" s="2">
        <v>17</v>
      </c>
      <c r="B111" s="2">
        <v>1</v>
      </c>
      <c r="C111" s="2"/>
      <c r="D111" s="2">
        <f>ROW(EtalonRes!A213)</f>
        <v>213</v>
      </c>
      <c r="E111" s="2" t="s">
        <v>187</v>
      </c>
      <c r="F111" s="2" t="s">
        <v>188</v>
      </c>
      <c r="G111" s="2" t="s">
        <v>189</v>
      </c>
      <c r="H111" s="2" t="s">
        <v>161</v>
      </c>
      <c r="I111" s="2">
        <v>0</v>
      </c>
      <c r="J111" s="2">
        <v>0</v>
      </c>
      <c r="K111" s="2">
        <v>0</v>
      </c>
      <c r="L111" s="2"/>
      <c r="M111" s="2"/>
      <c r="N111" s="2"/>
      <c r="O111" s="2">
        <f t="shared" si="69"/>
        <v>0</v>
      </c>
      <c r="P111" s="2">
        <f t="shared" si="70"/>
        <v>0</v>
      </c>
      <c r="Q111" s="2">
        <f t="shared" si="101"/>
        <v>0</v>
      </c>
      <c r="R111" s="2">
        <f t="shared" si="71"/>
        <v>0</v>
      </c>
      <c r="S111" s="2">
        <f t="shared" si="72"/>
        <v>0</v>
      </c>
      <c r="T111" s="2">
        <f t="shared" si="73"/>
        <v>0</v>
      </c>
      <c r="U111" s="2">
        <f t="shared" si="74"/>
        <v>0</v>
      </c>
      <c r="V111" s="2">
        <f t="shared" si="75"/>
        <v>0</v>
      </c>
      <c r="W111" s="2">
        <f t="shared" si="76"/>
        <v>0</v>
      </c>
      <c r="X111" s="2">
        <f t="shared" si="77"/>
        <v>0</v>
      </c>
      <c r="Y111" s="2">
        <f t="shared" si="78"/>
        <v>0</v>
      </c>
      <c r="Z111" s="2"/>
      <c r="AA111" s="2">
        <v>56622490</v>
      </c>
      <c r="AB111" s="2">
        <f t="shared" si="79"/>
        <v>193.99850000000001</v>
      </c>
      <c r="AC111" s="2">
        <f t="shared" si="102"/>
        <v>53.75</v>
      </c>
      <c r="AD111" s="2">
        <f t="shared" si="103"/>
        <v>47.890500000000003</v>
      </c>
      <c r="AE111" s="2">
        <f t="shared" si="104"/>
        <v>6.4995000000000003</v>
      </c>
      <c r="AF111" s="2">
        <f t="shared" si="105"/>
        <v>92.358000000000004</v>
      </c>
      <c r="AG111" s="2">
        <f t="shared" si="80"/>
        <v>0</v>
      </c>
      <c r="AH111" s="2">
        <f t="shared" si="106"/>
        <v>7.4969999999999999</v>
      </c>
      <c r="AI111" s="2">
        <f t="shared" si="107"/>
        <v>0</v>
      </c>
      <c r="AJ111" s="2">
        <f t="shared" si="81"/>
        <v>0</v>
      </c>
      <c r="AK111" s="2">
        <v>187.32</v>
      </c>
      <c r="AL111" s="2">
        <v>53.75</v>
      </c>
      <c r="AM111" s="2">
        <v>45.61</v>
      </c>
      <c r="AN111" s="2">
        <v>6.19</v>
      </c>
      <c r="AO111" s="2">
        <v>87.96</v>
      </c>
      <c r="AP111" s="2">
        <v>0</v>
      </c>
      <c r="AQ111" s="2">
        <v>7.14</v>
      </c>
      <c r="AR111" s="2">
        <v>0</v>
      </c>
      <c r="AS111" s="2">
        <v>0</v>
      </c>
      <c r="AT111" s="2">
        <v>112</v>
      </c>
      <c r="AU111" s="2">
        <v>70</v>
      </c>
      <c r="AV111" s="2">
        <v>1.0669999999999999</v>
      </c>
      <c r="AW111" s="2">
        <v>1.081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0</v>
      </c>
      <c r="BI111" s="2">
        <v>2</v>
      </c>
      <c r="BJ111" s="2" t="s">
        <v>190</v>
      </c>
      <c r="BK111" s="2"/>
      <c r="BL111" s="2"/>
      <c r="BM111" s="2">
        <v>318</v>
      </c>
      <c r="BN111" s="2">
        <v>0</v>
      </c>
      <c r="BO111" s="2" t="s">
        <v>3</v>
      </c>
      <c r="BP111" s="2">
        <v>0</v>
      </c>
      <c r="BQ111" s="2">
        <v>40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112</v>
      </c>
      <c r="CA111" s="2">
        <v>70</v>
      </c>
      <c r="CB111" s="2" t="s">
        <v>3</v>
      </c>
      <c r="CC111" s="2"/>
      <c r="CD111" s="2"/>
      <c r="CE111" s="2">
        <v>30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708</v>
      </c>
      <c r="CO111" s="2">
        <v>0</v>
      </c>
      <c r="CP111" s="2">
        <f t="shared" si="82"/>
        <v>0</v>
      </c>
      <c r="CQ111" s="2">
        <f t="shared" si="83"/>
        <v>58.1</v>
      </c>
      <c r="CR111" s="2">
        <f t="shared" si="108"/>
        <v>51.1</v>
      </c>
      <c r="CS111" s="2">
        <f t="shared" si="84"/>
        <v>6.93</v>
      </c>
      <c r="CT111" s="2">
        <f t="shared" si="85"/>
        <v>98.55</v>
      </c>
      <c r="CU111" s="2">
        <f t="shared" si="86"/>
        <v>0</v>
      </c>
      <c r="CV111" s="2">
        <f t="shared" si="87"/>
        <v>7.9992989999999997</v>
      </c>
      <c r="CW111" s="2">
        <f t="shared" si="88"/>
        <v>0</v>
      </c>
      <c r="CX111" s="2">
        <f t="shared" si="89"/>
        <v>0</v>
      </c>
      <c r="CY111" s="2">
        <f>((S111*BZ111)/100)</f>
        <v>0</v>
      </c>
      <c r="CZ111" s="2">
        <f>((S111*CA111)/100)</f>
        <v>0</v>
      </c>
      <c r="DA111" s="2"/>
      <c r="DB111" s="2">
        <v>55</v>
      </c>
      <c r="DC111" s="2" t="s">
        <v>3</v>
      </c>
      <c r="DD111" s="2" t="s">
        <v>3</v>
      </c>
      <c r="DE111" s="2" t="s">
        <v>22</v>
      </c>
      <c r="DF111" s="2" t="s">
        <v>22</v>
      </c>
      <c r="DG111" s="2" t="s">
        <v>22</v>
      </c>
      <c r="DH111" s="2" t="s">
        <v>3</v>
      </c>
      <c r="DI111" s="2" t="s">
        <v>22</v>
      </c>
      <c r="DJ111" s="2" t="s">
        <v>22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1013</v>
      </c>
      <c r="DV111" s="2" t="s">
        <v>161</v>
      </c>
      <c r="DW111" s="2" t="s">
        <v>161</v>
      </c>
      <c r="DX111" s="2">
        <v>1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51696357</v>
      </c>
      <c r="EF111" s="2">
        <v>40</v>
      </c>
      <c r="EG111" s="2" t="s">
        <v>165</v>
      </c>
      <c r="EH111" s="2">
        <v>0</v>
      </c>
      <c r="EI111" s="2" t="s">
        <v>3</v>
      </c>
      <c r="EJ111" s="2">
        <v>2</v>
      </c>
      <c r="EK111" s="2">
        <v>318</v>
      </c>
      <c r="EL111" s="2" t="s">
        <v>166</v>
      </c>
      <c r="EM111" s="2" t="s">
        <v>167</v>
      </c>
      <c r="EN111" s="2"/>
      <c r="EO111" s="2" t="s">
        <v>26</v>
      </c>
      <c r="EP111" s="2"/>
      <c r="EQ111" s="2">
        <v>131072</v>
      </c>
      <c r="ER111" s="2">
        <v>187.32</v>
      </c>
      <c r="ES111" s="2">
        <v>53.75</v>
      </c>
      <c r="ET111" s="2">
        <v>45.61</v>
      </c>
      <c r="EU111" s="2">
        <v>6.19</v>
      </c>
      <c r="EV111" s="2">
        <v>87.96</v>
      </c>
      <c r="EW111" s="2">
        <v>7.14</v>
      </c>
      <c r="EX111" s="2">
        <v>0</v>
      </c>
      <c r="EY111" s="2">
        <v>0</v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v>0</v>
      </c>
      <c r="FS111" s="2">
        <v>0</v>
      </c>
      <c r="FT111" s="2"/>
      <c r="FU111" s="2"/>
      <c r="FV111" s="2"/>
      <c r="FW111" s="2"/>
      <c r="FX111" s="2">
        <v>112</v>
      </c>
      <c r="FY111" s="2">
        <v>70</v>
      </c>
      <c r="FZ111" s="2"/>
      <c r="GA111" s="2" t="s">
        <v>3</v>
      </c>
      <c r="GB111" s="2"/>
      <c r="GC111" s="2"/>
      <c r="GD111" s="2">
        <v>0</v>
      </c>
      <c r="GE111" s="2"/>
      <c r="GF111" s="2">
        <v>-1704833409</v>
      </c>
      <c r="GG111" s="2">
        <v>2</v>
      </c>
      <c r="GH111" s="2">
        <v>1</v>
      </c>
      <c r="GI111" s="2">
        <v>-2</v>
      </c>
      <c r="GJ111" s="2">
        <v>0</v>
      </c>
      <c r="GK111" s="2">
        <f>ROUND(R111*(R12)/100,2)</f>
        <v>0</v>
      </c>
      <c r="GL111" s="2">
        <f t="shared" si="90"/>
        <v>0</v>
      </c>
      <c r="GM111" s="2">
        <f t="shared" si="91"/>
        <v>0</v>
      </c>
      <c r="GN111" s="2">
        <f t="shared" si="92"/>
        <v>0</v>
      </c>
      <c r="GO111" s="2">
        <f t="shared" si="93"/>
        <v>0</v>
      </c>
      <c r="GP111" s="2">
        <f t="shared" si="94"/>
        <v>0</v>
      </c>
      <c r="GQ111" s="2"/>
      <c r="GR111" s="2">
        <v>0</v>
      </c>
      <c r="GS111" s="2">
        <v>0</v>
      </c>
      <c r="GT111" s="2">
        <v>0</v>
      </c>
      <c r="GU111" s="2" t="s">
        <v>3</v>
      </c>
      <c r="GV111" s="2">
        <f t="shared" si="95"/>
        <v>0</v>
      </c>
      <c r="GW111" s="2">
        <v>1</v>
      </c>
      <c r="GX111" s="2">
        <f t="shared" si="96"/>
        <v>0</v>
      </c>
      <c r="GY111" s="2"/>
      <c r="GZ111" s="2"/>
      <c r="HA111" s="2">
        <v>0</v>
      </c>
      <c r="HB111" s="2">
        <v>0</v>
      </c>
      <c r="HC111" s="2">
        <f t="shared" si="97"/>
        <v>0</v>
      </c>
      <c r="HD111" s="2"/>
      <c r="HE111" s="2" t="s">
        <v>3</v>
      </c>
      <c r="HF111" s="2" t="s">
        <v>3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">
      <c r="A112">
        <v>17</v>
      </c>
      <c r="B112">
        <v>1</v>
      </c>
      <c r="D112">
        <f>ROW(EtalonRes!A226)</f>
        <v>226</v>
      </c>
      <c r="E112" t="s">
        <v>187</v>
      </c>
      <c r="F112" t="s">
        <v>188</v>
      </c>
      <c r="G112" t="s">
        <v>189</v>
      </c>
      <c r="H112" t="s">
        <v>161</v>
      </c>
      <c r="I112">
        <v>0</v>
      </c>
      <c r="J112">
        <v>0</v>
      </c>
      <c r="K112">
        <v>0</v>
      </c>
      <c r="O112">
        <f t="shared" si="69"/>
        <v>0</v>
      </c>
      <c r="P112">
        <f t="shared" si="70"/>
        <v>0</v>
      </c>
      <c r="Q112">
        <f t="shared" si="101"/>
        <v>0</v>
      </c>
      <c r="R112">
        <f t="shared" si="71"/>
        <v>0</v>
      </c>
      <c r="S112">
        <f t="shared" si="72"/>
        <v>0</v>
      </c>
      <c r="T112">
        <f t="shared" si="73"/>
        <v>0</v>
      </c>
      <c r="U112">
        <f t="shared" si="74"/>
        <v>0</v>
      </c>
      <c r="V112">
        <f t="shared" si="75"/>
        <v>0</v>
      </c>
      <c r="W112">
        <f t="shared" si="76"/>
        <v>0</v>
      </c>
      <c r="X112">
        <f t="shared" si="77"/>
        <v>0</v>
      </c>
      <c r="Y112">
        <f t="shared" si="78"/>
        <v>0</v>
      </c>
      <c r="AA112">
        <v>56610029</v>
      </c>
      <c r="AB112">
        <f t="shared" si="79"/>
        <v>193.99850000000001</v>
      </c>
      <c r="AC112">
        <f t="shared" si="102"/>
        <v>53.75</v>
      </c>
      <c r="AD112">
        <f t="shared" si="103"/>
        <v>47.890500000000003</v>
      </c>
      <c r="AE112">
        <f t="shared" si="104"/>
        <v>6.4995000000000003</v>
      </c>
      <c r="AF112">
        <f t="shared" si="105"/>
        <v>92.358000000000004</v>
      </c>
      <c r="AG112">
        <f t="shared" si="80"/>
        <v>0</v>
      </c>
      <c r="AH112">
        <f t="shared" si="106"/>
        <v>7.4969999999999999</v>
      </c>
      <c r="AI112">
        <f t="shared" si="107"/>
        <v>0</v>
      </c>
      <c r="AJ112">
        <f t="shared" si="81"/>
        <v>0</v>
      </c>
      <c r="AK112">
        <v>187.32</v>
      </c>
      <c r="AL112">
        <v>53.75</v>
      </c>
      <c r="AM112">
        <v>45.61</v>
      </c>
      <c r="AN112">
        <v>6.19</v>
      </c>
      <c r="AO112">
        <v>87.96</v>
      </c>
      <c r="AP112">
        <v>0</v>
      </c>
      <c r="AQ112">
        <v>7.14</v>
      </c>
      <c r="AR112">
        <v>0</v>
      </c>
      <c r="AS112">
        <v>0</v>
      </c>
      <c r="AT112">
        <v>92</v>
      </c>
      <c r="AU112">
        <v>43</v>
      </c>
      <c r="AV112">
        <v>1.0669999999999999</v>
      </c>
      <c r="AW112">
        <v>1.081</v>
      </c>
      <c r="AZ112">
        <v>1</v>
      </c>
      <c r="BA112">
        <v>34.51</v>
      </c>
      <c r="BB112">
        <v>12.42</v>
      </c>
      <c r="BC112">
        <v>17.21</v>
      </c>
      <c r="BD112" t="s">
        <v>3</v>
      </c>
      <c r="BE112" t="s">
        <v>3</v>
      </c>
      <c r="BF112" t="s">
        <v>3</v>
      </c>
      <c r="BG112" t="s">
        <v>3</v>
      </c>
      <c r="BH112">
        <v>0</v>
      </c>
      <c r="BI112">
        <v>2</v>
      </c>
      <c r="BJ112" t="s">
        <v>190</v>
      </c>
      <c r="BM112">
        <v>318</v>
      </c>
      <c r="BN112">
        <v>0</v>
      </c>
      <c r="BO112" t="s">
        <v>188</v>
      </c>
      <c r="BP112">
        <v>1</v>
      </c>
      <c r="BQ112">
        <v>40</v>
      </c>
      <c r="BR112">
        <v>0</v>
      </c>
      <c r="BS112">
        <v>34.51</v>
      </c>
      <c r="BT112">
        <v>1</v>
      </c>
      <c r="BU112">
        <v>1</v>
      </c>
      <c r="BV112">
        <v>1</v>
      </c>
      <c r="BW112">
        <v>1</v>
      </c>
      <c r="BX112">
        <v>1</v>
      </c>
      <c r="BY112" t="s">
        <v>3</v>
      </c>
      <c r="BZ112">
        <v>92</v>
      </c>
      <c r="CA112">
        <v>43</v>
      </c>
      <c r="CB112" t="s">
        <v>3</v>
      </c>
      <c r="CE112">
        <v>30</v>
      </c>
      <c r="CF112">
        <v>0</v>
      </c>
      <c r="CG112">
        <v>0</v>
      </c>
      <c r="CM112">
        <v>0</v>
      </c>
      <c r="CN112" t="s">
        <v>708</v>
      </c>
      <c r="CO112">
        <v>0</v>
      </c>
      <c r="CP112">
        <f t="shared" si="82"/>
        <v>0</v>
      </c>
      <c r="CQ112">
        <f t="shared" si="83"/>
        <v>999.9</v>
      </c>
      <c r="CR112">
        <f t="shared" si="108"/>
        <v>634.66</v>
      </c>
      <c r="CS112">
        <f t="shared" si="84"/>
        <v>239.15</v>
      </c>
      <c r="CT112">
        <f t="shared" si="85"/>
        <v>3400.96</v>
      </c>
      <c r="CU112">
        <f t="shared" si="86"/>
        <v>0</v>
      </c>
      <c r="CV112">
        <f t="shared" si="87"/>
        <v>7.9992989999999997</v>
      </c>
      <c r="CW112">
        <f t="shared" si="88"/>
        <v>0</v>
      </c>
      <c r="CX112">
        <f t="shared" si="89"/>
        <v>0</v>
      </c>
      <c r="CY112">
        <f>S112*(BZ112/100)</f>
        <v>0</v>
      </c>
      <c r="CZ112">
        <f>S112*(CA112/100)</f>
        <v>0</v>
      </c>
      <c r="DB112">
        <v>56</v>
      </c>
      <c r="DC112" t="s">
        <v>3</v>
      </c>
      <c r="DD112" t="s">
        <v>3</v>
      </c>
      <c r="DE112" t="s">
        <v>22</v>
      </c>
      <c r="DF112" t="s">
        <v>22</v>
      </c>
      <c r="DG112" t="s">
        <v>22</v>
      </c>
      <c r="DH112" t="s">
        <v>3</v>
      </c>
      <c r="DI112" t="s">
        <v>22</v>
      </c>
      <c r="DJ112" t="s">
        <v>22</v>
      </c>
      <c r="DK112" t="s">
        <v>3</v>
      </c>
      <c r="DL112" t="s">
        <v>3</v>
      </c>
      <c r="DM112" t="s">
        <v>3</v>
      </c>
      <c r="DN112">
        <v>112</v>
      </c>
      <c r="DO112">
        <v>70</v>
      </c>
      <c r="DP112">
        <v>1.0669999999999999</v>
      </c>
      <c r="DQ112">
        <v>1.081</v>
      </c>
      <c r="DU112">
        <v>1013</v>
      </c>
      <c r="DV112" t="s">
        <v>161</v>
      </c>
      <c r="DW112" t="s">
        <v>161</v>
      </c>
      <c r="DX112">
        <v>1</v>
      </c>
      <c r="DZ112" t="s">
        <v>3</v>
      </c>
      <c r="EA112" t="s">
        <v>3</v>
      </c>
      <c r="EB112" t="s">
        <v>3</v>
      </c>
      <c r="EC112" t="s">
        <v>3</v>
      </c>
      <c r="EE112">
        <v>51696357</v>
      </c>
      <c r="EF112">
        <v>40</v>
      </c>
      <c r="EG112" t="s">
        <v>165</v>
      </c>
      <c r="EH112">
        <v>0</v>
      </c>
      <c r="EI112" t="s">
        <v>3</v>
      </c>
      <c r="EJ112">
        <v>2</v>
      </c>
      <c r="EK112">
        <v>318</v>
      </c>
      <c r="EL112" t="s">
        <v>166</v>
      </c>
      <c r="EM112" t="s">
        <v>167</v>
      </c>
      <c r="EO112" t="s">
        <v>26</v>
      </c>
      <c r="EQ112">
        <v>131072</v>
      </c>
      <c r="ER112">
        <v>187.32</v>
      </c>
      <c r="ES112">
        <v>53.75</v>
      </c>
      <c r="ET112">
        <v>45.61</v>
      </c>
      <c r="EU112">
        <v>6.19</v>
      </c>
      <c r="EV112">
        <v>87.96</v>
      </c>
      <c r="EW112">
        <v>7.14</v>
      </c>
      <c r="EX112">
        <v>0</v>
      </c>
      <c r="EY112">
        <v>0</v>
      </c>
      <c r="FQ112">
        <v>0</v>
      </c>
      <c r="FR112">
        <v>0</v>
      </c>
      <c r="FS112">
        <v>0</v>
      </c>
      <c r="FX112">
        <v>112</v>
      </c>
      <c r="FY112">
        <v>70</v>
      </c>
      <c r="GA112" t="s">
        <v>3</v>
      </c>
      <c r="GD112">
        <v>0</v>
      </c>
      <c r="GF112">
        <v>-1704833409</v>
      </c>
      <c r="GG112">
        <v>2</v>
      </c>
      <c r="GH112">
        <v>1</v>
      </c>
      <c r="GI112">
        <v>2</v>
      </c>
      <c r="GJ112">
        <v>0</v>
      </c>
      <c r="GK112">
        <f>ROUND(R112*(S12)/100,2)</f>
        <v>0</v>
      </c>
      <c r="GL112">
        <f t="shared" si="90"/>
        <v>0</v>
      </c>
      <c r="GM112">
        <f t="shared" si="91"/>
        <v>0</v>
      </c>
      <c r="GN112">
        <f t="shared" si="92"/>
        <v>0</v>
      </c>
      <c r="GO112">
        <f t="shared" si="93"/>
        <v>0</v>
      </c>
      <c r="GP112">
        <f t="shared" si="94"/>
        <v>0</v>
      </c>
      <c r="GR112">
        <v>0</v>
      </c>
      <c r="GS112">
        <v>3</v>
      </c>
      <c r="GT112">
        <v>0</v>
      </c>
      <c r="GU112" t="s">
        <v>3</v>
      </c>
      <c r="GV112">
        <f t="shared" si="95"/>
        <v>0</v>
      </c>
      <c r="GW112">
        <v>1</v>
      </c>
      <c r="GX112">
        <f t="shared" si="96"/>
        <v>0</v>
      </c>
      <c r="HA112">
        <v>0</v>
      </c>
      <c r="HB112">
        <v>0</v>
      </c>
      <c r="HC112">
        <f t="shared" si="97"/>
        <v>0</v>
      </c>
      <c r="HE112" t="s">
        <v>3</v>
      </c>
      <c r="HF112" t="s">
        <v>3</v>
      </c>
      <c r="HM112" t="s">
        <v>3</v>
      </c>
      <c r="HN112" t="s">
        <v>3</v>
      </c>
      <c r="HO112" t="s">
        <v>3</v>
      </c>
      <c r="HP112" t="s">
        <v>3</v>
      </c>
      <c r="HQ112" t="s">
        <v>3</v>
      </c>
      <c r="HS112">
        <v>0</v>
      </c>
      <c r="IK112">
        <v>0</v>
      </c>
    </row>
    <row r="113" spans="1:255" x14ac:dyDescent="0.2">
      <c r="A113" s="2">
        <v>17</v>
      </c>
      <c r="B113" s="2">
        <v>1</v>
      </c>
      <c r="C113" s="2"/>
      <c r="D113" s="2"/>
      <c r="E113" s="2" t="s">
        <v>191</v>
      </c>
      <c r="F113" s="2" t="s">
        <v>192</v>
      </c>
      <c r="G113" s="2" t="s">
        <v>193</v>
      </c>
      <c r="H113" s="2" t="s">
        <v>194</v>
      </c>
      <c r="I113" s="2">
        <f>ROUND(296.51/1000,9)</f>
        <v>0.29651</v>
      </c>
      <c r="J113" s="2">
        <v>0</v>
      </c>
      <c r="K113" s="2">
        <f>ROUND(296.51/1000,9)</f>
        <v>0.29651</v>
      </c>
      <c r="L113" s="2"/>
      <c r="M113" s="2"/>
      <c r="N113" s="2"/>
      <c r="O113" s="2">
        <f t="shared" si="69"/>
        <v>24175.759999999998</v>
      </c>
      <c r="P113" s="2">
        <f t="shared" si="70"/>
        <v>24175.759999999998</v>
      </c>
      <c r="Q113" s="2">
        <f t="shared" si="101"/>
        <v>0</v>
      </c>
      <c r="R113" s="2">
        <f t="shared" si="71"/>
        <v>0</v>
      </c>
      <c r="S113" s="2">
        <f t="shared" si="72"/>
        <v>0</v>
      </c>
      <c r="T113" s="2">
        <f t="shared" si="73"/>
        <v>0</v>
      </c>
      <c r="U113" s="2">
        <f t="shared" si="74"/>
        <v>0</v>
      </c>
      <c r="V113" s="2">
        <f t="shared" si="75"/>
        <v>0</v>
      </c>
      <c r="W113" s="2">
        <f t="shared" si="76"/>
        <v>0</v>
      </c>
      <c r="X113" s="2">
        <f t="shared" si="77"/>
        <v>0</v>
      </c>
      <c r="Y113" s="2">
        <f t="shared" si="78"/>
        <v>0</v>
      </c>
      <c r="Z113" s="2"/>
      <c r="AA113" s="2">
        <v>56622490</v>
      </c>
      <c r="AB113" s="2">
        <f t="shared" si="79"/>
        <v>81534.37</v>
      </c>
      <c r="AC113" s="2">
        <f t="shared" si="102"/>
        <v>81534.37</v>
      </c>
      <c r="AD113" s="2">
        <f t="shared" si="103"/>
        <v>0</v>
      </c>
      <c r="AE113" s="2">
        <f t="shared" si="104"/>
        <v>0</v>
      </c>
      <c r="AF113" s="2">
        <f t="shared" si="105"/>
        <v>0</v>
      </c>
      <c r="AG113" s="2">
        <f t="shared" si="80"/>
        <v>0</v>
      </c>
      <c r="AH113" s="2">
        <f t="shared" si="106"/>
        <v>0</v>
      </c>
      <c r="AI113" s="2">
        <f t="shared" si="107"/>
        <v>0</v>
      </c>
      <c r="AJ113" s="2">
        <f t="shared" si="81"/>
        <v>0</v>
      </c>
      <c r="AK113" s="2">
        <v>81534.37</v>
      </c>
      <c r="AL113" s="2">
        <v>81534.37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1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3</v>
      </c>
      <c r="BI113" s="2">
        <v>2</v>
      </c>
      <c r="BJ113" s="2" t="s">
        <v>195</v>
      </c>
      <c r="BK113" s="2"/>
      <c r="BL113" s="2"/>
      <c r="BM113" s="2">
        <v>1618</v>
      </c>
      <c r="BN113" s="2">
        <v>0</v>
      </c>
      <c r="BO113" s="2" t="s">
        <v>3</v>
      </c>
      <c r="BP113" s="2">
        <v>0</v>
      </c>
      <c r="BQ113" s="2">
        <v>201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0</v>
      </c>
      <c r="CA113" s="2">
        <v>0</v>
      </c>
      <c r="CB113" s="2" t="s">
        <v>3</v>
      </c>
      <c r="CC113" s="2"/>
      <c r="CD113" s="2"/>
      <c r="CE113" s="2">
        <v>30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708</v>
      </c>
      <c r="CO113" s="2">
        <v>0</v>
      </c>
      <c r="CP113" s="2">
        <f t="shared" si="82"/>
        <v>24175.759999999998</v>
      </c>
      <c r="CQ113" s="2">
        <f t="shared" si="83"/>
        <v>81534.37</v>
      </c>
      <c r="CR113" s="2">
        <f t="shared" si="108"/>
        <v>0</v>
      </c>
      <c r="CS113" s="2">
        <f t="shared" si="84"/>
        <v>0</v>
      </c>
      <c r="CT113" s="2">
        <f t="shared" si="85"/>
        <v>0</v>
      </c>
      <c r="CU113" s="2">
        <f t="shared" si="86"/>
        <v>0</v>
      </c>
      <c r="CV113" s="2">
        <f t="shared" si="87"/>
        <v>0</v>
      </c>
      <c r="CW113" s="2">
        <f t="shared" si="88"/>
        <v>0</v>
      </c>
      <c r="CX113" s="2">
        <f t="shared" si="89"/>
        <v>0</v>
      </c>
      <c r="CY113" s="2">
        <f>((S113*BZ113)/100)</f>
        <v>0</v>
      </c>
      <c r="CZ113" s="2">
        <f>((S113*CA113)/100)</f>
        <v>0</v>
      </c>
      <c r="DA113" s="2"/>
      <c r="DB113" s="2">
        <v>57</v>
      </c>
      <c r="DC113" s="2" t="s">
        <v>3</v>
      </c>
      <c r="DD113" s="2" t="s">
        <v>3</v>
      </c>
      <c r="DE113" s="2" t="s">
        <v>22</v>
      </c>
      <c r="DF113" s="2" t="s">
        <v>22</v>
      </c>
      <c r="DG113" s="2" t="s">
        <v>22</v>
      </c>
      <c r="DH113" s="2" t="s">
        <v>3</v>
      </c>
      <c r="DI113" s="2" t="s">
        <v>22</v>
      </c>
      <c r="DJ113" s="2" t="s">
        <v>22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1003</v>
      </c>
      <c r="DV113" s="2" t="s">
        <v>194</v>
      </c>
      <c r="DW113" s="2" t="s">
        <v>194</v>
      </c>
      <c r="DX113" s="2">
        <v>1000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51697657</v>
      </c>
      <c r="EF113" s="2">
        <v>201</v>
      </c>
      <c r="EG113" s="2" t="s">
        <v>196</v>
      </c>
      <c r="EH113" s="2">
        <v>0</v>
      </c>
      <c r="EI113" s="2" t="s">
        <v>3</v>
      </c>
      <c r="EJ113" s="2">
        <v>2</v>
      </c>
      <c r="EK113" s="2">
        <v>1618</v>
      </c>
      <c r="EL113" s="2" t="s">
        <v>197</v>
      </c>
      <c r="EM113" s="2" t="s">
        <v>198</v>
      </c>
      <c r="EN113" s="2"/>
      <c r="EO113" s="2" t="s">
        <v>26</v>
      </c>
      <c r="EP113" s="2"/>
      <c r="EQ113" s="2">
        <v>131072</v>
      </c>
      <c r="ER113" s="2">
        <v>81534.37</v>
      </c>
      <c r="ES113" s="2">
        <v>81534.37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v>0</v>
      </c>
      <c r="FS113" s="2">
        <v>0</v>
      </c>
      <c r="FT113" s="2"/>
      <c r="FU113" s="2"/>
      <c r="FV113" s="2"/>
      <c r="FW113" s="2"/>
      <c r="FX113" s="2">
        <v>0</v>
      </c>
      <c r="FY113" s="2">
        <v>0</v>
      </c>
      <c r="FZ113" s="2"/>
      <c r="GA113" s="2" t="s">
        <v>3</v>
      </c>
      <c r="GB113" s="2"/>
      <c r="GC113" s="2"/>
      <c r="GD113" s="2">
        <v>0</v>
      </c>
      <c r="GE113" s="2"/>
      <c r="GF113" s="2">
        <v>61579043</v>
      </c>
      <c r="GG113" s="2">
        <v>2</v>
      </c>
      <c r="GH113" s="2">
        <v>1</v>
      </c>
      <c r="GI113" s="2">
        <v>-2</v>
      </c>
      <c r="GJ113" s="2">
        <v>0</v>
      </c>
      <c r="GK113" s="2">
        <f>ROUND(R113*(R12)/100,2)</f>
        <v>0</v>
      </c>
      <c r="GL113" s="2">
        <f t="shared" si="90"/>
        <v>0</v>
      </c>
      <c r="GM113" s="2">
        <f t="shared" si="91"/>
        <v>24175.759999999998</v>
      </c>
      <c r="GN113" s="2">
        <f t="shared" si="92"/>
        <v>0</v>
      </c>
      <c r="GO113" s="2">
        <f t="shared" si="93"/>
        <v>24175.759999999998</v>
      </c>
      <c r="GP113" s="2">
        <f t="shared" si="94"/>
        <v>0</v>
      </c>
      <c r="GQ113" s="2"/>
      <c r="GR113" s="2">
        <v>0</v>
      </c>
      <c r="GS113" s="2">
        <v>0</v>
      </c>
      <c r="GT113" s="2">
        <v>0</v>
      </c>
      <c r="GU113" s="2" t="s">
        <v>3</v>
      </c>
      <c r="GV113" s="2">
        <f t="shared" si="95"/>
        <v>0</v>
      </c>
      <c r="GW113" s="2">
        <v>1</v>
      </c>
      <c r="GX113" s="2">
        <f t="shared" si="96"/>
        <v>0</v>
      </c>
      <c r="GY113" s="2"/>
      <c r="GZ113" s="2"/>
      <c r="HA113" s="2">
        <v>0</v>
      </c>
      <c r="HB113" s="2">
        <v>0</v>
      </c>
      <c r="HC113" s="2">
        <f t="shared" si="97"/>
        <v>0</v>
      </c>
      <c r="HD113" s="2"/>
      <c r="HE113" s="2" t="s">
        <v>3</v>
      </c>
      <c r="HF113" s="2" t="s">
        <v>3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">
      <c r="A114">
        <v>17</v>
      </c>
      <c r="B114">
        <v>1</v>
      </c>
      <c r="E114" t="s">
        <v>191</v>
      </c>
      <c r="F114" t="s">
        <v>192</v>
      </c>
      <c r="G114" t="s">
        <v>193</v>
      </c>
      <c r="H114" t="s">
        <v>194</v>
      </c>
      <c r="I114">
        <f>ROUND(296.51/1000,9)</f>
        <v>0.29651</v>
      </c>
      <c r="J114">
        <v>0</v>
      </c>
      <c r="K114">
        <f>ROUND(296.51/1000,9)</f>
        <v>0.29651</v>
      </c>
      <c r="O114">
        <f t="shared" si="69"/>
        <v>191955.53</v>
      </c>
      <c r="P114">
        <f t="shared" si="70"/>
        <v>191955.53</v>
      </c>
      <c r="Q114">
        <f t="shared" si="101"/>
        <v>0</v>
      </c>
      <c r="R114">
        <f t="shared" si="71"/>
        <v>0</v>
      </c>
      <c r="S114">
        <f t="shared" si="72"/>
        <v>0</v>
      </c>
      <c r="T114">
        <f t="shared" si="73"/>
        <v>0</v>
      </c>
      <c r="U114">
        <f t="shared" si="74"/>
        <v>0</v>
      </c>
      <c r="V114">
        <f t="shared" si="75"/>
        <v>0</v>
      </c>
      <c r="W114">
        <f t="shared" si="76"/>
        <v>0</v>
      </c>
      <c r="X114">
        <f t="shared" si="77"/>
        <v>0</v>
      </c>
      <c r="Y114">
        <f t="shared" si="78"/>
        <v>0</v>
      </c>
      <c r="AA114">
        <v>56610029</v>
      </c>
      <c r="AB114">
        <f t="shared" si="79"/>
        <v>81534.37</v>
      </c>
      <c r="AC114">
        <f t="shared" si="102"/>
        <v>81534.37</v>
      </c>
      <c r="AD114">
        <f t="shared" si="103"/>
        <v>0</v>
      </c>
      <c r="AE114">
        <f t="shared" si="104"/>
        <v>0</v>
      </c>
      <c r="AF114">
        <f t="shared" si="105"/>
        <v>0</v>
      </c>
      <c r="AG114">
        <f t="shared" si="80"/>
        <v>0</v>
      </c>
      <c r="AH114">
        <f t="shared" si="106"/>
        <v>0</v>
      </c>
      <c r="AI114">
        <f t="shared" si="107"/>
        <v>0</v>
      </c>
      <c r="AJ114">
        <f t="shared" si="81"/>
        <v>0</v>
      </c>
      <c r="AK114">
        <v>81534.37</v>
      </c>
      <c r="AL114">
        <v>81534.37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1</v>
      </c>
      <c r="AZ114">
        <v>1</v>
      </c>
      <c r="BA114">
        <v>1</v>
      </c>
      <c r="BB114">
        <v>1</v>
      </c>
      <c r="BC114">
        <v>7.94</v>
      </c>
      <c r="BD114" t="s">
        <v>3</v>
      </c>
      <c r="BE114" t="s">
        <v>3</v>
      </c>
      <c r="BF114" t="s">
        <v>3</v>
      </c>
      <c r="BG114" t="s">
        <v>3</v>
      </c>
      <c r="BH114">
        <v>3</v>
      </c>
      <c r="BI114">
        <v>2</v>
      </c>
      <c r="BJ114" t="s">
        <v>195</v>
      </c>
      <c r="BM114">
        <v>1618</v>
      </c>
      <c r="BN114">
        <v>0</v>
      </c>
      <c r="BO114" t="s">
        <v>192</v>
      </c>
      <c r="BP114">
        <v>1</v>
      </c>
      <c r="BQ114">
        <v>201</v>
      </c>
      <c r="BR114">
        <v>0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 t="s">
        <v>3</v>
      </c>
      <c r="BZ114">
        <v>0</v>
      </c>
      <c r="CA114">
        <v>0</v>
      </c>
      <c r="CB114" t="s">
        <v>3</v>
      </c>
      <c r="CE114">
        <v>30</v>
      </c>
      <c r="CF114">
        <v>0</v>
      </c>
      <c r="CG114">
        <v>0</v>
      </c>
      <c r="CM114">
        <v>0</v>
      </c>
      <c r="CN114" t="s">
        <v>708</v>
      </c>
      <c r="CO114">
        <v>0</v>
      </c>
      <c r="CP114">
        <f t="shared" si="82"/>
        <v>191955.53</v>
      </c>
      <c r="CQ114">
        <f t="shared" si="83"/>
        <v>647382.9</v>
      </c>
      <c r="CR114">
        <f t="shared" si="108"/>
        <v>0</v>
      </c>
      <c r="CS114">
        <f t="shared" si="84"/>
        <v>0</v>
      </c>
      <c r="CT114">
        <f t="shared" si="85"/>
        <v>0</v>
      </c>
      <c r="CU114">
        <f t="shared" si="86"/>
        <v>0</v>
      </c>
      <c r="CV114">
        <f t="shared" si="87"/>
        <v>0</v>
      </c>
      <c r="CW114">
        <f t="shared" si="88"/>
        <v>0</v>
      </c>
      <c r="CX114">
        <f t="shared" si="89"/>
        <v>0</v>
      </c>
      <c r="CY114">
        <f>S114*(BZ114/100)</f>
        <v>0</v>
      </c>
      <c r="CZ114">
        <f>S114*(CA114/100)</f>
        <v>0</v>
      </c>
      <c r="DB114">
        <v>58</v>
      </c>
      <c r="DC114" t="s">
        <v>3</v>
      </c>
      <c r="DD114" t="s">
        <v>3</v>
      </c>
      <c r="DE114" t="s">
        <v>22</v>
      </c>
      <c r="DF114" t="s">
        <v>22</v>
      </c>
      <c r="DG114" t="s">
        <v>22</v>
      </c>
      <c r="DH114" t="s">
        <v>3</v>
      </c>
      <c r="DI114" t="s">
        <v>22</v>
      </c>
      <c r="DJ114" t="s">
        <v>22</v>
      </c>
      <c r="DK114" t="s">
        <v>3</v>
      </c>
      <c r="DL114" t="s">
        <v>3</v>
      </c>
      <c r="DM114" t="s">
        <v>3</v>
      </c>
      <c r="DN114">
        <v>0</v>
      </c>
      <c r="DO114">
        <v>0</v>
      </c>
      <c r="DP114">
        <v>1</v>
      </c>
      <c r="DQ114">
        <v>1</v>
      </c>
      <c r="DU114">
        <v>1003</v>
      </c>
      <c r="DV114" t="s">
        <v>194</v>
      </c>
      <c r="DW114" t="s">
        <v>194</v>
      </c>
      <c r="DX114">
        <v>1000</v>
      </c>
      <c r="DZ114" t="s">
        <v>3</v>
      </c>
      <c r="EA114" t="s">
        <v>3</v>
      </c>
      <c r="EB114" t="s">
        <v>3</v>
      </c>
      <c r="EC114" t="s">
        <v>3</v>
      </c>
      <c r="EE114">
        <v>51697657</v>
      </c>
      <c r="EF114">
        <v>201</v>
      </c>
      <c r="EG114" t="s">
        <v>196</v>
      </c>
      <c r="EH114">
        <v>0</v>
      </c>
      <c r="EI114" t="s">
        <v>3</v>
      </c>
      <c r="EJ114">
        <v>2</v>
      </c>
      <c r="EK114">
        <v>1618</v>
      </c>
      <c r="EL114" t="s">
        <v>197</v>
      </c>
      <c r="EM114" t="s">
        <v>198</v>
      </c>
      <c r="EO114" t="s">
        <v>26</v>
      </c>
      <c r="EQ114">
        <v>131072</v>
      </c>
      <c r="ER114">
        <v>81534.37</v>
      </c>
      <c r="ES114">
        <v>81534.37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FQ114">
        <v>0</v>
      </c>
      <c r="FR114">
        <v>0</v>
      </c>
      <c r="FS114">
        <v>0</v>
      </c>
      <c r="FX114">
        <v>0</v>
      </c>
      <c r="FY114">
        <v>0</v>
      </c>
      <c r="GA114" t="s">
        <v>3</v>
      </c>
      <c r="GD114">
        <v>0</v>
      </c>
      <c r="GF114">
        <v>61579043</v>
      </c>
      <c r="GG114">
        <v>2</v>
      </c>
      <c r="GH114">
        <v>1</v>
      </c>
      <c r="GI114">
        <v>2</v>
      </c>
      <c r="GJ114">
        <v>0</v>
      </c>
      <c r="GK114">
        <f>ROUND(R114*(S12)/100,2)</f>
        <v>0</v>
      </c>
      <c r="GL114">
        <f t="shared" si="90"/>
        <v>0</v>
      </c>
      <c r="GM114">
        <f t="shared" si="91"/>
        <v>191955.53</v>
      </c>
      <c r="GN114">
        <f t="shared" si="92"/>
        <v>0</v>
      </c>
      <c r="GO114">
        <f t="shared" si="93"/>
        <v>191955.53</v>
      </c>
      <c r="GP114">
        <f t="shared" si="94"/>
        <v>0</v>
      </c>
      <c r="GR114">
        <v>0</v>
      </c>
      <c r="GS114">
        <v>3</v>
      </c>
      <c r="GT114">
        <v>0</v>
      </c>
      <c r="GU114" t="s">
        <v>3</v>
      </c>
      <c r="GV114">
        <f t="shared" si="95"/>
        <v>0</v>
      </c>
      <c r="GW114">
        <v>1</v>
      </c>
      <c r="GX114">
        <f t="shared" si="96"/>
        <v>0</v>
      </c>
      <c r="HA114">
        <v>0</v>
      </c>
      <c r="HB114">
        <v>0</v>
      </c>
      <c r="HC114">
        <f t="shared" si="97"/>
        <v>0</v>
      </c>
      <c r="HE114" t="s">
        <v>3</v>
      </c>
      <c r="HF114" t="s">
        <v>3</v>
      </c>
      <c r="HM114" t="s">
        <v>3</v>
      </c>
      <c r="HN114" t="s">
        <v>3</v>
      </c>
      <c r="HO114" t="s">
        <v>3</v>
      </c>
      <c r="HP114" t="s">
        <v>3</v>
      </c>
      <c r="HQ114" t="s">
        <v>3</v>
      </c>
      <c r="HS114">
        <v>0</v>
      </c>
      <c r="IK114">
        <v>0</v>
      </c>
    </row>
    <row r="115" spans="1:255" x14ac:dyDescent="0.2">
      <c r="A115" s="2">
        <v>17</v>
      </c>
      <c r="B115" s="2">
        <v>1</v>
      </c>
      <c r="C115" s="2"/>
      <c r="D115" s="2"/>
      <c r="E115" s="2" t="s">
        <v>199</v>
      </c>
      <c r="F115" s="2" t="s">
        <v>192</v>
      </c>
      <c r="G115" s="2" t="s">
        <v>193</v>
      </c>
      <c r="H115" s="2" t="s">
        <v>194</v>
      </c>
      <c r="I115" s="2">
        <v>0</v>
      </c>
      <c r="J115" s="2">
        <v>0</v>
      </c>
      <c r="K115" s="2">
        <v>0</v>
      </c>
      <c r="L115" s="2"/>
      <c r="M115" s="2"/>
      <c r="N115" s="2"/>
      <c r="O115" s="2">
        <f t="shared" si="69"/>
        <v>0</v>
      </c>
      <c r="P115" s="2">
        <f t="shared" si="70"/>
        <v>0</v>
      </c>
      <c r="Q115" s="2">
        <f t="shared" si="101"/>
        <v>0</v>
      </c>
      <c r="R115" s="2">
        <f t="shared" si="71"/>
        <v>0</v>
      </c>
      <c r="S115" s="2">
        <f t="shared" si="72"/>
        <v>0</v>
      </c>
      <c r="T115" s="2">
        <f t="shared" si="73"/>
        <v>0</v>
      </c>
      <c r="U115" s="2">
        <f t="shared" si="74"/>
        <v>0</v>
      </c>
      <c r="V115" s="2">
        <f t="shared" si="75"/>
        <v>0</v>
      </c>
      <c r="W115" s="2">
        <f t="shared" si="76"/>
        <v>0</v>
      </c>
      <c r="X115" s="2">
        <f t="shared" si="77"/>
        <v>0</v>
      </c>
      <c r="Y115" s="2">
        <f t="shared" si="78"/>
        <v>0</v>
      </c>
      <c r="Z115" s="2"/>
      <c r="AA115" s="2">
        <v>56622490</v>
      </c>
      <c r="AB115" s="2">
        <f t="shared" si="79"/>
        <v>81534.37</v>
      </c>
      <c r="AC115" s="2">
        <f t="shared" si="102"/>
        <v>81534.37</v>
      </c>
      <c r="AD115" s="2">
        <f t="shared" si="103"/>
        <v>0</v>
      </c>
      <c r="AE115" s="2">
        <f t="shared" si="104"/>
        <v>0</v>
      </c>
      <c r="AF115" s="2">
        <f t="shared" si="105"/>
        <v>0</v>
      </c>
      <c r="AG115" s="2">
        <f t="shared" si="80"/>
        <v>0</v>
      </c>
      <c r="AH115" s="2">
        <f t="shared" si="106"/>
        <v>0</v>
      </c>
      <c r="AI115" s="2">
        <f t="shared" si="107"/>
        <v>0</v>
      </c>
      <c r="AJ115" s="2">
        <f t="shared" si="81"/>
        <v>0</v>
      </c>
      <c r="AK115" s="2">
        <v>81534.37</v>
      </c>
      <c r="AL115" s="2">
        <v>81534.37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1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3</v>
      </c>
      <c r="BI115" s="2">
        <v>2</v>
      </c>
      <c r="BJ115" s="2" t="s">
        <v>195</v>
      </c>
      <c r="BK115" s="2"/>
      <c r="BL115" s="2"/>
      <c r="BM115" s="2">
        <v>1618</v>
      </c>
      <c r="BN115" s="2">
        <v>0</v>
      </c>
      <c r="BO115" s="2" t="s">
        <v>3</v>
      </c>
      <c r="BP115" s="2">
        <v>0</v>
      </c>
      <c r="BQ115" s="2">
        <v>201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0</v>
      </c>
      <c r="CA115" s="2">
        <v>0</v>
      </c>
      <c r="CB115" s="2" t="s">
        <v>3</v>
      </c>
      <c r="CC115" s="2"/>
      <c r="CD115" s="2"/>
      <c r="CE115" s="2">
        <v>30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708</v>
      </c>
      <c r="CO115" s="2">
        <v>0</v>
      </c>
      <c r="CP115" s="2">
        <f t="shared" si="82"/>
        <v>0</v>
      </c>
      <c r="CQ115" s="2">
        <f t="shared" si="83"/>
        <v>81534.37</v>
      </c>
      <c r="CR115" s="2">
        <f t="shared" si="108"/>
        <v>0</v>
      </c>
      <c r="CS115" s="2">
        <f t="shared" si="84"/>
        <v>0</v>
      </c>
      <c r="CT115" s="2">
        <f t="shared" si="85"/>
        <v>0</v>
      </c>
      <c r="CU115" s="2">
        <f t="shared" si="86"/>
        <v>0</v>
      </c>
      <c r="CV115" s="2">
        <f t="shared" si="87"/>
        <v>0</v>
      </c>
      <c r="CW115" s="2">
        <f t="shared" si="88"/>
        <v>0</v>
      </c>
      <c r="CX115" s="2">
        <f t="shared" si="89"/>
        <v>0</v>
      </c>
      <c r="CY115" s="2">
        <f>((S115*BZ115)/100)</f>
        <v>0</v>
      </c>
      <c r="CZ115" s="2">
        <f>((S115*CA115)/100)</f>
        <v>0</v>
      </c>
      <c r="DA115" s="2"/>
      <c r="DB115" s="2">
        <v>59</v>
      </c>
      <c r="DC115" s="2" t="s">
        <v>3</v>
      </c>
      <c r="DD115" s="2" t="s">
        <v>3</v>
      </c>
      <c r="DE115" s="2" t="s">
        <v>22</v>
      </c>
      <c r="DF115" s="2" t="s">
        <v>22</v>
      </c>
      <c r="DG115" s="2" t="s">
        <v>22</v>
      </c>
      <c r="DH115" s="2" t="s">
        <v>3</v>
      </c>
      <c r="DI115" s="2" t="s">
        <v>22</v>
      </c>
      <c r="DJ115" s="2" t="s">
        <v>22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1003</v>
      </c>
      <c r="DV115" s="2" t="s">
        <v>194</v>
      </c>
      <c r="DW115" s="2" t="s">
        <v>194</v>
      </c>
      <c r="DX115" s="2">
        <v>1000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51697657</v>
      </c>
      <c r="EF115" s="2">
        <v>201</v>
      </c>
      <c r="EG115" s="2" t="s">
        <v>196</v>
      </c>
      <c r="EH115" s="2">
        <v>0</v>
      </c>
      <c r="EI115" s="2" t="s">
        <v>3</v>
      </c>
      <c r="EJ115" s="2">
        <v>2</v>
      </c>
      <c r="EK115" s="2">
        <v>1618</v>
      </c>
      <c r="EL115" s="2" t="s">
        <v>197</v>
      </c>
      <c r="EM115" s="2" t="s">
        <v>198</v>
      </c>
      <c r="EN115" s="2"/>
      <c r="EO115" s="2" t="s">
        <v>26</v>
      </c>
      <c r="EP115" s="2"/>
      <c r="EQ115" s="2">
        <v>131072</v>
      </c>
      <c r="ER115" s="2">
        <v>81534.37</v>
      </c>
      <c r="ES115" s="2">
        <v>81534.37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v>0</v>
      </c>
      <c r="FS115" s="2">
        <v>0</v>
      </c>
      <c r="FT115" s="2"/>
      <c r="FU115" s="2"/>
      <c r="FV115" s="2"/>
      <c r="FW115" s="2"/>
      <c r="FX115" s="2">
        <v>0</v>
      </c>
      <c r="FY115" s="2">
        <v>0</v>
      </c>
      <c r="FZ115" s="2"/>
      <c r="GA115" s="2" t="s">
        <v>3</v>
      </c>
      <c r="GB115" s="2"/>
      <c r="GC115" s="2"/>
      <c r="GD115" s="2">
        <v>0</v>
      </c>
      <c r="GE115" s="2"/>
      <c r="GF115" s="2">
        <v>61579043</v>
      </c>
      <c r="GG115" s="2">
        <v>2</v>
      </c>
      <c r="GH115" s="2">
        <v>1</v>
      </c>
      <c r="GI115" s="2">
        <v>-2</v>
      </c>
      <c r="GJ115" s="2">
        <v>0</v>
      </c>
      <c r="GK115" s="2">
        <f>ROUND(R115*(R12)/100,2)</f>
        <v>0</v>
      </c>
      <c r="GL115" s="2">
        <f t="shared" si="90"/>
        <v>0</v>
      </c>
      <c r="GM115" s="2">
        <f t="shared" si="91"/>
        <v>0</v>
      </c>
      <c r="GN115" s="2">
        <f t="shared" si="92"/>
        <v>0</v>
      </c>
      <c r="GO115" s="2">
        <f t="shared" si="93"/>
        <v>0</v>
      </c>
      <c r="GP115" s="2">
        <f t="shared" si="94"/>
        <v>0</v>
      </c>
      <c r="GQ115" s="2"/>
      <c r="GR115" s="2">
        <v>0</v>
      </c>
      <c r="GS115" s="2">
        <v>0</v>
      </c>
      <c r="GT115" s="2">
        <v>0</v>
      </c>
      <c r="GU115" s="2" t="s">
        <v>3</v>
      </c>
      <c r="GV115" s="2">
        <f t="shared" si="95"/>
        <v>0</v>
      </c>
      <c r="GW115" s="2">
        <v>1</v>
      </c>
      <c r="GX115" s="2">
        <f t="shared" si="96"/>
        <v>0</v>
      </c>
      <c r="GY115" s="2"/>
      <c r="GZ115" s="2"/>
      <c r="HA115" s="2">
        <v>0</v>
      </c>
      <c r="HB115" s="2">
        <v>0</v>
      </c>
      <c r="HC115" s="2">
        <f t="shared" si="97"/>
        <v>0</v>
      </c>
      <c r="HD115" s="2"/>
      <c r="HE115" s="2" t="s">
        <v>3</v>
      </c>
      <c r="HF115" s="2" t="s">
        <v>3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">
      <c r="A116">
        <v>17</v>
      </c>
      <c r="B116">
        <v>1</v>
      </c>
      <c r="E116" t="s">
        <v>199</v>
      </c>
      <c r="F116" t="s">
        <v>192</v>
      </c>
      <c r="G116" t="s">
        <v>193</v>
      </c>
      <c r="H116" t="s">
        <v>194</v>
      </c>
      <c r="I116">
        <v>0</v>
      </c>
      <c r="J116">
        <v>0</v>
      </c>
      <c r="K116">
        <v>0</v>
      </c>
      <c r="O116">
        <f t="shared" si="69"/>
        <v>0</v>
      </c>
      <c r="P116">
        <f t="shared" si="70"/>
        <v>0</v>
      </c>
      <c r="Q116">
        <f t="shared" si="101"/>
        <v>0</v>
      </c>
      <c r="R116">
        <f t="shared" si="71"/>
        <v>0</v>
      </c>
      <c r="S116">
        <f t="shared" si="72"/>
        <v>0</v>
      </c>
      <c r="T116">
        <f t="shared" si="73"/>
        <v>0</v>
      </c>
      <c r="U116">
        <f t="shared" si="74"/>
        <v>0</v>
      </c>
      <c r="V116">
        <f t="shared" si="75"/>
        <v>0</v>
      </c>
      <c r="W116">
        <f t="shared" si="76"/>
        <v>0</v>
      </c>
      <c r="X116">
        <f t="shared" si="77"/>
        <v>0</v>
      </c>
      <c r="Y116">
        <f t="shared" si="78"/>
        <v>0</v>
      </c>
      <c r="AA116">
        <v>56610029</v>
      </c>
      <c r="AB116">
        <f t="shared" si="79"/>
        <v>81534.37</v>
      </c>
      <c r="AC116">
        <f t="shared" si="102"/>
        <v>81534.37</v>
      </c>
      <c r="AD116">
        <f t="shared" si="103"/>
        <v>0</v>
      </c>
      <c r="AE116">
        <f t="shared" si="104"/>
        <v>0</v>
      </c>
      <c r="AF116">
        <f t="shared" si="105"/>
        <v>0</v>
      </c>
      <c r="AG116">
        <f t="shared" si="80"/>
        <v>0</v>
      </c>
      <c r="AH116">
        <f t="shared" si="106"/>
        <v>0</v>
      </c>
      <c r="AI116">
        <f t="shared" si="107"/>
        <v>0</v>
      </c>
      <c r="AJ116">
        <f t="shared" si="81"/>
        <v>0</v>
      </c>
      <c r="AK116">
        <v>81534.37</v>
      </c>
      <c r="AL116">
        <v>81534.37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</v>
      </c>
      <c r="AW116">
        <v>1</v>
      </c>
      <c r="AZ116">
        <v>1</v>
      </c>
      <c r="BA116">
        <v>1</v>
      </c>
      <c r="BB116">
        <v>1</v>
      </c>
      <c r="BC116">
        <v>7.94</v>
      </c>
      <c r="BD116" t="s">
        <v>3</v>
      </c>
      <c r="BE116" t="s">
        <v>3</v>
      </c>
      <c r="BF116" t="s">
        <v>3</v>
      </c>
      <c r="BG116" t="s">
        <v>3</v>
      </c>
      <c r="BH116">
        <v>3</v>
      </c>
      <c r="BI116">
        <v>2</v>
      </c>
      <c r="BJ116" t="s">
        <v>195</v>
      </c>
      <c r="BM116">
        <v>1618</v>
      </c>
      <c r="BN116">
        <v>0</v>
      </c>
      <c r="BO116" t="s">
        <v>192</v>
      </c>
      <c r="BP116">
        <v>1</v>
      </c>
      <c r="BQ116">
        <v>201</v>
      </c>
      <c r="BR116">
        <v>0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 t="s">
        <v>3</v>
      </c>
      <c r="BZ116">
        <v>0</v>
      </c>
      <c r="CA116">
        <v>0</v>
      </c>
      <c r="CB116" t="s">
        <v>3</v>
      </c>
      <c r="CE116">
        <v>30</v>
      </c>
      <c r="CF116">
        <v>0</v>
      </c>
      <c r="CG116">
        <v>0</v>
      </c>
      <c r="CM116">
        <v>0</v>
      </c>
      <c r="CN116" t="s">
        <v>708</v>
      </c>
      <c r="CO116">
        <v>0</v>
      </c>
      <c r="CP116">
        <f t="shared" si="82"/>
        <v>0</v>
      </c>
      <c r="CQ116">
        <f t="shared" si="83"/>
        <v>647382.9</v>
      </c>
      <c r="CR116">
        <f t="shared" si="108"/>
        <v>0</v>
      </c>
      <c r="CS116">
        <f t="shared" si="84"/>
        <v>0</v>
      </c>
      <c r="CT116">
        <f t="shared" si="85"/>
        <v>0</v>
      </c>
      <c r="CU116">
        <f t="shared" si="86"/>
        <v>0</v>
      </c>
      <c r="CV116">
        <f t="shared" si="87"/>
        <v>0</v>
      </c>
      <c r="CW116">
        <f t="shared" si="88"/>
        <v>0</v>
      </c>
      <c r="CX116">
        <f t="shared" si="89"/>
        <v>0</v>
      </c>
      <c r="CY116">
        <f>S116*(BZ116/100)</f>
        <v>0</v>
      </c>
      <c r="CZ116">
        <f>S116*(CA116/100)</f>
        <v>0</v>
      </c>
      <c r="DB116">
        <v>60</v>
      </c>
      <c r="DC116" t="s">
        <v>3</v>
      </c>
      <c r="DD116" t="s">
        <v>3</v>
      </c>
      <c r="DE116" t="s">
        <v>22</v>
      </c>
      <c r="DF116" t="s">
        <v>22</v>
      </c>
      <c r="DG116" t="s">
        <v>22</v>
      </c>
      <c r="DH116" t="s">
        <v>3</v>
      </c>
      <c r="DI116" t="s">
        <v>22</v>
      </c>
      <c r="DJ116" t="s">
        <v>22</v>
      </c>
      <c r="DK116" t="s">
        <v>3</v>
      </c>
      <c r="DL116" t="s">
        <v>3</v>
      </c>
      <c r="DM116" t="s">
        <v>3</v>
      </c>
      <c r="DN116">
        <v>0</v>
      </c>
      <c r="DO116">
        <v>0</v>
      </c>
      <c r="DP116">
        <v>1</v>
      </c>
      <c r="DQ116">
        <v>1</v>
      </c>
      <c r="DU116">
        <v>1003</v>
      </c>
      <c r="DV116" t="s">
        <v>194</v>
      </c>
      <c r="DW116" t="s">
        <v>194</v>
      </c>
      <c r="DX116">
        <v>1000</v>
      </c>
      <c r="DZ116" t="s">
        <v>3</v>
      </c>
      <c r="EA116" t="s">
        <v>3</v>
      </c>
      <c r="EB116" t="s">
        <v>3</v>
      </c>
      <c r="EC116" t="s">
        <v>3</v>
      </c>
      <c r="EE116">
        <v>51697657</v>
      </c>
      <c r="EF116">
        <v>201</v>
      </c>
      <c r="EG116" t="s">
        <v>196</v>
      </c>
      <c r="EH116">
        <v>0</v>
      </c>
      <c r="EI116" t="s">
        <v>3</v>
      </c>
      <c r="EJ116">
        <v>2</v>
      </c>
      <c r="EK116">
        <v>1618</v>
      </c>
      <c r="EL116" t="s">
        <v>197</v>
      </c>
      <c r="EM116" t="s">
        <v>198</v>
      </c>
      <c r="EO116" t="s">
        <v>26</v>
      </c>
      <c r="EQ116">
        <v>131072</v>
      </c>
      <c r="ER116">
        <v>81534.37</v>
      </c>
      <c r="ES116">
        <v>81534.37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FQ116">
        <v>0</v>
      </c>
      <c r="FR116">
        <v>0</v>
      </c>
      <c r="FS116">
        <v>0</v>
      </c>
      <c r="FX116">
        <v>0</v>
      </c>
      <c r="FY116">
        <v>0</v>
      </c>
      <c r="GA116" t="s">
        <v>3</v>
      </c>
      <c r="GD116">
        <v>0</v>
      </c>
      <c r="GF116">
        <v>61579043</v>
      </c>
      <c r="GG116">
        <v>2</v>
      </c>
      <c r="GH116">
        <v>1</v>
      </c>
      <c r="GI116">
        <v>2</v>
      </c>
      <c r="GJ116">
        <v>0</v>
      </c>
      <c r="GK116">
        <f>ROUND(R116*(S12)/100,2)</f>
        <v>0</v>
      </c>
      <c r="GL116">
        <f t="shared" si="90"/>
        <v>0</v>
      </c>
      <c r="GM116">
        <f t="shared" si="91"/>
        <v>0</v>
      </c>
      <c r="GN116">
        <f t="shared" si="92"/>
        <v>0</v>
      </c>
      <c r="GO116">
        <f t="shared" si="93"/>
        <v>0</v>
      </c>
      <c r="GP116">
        <f t="shared" si="94"/>
        <v>0</v>
      </c>
      <c r="GR116">
        <v>0</v>
      </c>
      <c r="GS116">
        <v>3</v>
      </c>
      <c r="GT116">
        <v>0</v>
      </c>
      <c r="GU116" t="s">
        <v>3</v>
      </c>
      <c r="GV116">
        <f t="shared" si="95"/>
        <v>0</v>
      </c>
      <c r="GW116">
        <v>1</v>
      </c>
      <c r="GX116">
        <f t="shared" si="96"/>
        <v>0</v>
      </c>
      <c r="HA116">
        <v>0</v>
      </c>
      <c r="HB116">
        <v>0</v>
      </c>
      <c r="HC116">
        <f t="shared" si="97"/>
        <v>0</v>
      </c>
      <c r="HE116" t="s">
        <v>3</v>
      </c>
      <c r="HF116" t="s">
        <v>3</v>
      </c>
      <c r="HM116" t="s">
        <v>3</v>
      </c>
      <c r="HN116" t="s">
        <v>3</v>
      </c>
      <c r="HO116" t="s">
        <v>3</v>
      </c>
      <c r="HP116" t="s">
        <v>3</v>
      </c>
      <c r="HQ116" t="s">
        <v>3</v>
      </c>
      <c r="HS116">
        <v>0</v>
      </c>
      <c r="IK116">
        <v>0</v>
      </c>
    </row>
    <row r="117" spans="1:255" x14ac:dyDescent="0.2">
      <c r="A117" s="2">
        <v>17</v>
      </c>
      <c r="B117" s="2">
        <v>1</v>
      </c>
      <c r="C117" s="2"/>
      <c r="D117" s="2">
        <f>ROW(EtalonRes!A229)</f>
        <v>229</v>
      </c>
      <c r="E117" s="2" t="s">
        <v>200</v>
      </c>
      <c r="F117" s="2" t="s">
        <v>201</v>
      </c>
      <c r="G117" s="2" t="s">
        <v>202</v>
      </c>
      <c r="H117" s="2" t="s">
        <v>161</v>
      </c>
      <c r="I117" s="2">
        <v>0</v>
      </c>
      <c r="J117" s="2">
        <v>0</v>
      </c>
      <c r="K117" s="2">
        <v>0</v>
      </c>
      <c r="L117" s="2"/>
      <c r="M117" s="2"/>
      <c r="N117" s="2"/>
      <c r="O117" s="2">
        <f t="shared" si="69"/>
        <v>0</v>
      </c>
      <c r="P117" s="2">
        <f t="shared" si="70"/>
        <v>0</v>
      </c>
      <c r="Q117" s="2">
        <f t="shared" si="101"/>
        <v>0</v>
      </c>
      <c r="R117" s="2">
        <f t="shared" si="71"/>
        <v>0</v>
      </c>
      <c r="S117" s="2">
        <f t="shared" si="72"/>
        <v>0</v>
      </c>
      <c r="T117" s="2">
        <f t="shared" si="73"/>
        <v>0</v>
      </c>
      <c r="U117" s="2">
        <f t="shared" si="74"/>
        <v>0</v>
      </c>
      <c r="V117" s="2">
        <f t="shared" si="75"/>
        <v>0</v>
      </c>
      <c r="W117" s="2">
        <f t="shared" si="76"/>
        <v>0</v>
      </c>
      <c r="X117" s="2">
        <f t="shared" si="77"/>
        <v>0</v>
      </c>
      <c r="Y117" s="2">
        <f t="shared" si="78"/>
        <v>0</v>
      </c>
      <c r="Z117" s="2"/>
      <c r="AA117" s="2">
        <v>56622490</v>
      </c>
      <c r="AB117" s="2">
        <f t="shared" si="79"/>
        <v>1292.6969999999999</v>
      </c>
      <c r="AC117" s="2">
        <f t="shared" si="102"/>
        <v>1223.04</v>
      </c>
      <c r="AD117" s="2">
        <f t="shared" si="103"/>
        <v>29.662500000000001</v>
      </c>
      <c r="AE117" s="2">
        <f t="shared" si="104"/>
        <v>4.5045000000000002</v>
      </c>
      <c r="AF117" s="2">
        <f t="shared" si="105"/>
        <v>39.994500000000002</v>
      </c>
      <c r="AG117" s="2">
        <f t="shared" si="80"/>
        <v>0</v>
      </c>
      <c r="AH117" s="2">
        <f t="shared" si="106"/>
        <v>3.7905000000000002</v>
      </c>
      <c r="AI117" s="2">
        <f t="shared" si="107"/>
        <v>0</v>
      </c>
      <c r="AJ117" s="2">
        <f t="shared" si="81"/>
        <v>0</v>
      </c>
      <c r="AK117" s="2">
        <v>1289.3800000000001</v>
      </c>
      <c r="AL117" s="2">
        <v>1223.04</v>
      </c>
      <c r="AM117" s="2">
        <v>28.25</v>
      </c>
      <c r="AN117" s="2">
        <v>4.29</v>
      </c>
      <c r="AO117" s="2">
        <v>38.090000000000003</v>
      </c>
      <c r="AP117" s="2">
        <v>0</v>
      </c>
      <c r="AQ117" s="2">
        <v>3.61</v>
      </c>
      <c r="AR117" s="2">
        <v>0</v>
      </c>
      <c r="AS117" s="2">
        <v>0</v>
      </c>
      <c r="AT117" s="2">
        <v>112</v>
      </c>
      <c r="AU117" s="2">
        <v>70</v>
      </c>
      <c r="AV117" s="2">
        <v>1.0669999999999999</v>
      </c>
      <c r="AW117" s="2">
        <v>1.081</v>
      </c>
      <c r="AX117" s="2"/>
      <c r="AY117" s="2"/>
      <c r="AZ117" s="2">
        <v>1</v>
      </c>
      <c r="BA117" s="2">
        <v>1</v>
      </c>
      <c r="BB117" s="2">
        <v>1</v>
      </c>
      <c r="BC117" s="2">
        <v>1</v>
      </c>
      <c r="BD117" s="2" t="s">
        <v>3</v>
      </c>
      <c r="BE117" s="2" t="s">
        <v>3</v>
      </c>
      <c r="BF117" s="2" t="s">
        <v>3</v>
      </c>
      <c r="BG117" s="2" t="s">
        <v>3</v>
      </c>
      <c r="BH117" s="2">
        <v>0</v>
      </c>
      <c r="BI117" s="2">
        <v>2</v>
      </c>
      <c r="BJ117" s="2" t="s">
        <v>203</v>
      </c>
      <c r="BK117" s="2"/>
      <c r="BL117" s="2"/>
      <c r="BM117" s="2">
        <v>1517</v>
      </c>
      <c r="BN117" s="2">
        <v>0</v>
      </c>
      <c r="BO117" s="2" t="s">
        <v>3</v>
      </c>
      <c r="BP117" s="2">
        <v>0</v>
      </c>
      <c r="BQ117" s="2">
        <v>40</v>
      </c>
      <c r="BR117" s="2">
        <v>0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 t="s">
        <v>3</v>
      </c>
      <c r="BZ117" s="2">
        <v>112</v>
      </c>
      <c r="CA117" s="2">
        <v>70</v>
      </c>
      <c r="CB117" s="2" t="s">
        <v>3</v>
      </c>
      <c r="CC117" s="2"/>
      <c r="CD117" s="2"/>
      <c r="CE117" s="2">
        <v>30</v>
      </c>
      <c r="CF117" s="2">
        <v>0</v>
      </c>
      <c r="CG117" s="2">
        <v>0</v>
      </c>
      <c r="CH117" s="2"/>
      <c r="CI117" s="2"/>
      <c r="CJ117" s="2"/>
      <c r="CK117" s="2"/>
      <c r="CL117" s="2"/>
      <c r="CM117" s="2">
        <v>0</v>
      </c>
      <c r="CN117" s="2" t="s">
        <v>708</v>
      </c>
      <c r="CO117" s="2">
        <v>0</v>
      </c>
      <c r="CP117" s="2">
        <f t="shared" si="82"/>
        <v>0</v>
      </c>
      <c r="CQ117" s="2">
        <f t="shared" si="83"/>
        <v>1322.11</v>
      </c>
      <c r="CR117" s="2">
        <f t="shared" si="108"/>
        <v>31.65</v>
      </c>
      <c r="CS117" s="2">
        <f t="shared" si="84"/>
        <v>4.8099999999999996</v>
      </c>
      <c r="CT117" s="2">
        <f t="shared" si="85"/>
        <v>42.67</v>
      </c>
      <c r="CU117" s="2">
        <f t="shared" si="86"/>
        <v>0</v>
      </c>
      <c r="CV117" s="2">
        <f t="shared" si="87"/>
        <v>4.0444635</v>
      </c>
      <c r="CW117" s="2">
        <f t="shared" si="88"/>
        <v>0</v>
      </c>
      <c r="CX117" s="2">
        <f t="shared" si="89"/>
        <v>0</v>
      </c>
      <c r="CY117" s="2">
        <f>((S117*BZ117)/100)</f>
        <v>0</v>
      </c>
      <c r="CZ117" s="2">
        <f>((S117*CA117)/100)</f>
        <v>0</v>
      </c>
      <c r="DA117" s="2"/>
      <c r="DB117" s="2">
        <v>61</v>
      </c>
      <c r="DC117" s="2" t="s">
        <v>3</v>
      </c>
      <c r="DD117" s="2" t="s">
        <v>3</v>
      </c>
      <c r="DE117" s="2" t="s">
        <v>22</v>
      </c>
      <c r="DF117" s="2" t="s">
        <v>22</v>
      </c>
      <c r="DG117" s="2" t="s">
        <v>22</v>
      </c>
      <c r="DH117" s="2" t="s">
        <v>3</v>
      </c>
      <c r="DI117" s="2" t="s">
        <v>22</v>
      </c>
      <c r="DJ117" s="2" t="s">
        <v>22</v>
      </c>
      <c r="DK117" s="2" t="s">
        <v>3</v>
      </c>
      <c r="DL117" s="2" t="s">
        <v>3</v>
      </c>
      <c r="DM117" s="2" t="s">
        <v>3</v>
      </c>
      <c r="DN117" s="2">
        <v>0</v>
      </c>
      <c r="DO117" s="2">
        <v>0</v>
      </c>
      <c r="DP117" s="2">
        <v>1</v>
      </c>
      <c r="DQ117" s="2">
        <v>1</v>
      </c>
      <c r="DR117" s="2"/>
      <c r="DS117" s="2"/>
      <c r="DT117" s="2"/>
      <c r="DU117" s="2">
        <v>1013</v>
      </c>
      <c r="DV117" s="2" t="s">
        <v>161</v>
      </c>
      <c r="DW117" s="2" t="s">
        <v>161</v>
      </c>
      <c r="DX117" s="2">
        <v>1</v>
      </c>
      <c r="DY117" s="2"/>
      <c r="DZ117" s="2" t="s">
        <v>3</v>
      </c>
      <c r="EA117" s="2" t="s">
        <v>3</v>
      </c>
      <c r="EB117" s="2" t="s">
        <v>3</v>
      </c>
      <c r="EC117" s="2" t="s">
        <v>3</v>
      </c>
      <c r="ED117" s="2"/>
      <c r="EE117" s="2">
        <v>51697556</v>
      </c>
      <c r="EF117" s="2">
        <v>40</v>
      </c>
      <c r="EG117" s="2" t="s">
        <v>165</v>
      </c>
      <c r="EH117" s="2">
        <v>0</v>
      </c>
      <c r="EI117" s="2" t="s">
        <v>3</v>
      </c>
      <c r="EJ117" s="2">
        <v>2</v>
      </c>
      <c r="EK117" s="2">
        <v>1517</v>
      </c>
      <c r="EL117" s="2" t="s">
        <v>204</v>
      </c>
      <c r="EM117" s="2" t="s">
        <v>205</v>
      </c>
      <c r="EN117" s="2"/>
      <c r="EO117" s="2" t="s">
        <v>26</v>
      </c>
      <c r="EP117" s="2"/>
      <c r="EQ117" s="2">
        <v>131072</v>
      </c>
      <c r="ER117" s="2">
        <v>1289.3800000000001</v>
      </c>
      <c r="ES117" s="2">
        <v>1223.04</v>
      </c>
      <c r="ET117" s="2">
        <v>28.25</v>
      </c>
      <c r="EU117" s="2">
        <v>4.29</v>
      </c>
      <c r="EV117" s="2">
        <v>38.090000000000003</v>
      </c>
      <c r="EW117" s="2">
        <v>3.61</v>
      </c>
      <c r="EX117" s="2">
        <v>0</v>
      </c>
      <c r="EY117" s="2">
        <v>0</v>
      </c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>
        <v>0</v>
      </c>
      <c r="FR117" s="2">
        <v>0</v>
      </c>
      <c r="FS117" s="2">
        <v>2</v>
      </c>
      <c r="FT117" s="2"/>
      <c r="FU117" s="2"/>
      <c r="FV117" s="2"/>
      <c r="FW117" s="2"/>
      <c r="FX117" s="2">
        <v>112</v>
      </c>
      <c r="FY117" s="2">
        <v>70</v>
      </c>
      <c r="FZ117" s="2"/>
      <c r="GA117" s="2" t="s">
        <v>3</v>
      </c>
      <c r="GB117" s="2"/>
      <c r="GC117" s="2"/>
      <c r="GD117" s="2">
        <v>0</v>
      </c>
      <c r="GE117" s="2"/>
      <c r="GF117" s="2">
        <v>-183170646</v>
      </c>
      <c r="GG117" s="2">
        <v>2</v>
      </c>
      <c r="GH117" s="2">
        <v>1</v>
      </c>
      <c r="GI117" s="2">
        <v>-2</v>
      </c>
      <c r="GJ117" s="2">
        <v>0</v>
      </c>
      <c r="GK117" s="2">
        <f>ROUND(R117*(R12)/100,2)</f>
        <v>0</v>
      </c>
      <c r="GL117" s="2">
        <f t="shared" si="90"/>
        <v>0</v>
      </c>
      <c r="GM117" s="2">
        <f t="shared" si="91"/>
        <v>0</v>
      </c>
      <c r="GN117" s="2">
        <f t="shared" si="92"/>
        <v>0</v>
      </c>
      <c r="GO117" s="2">
        <f t="shared" si="93"/>
        <v>0</v>
      </c>
      <c r="GP117" s="2">
        <f t="shared" si="94"/>
        <v>0</v>
      </c>
      <c r="GQ117" s="2"/>
      <c r="GR117" s="2">
        <v>0</v>
      </c>
      <c r="GS117" s="2">
        <v>0</v>
      </c>
      <c r="GT117" s="2">
        <v>0</v>
      </c>
      <c r="GU117" s="2" t="s">
        <v>3</v>
      </c>
      <c r="GV117" s="2">
        <f t="shared" si="95"/>
        <v>0</v>
      </c>
      <c r="GW117" s="2">
        <v>1</v>
      </c>
      <c r="GX117" s="2">
        <f t="shared" si="96"/>
        <v>0</v>
      </c>
      <c r="GY117" s="2"/>
      <c r="GZ117" s="2"/>
      <c r="HA117" s="2">
        <v>0</v>
      </c>
      <c r="HB117" s="2">
        <v>0</v>
      </c>
      <c r="HC117" s="2">
        <f t="shared" si="97"/>
        <v>0</v>
      </c>
      <c r="HD117" s="2"/>
      <c r="HE117" s="2" t="s">
        <v>3</v>
      </c>
      <c r="HF117" s="2" t="s">
        <v>3</v>
      </c>
      <c r="HG117" s="2"/>
      <c r="HH117" s="2"/>
      <c r="HI117" s="2"/>
      <c r="HJ117" s="2"/>
      <c r="HK117" s="2"/>
      <c r="HL117" s="2"/>
      <c r="HM117" s="2" t="s">
        <v>3</v>
      </c>
      <c r="HN117" s="2" t="s">
        <v>3</v>
      </c>
      <c r="HO117" s="2" t="s">
        <v>3</v>
      </c>
      <c r="HP117" s="2" t="s">
        <v>3</v>
      </c>
      <c r="HQ117" s="2" t="s">
        <v>3</v>
      </c>
      <c r="HR117" s="2"/>
      <c r="HS117" s="2">
        <v>0</v>
      </c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>
        <v>0</v>
      </c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x14ac:dyDescent="0.2">
      <c r="A118">
        <v>17</v>
      </c>
      <c r="B118">
        <v>1</v>
      </c>
      <c r="D118">
        <f>ROW(EtalonRes!A232)</f>
        <v>232</v>
      </c>
      <c r="E118" t="s">
        <v>200</v>
      </c>
      <c r="F118" t="s">
        <v>201</v>
      </c>
      <c r="G118" t="s">
        <v>202</v>
      </c>
      <c r="H118" t="s">
        <v>161</v>
      </c>
      <c r="I118">
        <v>0</v>
      </c>
      <c r="J118">
        <v>0</v>
      </c>
      <c r="K118">
        <v>0</v>
      </c>
      <c r="O118">
        <f t="shared" si="69"/>
        <v>0</v>
      </c>
      <c r="P118">
        <f t="shared" si="70"/>
        <v>0</v>
      </c>
      <c r="Q118">
        <f t="shared" si="101"/>
        <v>0</v>
      </c>
      <c r="R118">
        <f t="shared" si="71"/>
        <v>0</v>
      </c>
      <c r="S118">
        <f t="shared" si="72"/>
        <v>0</v>
      </c>
      <c r="T118">
        <f t="shared" si="73"/>
        <v>0</v>
      </c>
      <c r="U118">
        <f t="shared" si="74"/>
        <v>0</v>
      </c>
      <c r="V118">
        <f t="shared" si="75"/>
        <v>0</v>
      </c>
      <c r="W118">
        <f t="shared" si="76"/>
        <v>0</v>
      </c>
      <c r="X118">
        <f t="shared" si="77"/>
        <v>0</v>
      </c>
      <c r="Y118">
        <f t="shared" si="78"/>
        <v>0</v>
      </c>
      <c r="AA118">
        <v>56610029</v>
      </c>
      <c r="AB118">
        <f t="shared" si="79"/>
        <v>1292.6969999999999</v>
      </c>
      <c r="AC118">
        <f t="shared" si="102"/>
        <v>1223.04</v>
      </c>
      <c r="AD118">
        <f t="shared" si="103"/>
        <v>29.662500000000001</v>
      </c>
      <c r="AE118">
        <f t="shared" si="104"/>
        <v>4.5045000000000002</v>
      </c>
      <c r="AF118">
        <f t="shared" si="105"/>
        <v>39.994500000000002</v>
      </c>
      <c r="AG118">
        <f t="shared" si="80"/>
        <v>0</v>
      </c>
      <c r="AH118">
        <f t="shared" si="106"/>
        <v>3.7905000000000002</v>
      </c>
      <c r="AI118">
        <f t="shared" si="107"/>
        <v>0</v>
      </c>
      <c r="AJ118">
        <f t="shared" si="81"/>
        <v>0</v>
      </c>
      <c r="AK118">
        <v>1289.3800000000001</v>
      </c>
      <c r="AL118">
        <v>1223.04</v>
      </c>
      <c r="AM118">
        <v>28.25</v>
      </c>
      <c r="AN118">
        <v>4.29</v>
      </c>
      <c r="AO118">
        <v>38.090000000000003</v>
      </c>
      <c r="AP118">
        <v>0</v>
      </c>
      <c r="AQ118">
        <v>3.61</v>
      </c>
      <c r="AR118">
        <v>0</v>
      </c>
      <c r="AS118">
        <v>0</v>
      </c>
      <c r="AT118">
        <v>92</v>
      </c>
      <c r="AU118">
        <v>43</v>
      </c>
      <c r="AV118">
        <v>1.0669999999999999</v>
      </c>
      <c r="AW118">
        <v>1.081</v>
      </c>
      <c r="AZ118">
        <v>1</v>
      </c>
      <c r="BA118">
        <v>34.51</v>
      </c>
      <c r="BB118">
        <v>12.86</v>
      </c>
      <c r="BC118">
        <v>9.42</v>
      </c>
      <c r="BD118" t="s">
        <v>3</v>
      </c>
      <c r="BE118" t="s">
        <v>3</v>
      </c>
      <c r="BF118" t="s">
        <v>3</v>
      </c>
      <c r="BG118" t="s">
        <v>3</v>
      </c>
      <c r="BH118">
        <v>0</v>
      </c>
      <c r="BI118">
        <v>2</v>
      </c>
      <c r="BJ118" t="s">
        <v>203</v>
      </c>
      <c r="BM118">
        <v>1517</v>
      </c>
      <c r="BN118">
        <v>0</v>
      </c>
      <c r="BO118" t="s">
        <v>201</v>
      </c>
      <c r="BP118">
        <v>1</v>
      </c>
      <c r="BQ118">
        <v>40</v>
      </c>
      <c r="BR118">
        <v>0</v>
      </c>
      <c r="BS118">
        <v>34.51</v>
      </c>
      <c r="BT118">
        <v>1</v>
      </c>
      <c r="BU118">
        <v>1</v>
      </c>
      <c r="BV118">
        <v>1</v>
      </c>
      <c r="BW118">
        <v>1</v>
      </c>
      <c r="BX118">
        <v>1</v>
      </c>
      <c r="BY118" t="s">
        <v>3</v>
      </c>
      <c r="BZ118">
        <v>92</v>
      </c>
      <c r="CA118">
        <v>43</v>
      </c>
      <c r="CB118" t="s">
        <v>3</v>
      </c>
      <c r="CE118">
        <v>30</v>
      </c>
      <c r="CF118">
        <v>0</v>
      </c>
      <c r="CG118">
        <v>0</v>
      </c>
      <c r="CM118">
        <v>0</v>
      </c>
      <c r="CN118" t="s">
        <v>708</v>
      </c>
      <c r="CO118">
        <v>0</v>
      </c>
      <c r="CP118">
        <f t="shared" si="82"/>
        <v>0</v>
      </c>
      <c r="CQ118">
        <f t="shared" si="83"/>
        <v>12454.28</v>
      </c>
      <c r="CR118">
        <f t="shared" si="108"/>
        <v>407.02</v>
      </c>
      <c r="CS118">
        <f t="shared" si="84"/>
        <v>165.99</v>
      </c>
      <c r="CT118">
        <f t="shared" si="85"/>
        <v>1472.54</v>
      </c>
      <c r="CU118">
        <f t="shared" si="86"/>
        <v>0</v>
      </c>
      <c r="CV118">
        <f t="shared" si="87"/>
        <v>4.0444635</v>
      </c>
      <c r="CW118">
        <f t="shared" si="88"/>
        <v>0</v>
      </c>
      <c r="CX118">
        <f t="shared" si="89"/>
        <v>0</v>
      </c>
      <c r="CY118">
        <f>S118*(BZ118/100)</f>
        <v>0</v>
      </c>
      <c r="CZ118">
        <f>S118*(CA118/100)</f>
        <v>0</v>
      </c>
      <c r="DB118">
        <v>62</v>
      </c>
      <c r="DC118" t="s">
        <v>3</v>
      </c>
      <c r="DD118" t="s">
        <v>3</v>
      </c>
      <c r="DE118" t="s">
        <v>22</v>
      </c>
      <c r="DF118" t="s">
        <v>22</v>
      </c>
      <c r="DG118" t="s">
        <v>22</v>
      </c>
      <c r="DH118" t="s">
        <v>3</v>
      </c>
      <c r="DI118" t="s">
        <v>22</v>
      </c>
      <c r="DJ118" t="s">
        <v>22</v>
      </c>
      <c r="DK118" t="s">
        <v>3</v>
      </c>
      <c r="DL118" t="s">
        <v>3</v>
      </c>
      <c r="DM118" t="s">
        <v>3</v>
      </c>
      <c r="DN118">
        <v>112</v>
      </c>
      <c r="DO118">
        <v>70</v>
      </c>
      <c r="DP118">
        <v>1.0669999999999999</v>
      </c>
      <c r="DQ118">
        <v>1.081</v>
      </c>
      <c r="DU118">
        <v>1013</v>
      </c>
      <c r="DV118" t="s">
        <v>161</v>
      </c>
      <c r="DW118" t="s">
        <v>161</v>
      </c>
      <c r="DX118">
        <v>1</v>
      </c>
      <c r="DZ118" t="s">
        <v>3</v>
      </c>
      <c r="EA118" t="s">
        <v>3</v>
      </c>
      <c r="EB118" t="s">
        <v>3</v>
      </c>
      <c r="EC118" t="s">
        <v>3</v>
      </c>
      <c r="EE118">
        <v>51697556</v>
      </c>
      <c r="EF118">
        <v>40</v>
      </c>
      <c r="EG118" t="s">
        <v>165</v>
      </c>
      <c r="EH118">
        <v>0</v>
      </c>
      <c r="EI118" t="s">
        <v>3</v>
      </c>
      <c r="EJ118">
        <v>2</v>
      </c>
      <c r="EK118">
        <v>1517</v>
      </c>
      <c r="EL118" t="s">
        <v>204</v>
      </c>
      <c r="EM118" t="s">
        <v>205</v>
      </c>
      <c r="EO118" t="s">
        <v>26</v>
      </c>
      <c r="EQ118">
        <v>131072</v>
      </c>
      <c r="ER118">
        <v>1289.3800000000001</v>
      </c>
      <c r="ES118">
        <v>1223.04</v>
      </c>
      <c r="ET118">
        <v>28.25</v>
      </c>
      <c r="EU118">
        <v>4.29</v>
      </c>
      <c r="EV118">
        <v>38.090000000000003</v>
      </c>
      <c r="EW118">
        <v>3.61</v>
      </c>
      <c r="EX118">
        <v>0</v>
      </c>
      <c r="EY118">
        <v>0</v>
      </c>
      <c r="FQ118">
        <v>0</v>
      </c>
      <c r="FR118">
        <v>0</v>
      </c>
      <c r="FS118">
        <v>2</v>
      </c>
      <c r="FX118">
        <v>112</v>
      </c>
      <c r="FY118">
        <v>70</v>
      </c>
      <c r="GA118" t="s">
        <v>3</v>
      </c>
      <c r="GD118">
        <v>0</v>
      </c>
      <c r="GF118">
        <v>-183170646</v>
      </c>
      <c r="GG118">
        <v>2</v>
      </c>
      <c r="GH118">
        <v>1</v>
      </c>
      <c r="GI118">
        <v>2</v>
      </c>
      <c r="GJ118">
        <v>0</v>
      </c>
      <c r="GK118">
        <f>ROUND(R118*(S12)/100,2)</f>
        <v>0</v>
      </c>
      <c r="GL118">
        <f t="shared" si="90"/>
        <v>0</v>
      </c>
      <c r="GM118">
        <f t="shared" si="91"/>
        <v>0</v>
      </c>
      <c r="GN118">
        <f t="shared" si="92"/>
        <v>0</v>
      </c>
      <c r="GO118">
        <f t="shared" si="93"/>
        <v>0</v>
      </c>
      <c r="GP118">
        <f t="shared" si="94"/>
        <v>0</v>
      </c>
      <c r="GR118">
        <v>0</v>
      </c>
      <c r="GS118">
        <v>3</v>
      </c>
      <c r="GT118">
        <v>0</v>
      </c>
      <c r="GU118" t="s">
        <v>3</v>
      </c>
      <c r="GV118">
        <f t="shared" si="95"/>
        <v>0</v>
      </c>
      <c r="GW118">
        <v>1</v>
      </c>
      <c r="GX118">
        <f t="shared" si="96"/>
        <v>0</v>
      </c>
      <c r="HA118">
        <v>0</v>
      </c>
      <c r="HB118">
        <v>0</v>
      </c>
      <c r="HC118">
        <f t="shared" si="97"/>
        <v>0</v>
      </c>
      <c r="HE118" t="s">
        <v>3</v>
      </c>
      <c r="HF118" t="s">
        <v>3</v>
      </c>
      <c r="HM118" t="s">
        <v>3</v>
      </c>
      <c r="HN118" t="s">
        <v>3</v>
      </c>
      <c r="HO118" t="s">
        <v>3</v>
      </c>
      <c r="HP118" t="s">
        <v>3</v>
      </c>
      <c r="HQ118" t="s">
        <v>3</v>
      </c>
      <c r="HS118">
        <v>0</v>
      </c>
      <c r="IK118">
        <v>0</v>
      </c>
    </row>
    <row r="119" spans="1:255" x14ac:dyDescent="0.2">
      <c r="A119" s="2">
        <v>17</v>
      </c>
      <c r="B119" s="2">
        <v>1</v>
      </c>
      <c r="C119" s="2"/>
      <c r="D119" s="2">
        <f>ROW(EtalonRes!A235)</f>
        <v>235</v>
      </c>
      <c r="E119" s="2" t="s">
        <v>206</v>
      </c>
      <c r="F119" s="2" t="s">
        <v>201</v>
      </c>
      <c r="G119" s="2" t="s">
        <v>202</v>
      </c>
      <c r="H119" s="2" t="s">
        <v>161</v>
      </c>
      <c r="I119" s="2">
        <v>0</v>
      </c>
      <c r="J119" s="2">
        <v>0</v>
      </c>
      <c r="K119" s="2">
        <v>0</v>
      </c>
      <c r="L119" s="2"/>
      <c r="M119" s="2"/>
      <c r="N119" s="2"/>
      <c r="O119" s="2">
        <f t="shared" si="69"/>
        <v>0</v>
      </c>
      <c r="P119" s="2">
        <f t="shared" si="70"/>
        <v>0</v>
      </c>
      <c r="Q119" s="2">
        <f t="shared" si="101"/>
        <v>0</v>
      </c>
      <c r="R119" s="2">
        <f t="shared" si="71"/>
        <v>0</v>
      </c>
      <c r="S119" s="2">
        <f t="shared" si="72"/>
        <v>0</v>
      </c>
      <c r="T119" s="2">
        <f t="shared" si="73"/>
        <v>0</v>
      </c>
      <c r="U119" s="2">
        <f t="shared" si="74"/>
        <v>0</v>
      </c>
      <c r="V119" s="2">
        <f t="shared" si="75"/>
        <v>0</v>
      </c>
      <c r="W119" s="2">
        <f t="shared" si="76"/>
        <v>0</v>
      </c>
      <c r="X119" s="2">
        <f t="shared" si="77"/>
        <v>0</v>
      </c>
      <c r="Y119" s="2">
        <f t="shared" si="78"/>
        <v>0</v>
      </c>
      <c r="Z119" s="2"/>
      <c r="AA119" s="2">
        <v>56622490</v>
      </c>
      <c r="AB119" s="2">
        <f t="shared" si="79"/>
        <v>1292.6969999999999</v>
      </c>
      <c r="AC119" s="2">
        <f t="shared" si="102"/>
        <v>1223.04</v>
      </c>
      <c r="AD119" s="2">
        <f t="shared" si="103"/>
        <v>29.662500000000001</v>
      </c>
      <c r="AE119" s="2">
        <f t="shared" si="104"/>
        <v>4.5045000000000002</v>
      </c>
      <c r="AF119" s="2">
        <f t="shared" si="105"/>
        <v>39.994500000000002</v>
      </c>
      <c r="AG119" s="2">
        <f t="shared" si="80"/>
        <v>0</v>
      </c>
      <c r="AH119" s="2">
        <f t="shared" si="106"/>
        <v>3.7905000000000002</v>
      </c>
      <c r="AI119" s="2">
        <f t="shared" si="107"/>
        <v>0</v>
      </c>
      <c r="AJ119" s="2">
        <f t="shared" si="81"/>
        <v>0</v>
      </c>
      <c r="AK119" s="2">
        <v>1289.3800000000001</v>
      </c>
      <c r="AL119" s="2">
        <v>1223.04</v>
      </c>
      <c r="AM119" s="2">
        <v>28.25</v>
      </c>
      <c r="AN119" s="2">
        <v>4.29</v>
      </c>
      <c r="AO119" s="2">
        <v>38.090000000000003</v>
      </c>
      <c r="AP119" s="2">
        <v>0</v>
      </c>
      <c r="AQ119" s="2">
        <v>3.61</v>
      </c>
      <c r="AR119" s="2">
        <v>0</v>
      </c>
      <c r="AS119" s="2">
        <v>0</v>
      </c>
      <c r="AT119" s="2">
        <v>112</v>
      </c>
      <c r="AU119" s="2">
        <v>70</v>
      </c>
      <c r="AV119" s="2">
        <v>1.0669999999999999</v>
      </c>
      <c r="AW119" s="2">
        <v>1.081</v>
      </c>
      <c r="AX119" s="2"/>
      <c r="AY119" s="2"/>
      <c r="AZ119" s="2">
        <v>1</v>
      </c>
      <c r="BA119" s="2">
        <v>1</v>
      </c>
      <c r="BB119" s="2">
        <v>1</v>
      </c>
      <c r="BC119" s="2">
        <v>1</v>
      </c>
      <c r="BD119" s="2" t="s">
        <v>3</v>
      </c>
      <c r="BE119" s="2" t="s">
        <v>3</v>
      </c>
      <c r="BF119" s="2" t="s">
        <v>3</v>
      </c>
      <c r="BG119" s="2" t="s">
        <v>3</v>
      </c>
      <c r="BH119" s="2">
        <v>0</v>
      </c>
      <c r="BI119" s="2">
        <v>2</v>
      </c>
      <c r="BJ119" s="2" t="s">
        <v>203</v>
      </c>
      <c r="BK119" s="2"/>
      <c r="BL119" s="2"/>
      <c r="BM119" s="2">
        <v>1517</v>
      </c>
      <c r="BN119" s="2">
        <v>0</v>
      </c>
      <c r="BO119" s="2" t="s">
        <v>3</v>
      </c>
      <c r="BP119" s="2">
        <v>0</v>
      </c>
      <c r="BQ119" s="2">
        <v>40</v>
      </c>
      <c r="BR119" s="2">
        <v>0</v>
      </c>
      <c r="BS119" s="2">
        <v>1</v>
      </c>
      <c r="BT119" s="2">
        <v>1</v>
      </c>
      <c r="BU119" s="2">
        <v>1</v>
      </c>
      <c r="BV119" s="2">
        <v>1</v>
      </c>
      <c r="BW119" s="2">
        <v>1</v>
      </c>
      <c r="BX119" s="2">
        <v>1</v>
      </c>
      <c r="BY119" s="2" t="s">
        <v>3</v>
      </c>
      <c r="BZ119" s="2">
        <v>112</v>
      </c>
      <c r="CA119" s="2">
        <v>70</v>
      </c>
      <c r="CB119" s="2" t="s">
        <v>3</v>
      </c>
      <c r="CC119" s="2"/>
      <c r="CD119" s="2"/>
      <c r="CE119" s="2">
        <v>30</v>
      </c>
      <c r="CF119" s="2">
        <v>0</v>
      </c>
      <c r="CG119" s="2">
        <v>0</v>
      </c>
      <c r="CH119" s="2"/>
      <c r="CI119" s="2"/>
      <c r="CJ119" s="2"/>
      <c r="CK119" s="2"/>
      <c r="CL119" s="2"/>
      <c r="CM119" s="2">
        <v>0</v>
      </c>
      <c r="CN119" s="2" t="s">
        <v>708</v>
      </c>
      <c r="CO119" s="2">
        <v>0</v>
      </c>
      <c r="CP119" s="2">
        <f t="shared" si="82"/>
        <v>0</v>
      </c>
      <c r="CQ119" s="2">
        <f t="shared" si="83"/>
        <v>1322.11</v>
      </c>
      <c r="CR119" s="2">
        <f t="shared" si="108"/>
        <v>31.65</v>
      </c>
      <c r="CS119" s="2">
        <f t="shared" si="84"/>
        <v>4.8099999999999996</v>
      </c>
      <c r="CT119" s="2">
        <f t="shared" si="85"/>
        <v>42.67</v>
      </c>
      <c r="CU119" s="2">
        <f t="shared" si="86"/>
        <v>0</v>
      </c>
      <c r="CV119" s="2">
        <f t="shared" si="87"/>
        <v>4.0444635</v>
      </c>
      <c r="CW119" s="2">
        <f t="shared" si="88"/>
        <v>0</v>
      </c>
      <c r="CX119" s="2">
        <f t="shared" si="89"/>
        <v>0</v>
      </c>
      <c r="CY119" s="2">
        <f>((S119*BZ119)/100)</f>
        <v>0</v>
      </c>
      <c r="CZ119" s="2">
        <f>((S119*CA119)/100)</f>
        <v>0</v>
      </c>
      <c r="DA119" s="2"/>
      <c r="DB119" s="2">
        <v>63</v>
      </c>
      <c r="DC119" s="2" t="s">
        <v>3</v>
      </c>
      <c r="DD119" s="2" t="s">
        <v>3</v>
      </c>
      <c r="DE119" s="2" t="s">
        <v>22</v>
      </c>
      <c r="DF119" s="2" t="s">
        <v>22</v>
      </c>
      <c r="DG119" s="2" t="s">
        <v>22</v>
      </c>
      <c r="DH119" s="2" t="s">
        <v>3</v>
      </c>
      <c r="DI119" s="2" t="s">
        <v>22</v>
      </c>
      <c r="DJ119" s="2" t="s">
        <v>22</v>
      </c>
      <c r="DK119" s="2" t="s">
        <v>3</v>
      </c>
      <c r="DL119" s="2" t="s">
        <v>3</v>
      </c>
      <c r="DM119" s="2" t="s">
        <v>3</v>
      </c>
      <c r="DN119" s="2">
        <v>0</v>
      </c>
      <c r="DO119" s="2">
        <v>0</v>
      </c>
      <c r="DP119" s="2">
        <v>1</v>
      </c>
      <c r="DQ119" s="2">
        <v>1</v>
      </c>
      <c r="DR119" s="2"/>
      <c r="DS119" s="2"/>
      <c r="DT119" s="2"/>
      <c r="DU119" s="2">
        <v>1013</v>
      </c>
      <c r="DV119" s="2" t="s">
        <v>161</v>
      </c>
      <c r="DW119" s="2" t="s">
        <v>161</v>
      </c>
      <c r="DX119" s="2">
        <v>1</v>
      </c>
      <c r="DY119" s="2"/>
      <c r="DZ119" s="2" t="s">
        <v>3</v>
      </c>
      <c r="EA119" s="2" t="s">
        <v>3</v>
      </c>
      <c r="EB119" s="2" t="s">
        <v>3</v>
      </c>
      <c r="EC119" s="2" t="s">
        <v>3</v>
      </c>
      <c r="ED119" s="2"/>
      <c r="EE119" s="2">
        <v>51697556</v>
      </c>
      <c r="EF119" s="2">
        <v>40</v>
      </c>
      <c r="EG119" s="2" t="s">
        <v>165</v>
      </c>
      <c r="EH119" s="2">
        <v>0</v>
      </c>
      <c r="EI119" s="2" t="s">
        <v>3</v>
      </c>
      <c r="EJ119" s="2">
        <v>2</v>
      </c>
      <c r="EK119" s="2">
        <v>1517</v>
      </c>
      <c r="EL119" s="2" t="s">
        <v>204</v>
      </c>
      <c r="EM119" s="2" t="s">
        <v>205</v>
      </c>
      <c r="EN119" s="2"/>
      <c r="EO119" s="2" t="s">
        <v>26</v>
      </c>
      <c r="EP119" s="2"/>
      <c r="EQ119" s="2">
        <v>131072</v>
      </c>
      <c r="ER119" s="2">
        <v>1289.3800000000001</v>
      </c>
      <c r="ES119" s="2">
        <v>1223.04</v>
      </c>
      <c r="ET119" s="2">
        <v>28.25</v>
      </c>
      <c r="EU119" s="2">
        <v>4.29</v>
      </c>
      <c r="EV119" s="2">
        <v>38.090000000000003</v>
      </c>
      <c r="EW119" s="2">
        <v>3.61</v>
      </c>
      <c r="EX119" s="2">
        <v>0</v>
      </c>
      <c r="EY119" s="2">
        <v>0</v>
      </c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>
        <v>0</v>
      </c>
      <c r="FR119" s="2">
        <v>0</v>
      </c>
      <c r="FS119" s="2">
        <v>2</v>
      </c>
      <c r="FT119" s="2"/>
      <c r="FU119" s="2"/>
      <c r="FV119" s="2"/>
      <c r="FW119" s="2"/>
      <c r="FX119" s="2">
        <v>112</v>
      </c>
      <c r="FY119" s="2">
        <v>70</v>
      </c>
      <c r="FZ119" s="2"/>
      <c r="GA119" s="2" t="s">
        <v>3</v>
      </c>
      <c r="GB119" s="2"/>
      <c r="GC119" s="2"/>
      <c r="GD119" s="2">
        <v>0</v>
      </c>
      <c r="GE119" s="2"/>
      <c r="GF119" s="2">
        <v>-183170646</v>
      </c>
      <c r="GG119" s="2">
        <v>2</v>
      </c>
      <c r="GH119" s="2">
        <v>1</v>
      </c>
      <c r="GI119" s="2">
        <v>-2</v>
      </c>
      <c r="GJ119" s="2">
        <v>0</v>
      </c>
      <c r="GK119" s="2">
        <f>ROUND(R119*(R12)/100,2)</f>
        <v>0</v>
      </c>
      <c r="GL119" s="2">
        <f t="shared" si="90"/>
        <v>0</v>
      </c>
      <c r="GM119" s="2">
        <f t="shared" si="91"/>
        <v>0</v>
      </c>
      <c r="GN119" s="2">
        <f t="shared" si="92"/>
        <v>0</v>
      </c>
      <c r="GO119" s="2">
        <f t="shared" si="93"/>
        <v>0</v>
      </c>
      <c r="GP119" s="2">
        <f t="shared" si="94"/>
        <v>0</v>
      </c>
      <c r="GQ119" s="2"/>
      <c r="GR119" s="2">
        <v>0</v>
      </c>
      <c r="GS119" s="2">
        <v>0</v>
      </c>
      <c r="GT119" s="2">
        <v>0</v>
      </c>
      <c r="GU119" s="2" t="s">
        <v>3</v>
      </c>
      <c r="GV119" s="2">
        <f t="shared" si="95"/>
        <v>0</v>
      </c>
      <c r="GW119" s="2">
        <v>1</v>
      </c>
      <c r="GX119" s="2">
        <f t="shared" si="96"/>
        <v>0</v>
      </c>
      <c r="GY119" s="2"/>
      <c r="GZ119" s="2"/>
      <c r="HA119" s="2">
        <v>0</v>
      </c>
      <c r="HB119" s="2">
        <v>0</v>
      </c>
      <c r="HC119" s="2">
        <f t="shared" si="97"/>
        <v>0</v>
      </c>
      <c r="HD119" s="2"/>
      <c r="HE119" s="2" t="s">
        <v>3</v>
      </c>
      <c r="HF119" s="2" t="s">
        <v>3</v>
      </c>
      <c r="HG119" s="2"/>
      <c r="HH119" s="2"/>
      <c r="HI119" s="2"/>
      <c r="HJ119" s="2"/>
      <c r="HK119" s="2"/>
      <c r="HL119" s="2"/>
      <c r="HM119" s="2" t="s">
        <v>3</v>
      </c>
      <c r="HN119" s="2" t="s">
        <v>3</v>
      </c>
      <c r="HO119" s="2" t="s">
        <v>3</v>
      </c>
      <c r="HP119" s="2" t="s">
        <v>3</v>
      </c>
      <c r="HQ119" s="2" t="s">
        <v>3</v>
      </c>
      <c r="HR119" s="2"/>
      <c r="HS119" s="2">
        <v>0</v>
      </c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>
        <v>0</v>
      </c>
      <c r="IL119" s="2"/>
      <c r="IM119" s="2"/>
      <c r="IN119" s="2"/>
      <c r="IO119" s="2"/>
      <c r="IP119" s="2"/>
      <c r="IQ119" s="2"/>
      <c r="IR119" s="2"/>
      <c r="IS119" s="2"/>
      <c r="IT119" s="2"/>
      <c r="IU119" s="2"/>
    </row>
    <row r="120" spans="1:255" x14ac:dyDescent="0.2">
      <c r="A120">
        <v>17</v>
      </c>
      <c r="B120">
        <v>1</v>
      </c>
      <c r="D120">
        <f>ROW(EtalonRes!A238)</f>
        <v>238</v>
      </c>
      <c r="E120" t="s">
        <v>206</v>
      </c>
      <c r="F120" t="s">
        <v>201</v>
      </c>
      <c r="G120" t="s">
        <v>202</v>
      </c>
      <c r="H120" t="s">
        <v>161</v>
      </c>
      <c r="I120">
        <v>0</v>
      </c>
      <c r="J120">
        <v>0</v>
      </c>
      <c r="K120">
        <v>0</v>
      </c>
      <c r="O120">
        <f t="shared" si="69"/>
        <v>0</v>
      </c>
      <c r="P120">
        <f t="shared" si="70"/>
        <v>0</v>
      </c>
      <c r="Q120">
        <f t="shared" si="101"/>
        <v>0</v>
      </c>
      <c r="R120">
        <f t="shared" si="71"/>
        <v>0</v>
      </c>
      <c r="S120">
        <f t="shared" si="72"/>
        <v>0</v>
      </c>
      <c r="T120">
        <f t="shared" si="73"/>
        <v>0</v>
      </c>
      <c r="U120">
        <f t="shared" si="74"/>
        <v>0</v>
      </c>
      <c r="V120">
        <f t="shared" si="75"/>
        <v>0</v>
      </c>
      <c r="W120">
        <f t="shared" si="76"/>
        <v>0</v>
      </c>
      <c r="X120">
        <f t="shared" si="77"/>
        <v>0</v>
      </c>
      <c r="Y120">
        <f t="shared" si="78"/>
        <v>0</v>
      </c>
      <c r="AA120">
        <v>56610029</v>
      </c>
      <c r="AB120">
        <f t="shared" si="79"/>
        <v>1292.6969999999999</v>
      </c>
      <c r="AC120">
        <f t="shared" si="102"/>
        <v>1223.04</v>
      </c>
      <c r="AD120">
        <f t="shared" si="103"/>
        <v>29.662500000000001</v>
      </c>
      <c r="AE120">
        <f t="shared" si="104"/>
        <v>4.5045000000000002</v>
      </c>
      <c r="AF120">
        <f t="shared" si="105"/>
        <v>39.994500000000002</v>
      </c>
      <c r="AG120">
        <f t="shared" si="80"/>
        <v>0</v>
      </c>
      <c r="AH120">
        <f t="shared" si="106"/>
        <v>3.7905000000000002</v>
      </c>
      <c r="AI120">
        <f t="shared" si="107"/>
        <v>0</v>
      </c>
      <c r="AJ120">
        <f t="shared" si="81"/>
        <v>0</v>
      </c>
      <c r="AK120">
        <v>1289.3800000000001</v>
      </c>
      <c r="AL120">
        <v>1223.04</v>
      </c>
      <c r="AM120">
        <v>28.25</v>
      </c>
      <c r="AN120">
        <v>4.29</v>
      </c>
      <c r="AO120">
        <v>38.090000000000003</v>
      </c>
      <c r="AP120">
        <v>0</v>
      </c>
      <c r="AQ120">
        <v>3.61</v>
      </c>
      <c r="AR120">
        <v>0</v>
      </c>
      <c r="AS120">
        <v>0</v>
      </c>
      <c r="AT120">
        <v>92</v>
      </c>
      <c r="AU120">
        <v>43</v>
      </c>
      <c r="AV120">
        <v>1.0669999999999999</v>
      </c>
      <c r="AW120">
        <v>1.081</v>
      </c>
      <c r="AZ120">
        <v>1</v>
      </c>
      <c r="BA120">
        <v>34.51</v>
      </c>
      <c r="BB120">
        <v>12.86</v>
      </c>
      <c r="BC120">
        <v>9.42</v>
      </c>
      <c r="BD120" t="s">
        <v>3</v>
      </c>
      <c r="BE120" t="s">
        <v>3</v>
      </c>
      <c r="BF120" t="s">
        <v>3</v>
      </c>
      <c r="BG120" t="s">
        <v>3</v>
      </c>
      <c r="BH120">
        <v>0</v>
      </c>
      <c r="BI120">
        <v>2</v>
      </c>
      <c r="BJ120" t="s">
        <v>203</v>
      </c>
      <c r="BM120">
        <v>1517</v>
      </c>
      <c r="BN120">
        <v>0</v>
      </c>
      <c r="BO120" t="s">
        <v>201</v>
      </c>
      <c r="BP120">
        <v>1</v>
      </c>
      <c r="BQ120">
        <v>40</v>
      </c>
      <c r="BR120">
        <v>0</v>
      </c>
      <c r="BS120">
        <v>34.51</v>
      </c>
      <c r="BT120">
        <v>1</v>
      </c>
      <c r="BU120">
        <v>1</v>
      </c>
      <c r="BV120">
        <v>1</v>
      </c>
      <c r="BW120">
        <v>1</v>
      </c>
      <c r="BX120">
        <v>1</v>
      </c>
      <c r="BY120" t="s">
        <v>3</v>
      </c>
      <c r="BZ120">
        <v>92</v>
      </c>
      <c r="CA120">
        <v>43</v>
      </c>
      <c r="CB120" t="s">
        <v>3</v>
      </c>
      <c r="CE120">
        <v>30</v>
      </c>
      <c r="CF120">
        <v>0</v>
      </c>
      <c r="CG120">
        <v>0</v>
      </c>
      <c r="CM120">
        <v>0</v>
      </c>
      <c r="CN120" t="s">
        <v>708</v>
      </c>
      <c r="CO120">
        <v>0</v>
      </c>
      <c r="CP120">
        <f t="shared" si="82"/>
        <v>0</v>
      </c>
      <c r="CQ120">
        <f t="shared" si="83"/>
        <v>12454.28</v>
      </c>
      <c r="CR120">
        <f t="shared" si="108"/>
        <v>407.02</v>
      </c>
      <c r="CS120">
        <f t="shared" si="84"/>
        <v>165.99</v>
      </c>
      <c r="CT120">
        <f t="shared" si="85"/>
        <v>1472.54</v>
      </c>
      <c r="CU120">
        <f t="shared" si="86"/>
        <v>0</v>
      </c>
      <c r="CV120">
        <f t="shared" si="87"/>
        <v>4.0444635</v>
      </c>
      <c r="CW120">
        <f t="shared" si="88"/>
        <v>0</v>
      </c>
      <c r="CX120">
        <f t="shared" si="89"/>
        <v>0</v>
      </c>
      <c r="CY120">
        <f>S120*(BZ120/100)</f>
        <v>0</v>
      </c>
      <c r="CZ120">
        <f>S120*(CA120/100)</f>
        <v>0</v>
      </c>
      <c r="DB120">
        <v>64</v>
      </c>
      <c r="DC120" t="s">
        <v>3</v>
      </c>
      <c r="DD120" t="s">
        <v>3</v>
      </c>
      <c r="DE120" t="s">
        <v>22</v>
      </c>
      <c r="DF120" t="s">
        <v>22</v>
      </c>
      <c r="DG120" t="s">
        <v>22</v>
      </c>
      <c r="DH120" t="s">
        <v>3</v>
      </c>
      <c r="DI120" t="s">
        <v>22</v>
      </c>
      <c r="DJ120" t="s">
        <v>22</v>
      </c>
      <c r="DK120" t="s">
        <v>3</v>
      </c>
      <c r="DL120" t="s">
        <v>3</v>
      </c>
      <c r="DM120" t="s">
        <v>3</v>
      </c>
      <c r="DN120">
        <v>112</v>
      </c>
      <c r="DO120">
        <v>70</v>
      </c>
      <c r="DP120">
        <v>1.0669999999999999</v>
      </c>
      <c r="DQ120">
        <v>1.081</v>
      </c>
      <c r="DU120">
        <v>1013</v>
      </c>
      <c r="DV120" t="s">
        <v>161</v>
      </c>
      <c r="DW120" t="s">
        <v>161</v>
      </c>
      <c r="DX120">
        <v>1</v>
      </c>
      <c r="DZ120" t="s">
        <v>3</v>
      </c>
      <c r="EA120" t="s">
        <v>3</v>
      </c>
      <c r="EB120" t="s">
        <v>3</v>
      </c>
      <c r="EC120" t="s">
        <v>3</v>
      </c>
      <c r="EE120">
        <v>51697556</v>
      </c>
      <c r="EF120">
        <v>40</v>
      </c>
      <c r="EG120" t="s">
        <v>165</v>
      </c>
      <c r="EH120">
        <v>0</v>
      </c>
      <c r="EI120" t="s">
        <v>3</v>
      </c>
      <c r="EJ120">
        <v>2</v>
      </c>
      <c r="EK120">
        <v>1517</v>
      </c>
      <c r="EL120" t="s">
        <v>204</v>
      </c>
      <c r="EM120" t="s">
        <v>205</v>
      </c>
      <c r="EO120" t="s">
        <v>26</v>
      </c>
      <c r="EQ120">
        <v>131072</v>
      </c>
      <c r="ER120">
        <v>1289.3800000000001</v>
      </c>
      <c r="ES120">
        <v>1223.04</v>
      </c>
      <c r="ET120">
        <v>28.25</v>
      </c>
      <c r="EU120">
        <v>4.29</v>
      </c>
      <c r="EV120">
        <v>38.090000000000003</v>
      </c>
      <c r="EW120">
        <v>3.61</v>
      </c>
      <c r="EX120">
        <v>0</v>
      </c>
      <c r="EY120">
        <v>0</v>
      </c>
      <c r="FQ120">
        <v>0</v>
      </c>
      <c r="FR120">
        <v>0</v>
      </c>
      <c r="FS120">
        <v>2</v>
      </c>
      <c r="FX120">
        <v>112</v>
      </c>
      <c r="FY120">
        <v>70</v>
      </c>
      <c r="GA120" t="s">
        <v>3</v>
      </c>
      <c r="GD120">
        <v>0</v>
      </c>
      <c r="GF120">
        <v>-183170646</v>
      </c>
      <c r="GG120">
        <v>2</v>
      </c>
      <c r="GH120">
        <v>1</v>
      </c>
      <c r="GI120">
        <v>2</v>
      </c>
      <c r="GJ120">
        <v>0</v>
      </c>
      <c r="GK120">
        <f>ROUND(R120*(S12)/100,2)</f>
        <v>0</v>
      </c>
      <c r="GL120">
        <f t="shared" si="90"/>
        <v>0</v>
      </c>
      <c r="GM120">
        <f t="shared" si="91"/>
        <v>0</v>
      </c>
      <c r="GN120">
        <f t="shared" si="92"/>
        <v>0</v>
      </c>
      <c r="GO120">
        <f t="shared" si="93"/>
        <v>0</v>
      </c>
      <c r="GP120">
        <f t="shared" si="94"/>
        <v>0</v>
      </c>
      <c r="GR120">
        <v>0</v>
      </c>
      <c r="GS120">
        <v>3</v>
      </c>
      <c r="GT120">
        <v>0</v>
      </c>
      <c r="GU120" t="s">
        <v>3</v>
      </c>
      <c r="GV120">
        <f t="shared" si="95"/>
        <v>0</v>
      </c>
      <c r="GW120">
        <v>1</v>
      </c>
      <c r="GX120">
        <f t="shared" si="96"/>
        <v>0</v>
      </c>
      <c r="HA120">
        <v>0</v>
      </c>
      <c r="HB120">
        <v>0</v>
      </c>
      <c r="HC120">
        <f t="shared" si="97"/>
        <v>0</v>
      </c>
      <c r="HE120" t="s">
        <v>3</v>
      </c>
      <c r="HF120" t="s">
        <v>3</v>
      </c>
      <c r="HM120" t="s">
        <v>3</v>
      </c>
      <c r="HN120" t="s">
        <v>3</v>
      </c>
      <c r="HO120" t="s">
        <v>3</v>
      </c>
      <c r="HP120" t="s">
        <v>3</v>
      </c>
      <c r="HQ120" t="s">
        <v>3</v>
      </c>
      <c r="HS120">
        <v>0</v>
      </c>
      <c r="IK120">
        <v>0</v>
      </c>
    </row>
    <row r="121" spans="1:255" x14ac:dyDescent="0.2">
      <c r="A121" s="2">
        <v>17</v>
      </c>
      <c r="B121" s="2">
        <v>1</v>
      </c>
      <c r="C121" s="2">
        <f>ROW(SmtRes!A3)</f>
        <v>3</v>
      </c>
      <c r="D121" s="2">
        <f>ROW(EtalonRes!A241)</f>
        <v>241</v>
      </c>
      <c r="E121" s="2" t="s">
        <v>207</v>
      </c>
      <c r="F121" s="2" t="s">
        <v>208</v>
      </c>
      <c r="G121" s="2" t="s">
        <v>209</v>
      </c>
      <c r="H121" s="2" t="s">
        <v>161</v>
      </c>
      <c r="I121" s="2">
        <f>ROUND((25.5*0.3)/100,9)</f>
        <v>7.6499999999999999E-2</v>
      </c>
      <c r="J121" s="2">
        <v>0</v>
      </c>
      <c r="K121" s="2">
        <f>ROUND((25.5*0.3)/100,9)</f>
        <v>7.6499999999999999E-2</v>
      </c>
      <c r="L121" s="2"/>
      <c r="M121" s="2"/>
      <c r="N121" s="2"/>
      <c r="O121" s="2">
        <f t="shared" si="69"/>
        <v>158.61000000000001</v>
      </c>
      <c r="P121" s="2">
        <f t="shared" si="70"/>
        <v>151.71</v>
      </c>
      <c r="Q121" s="2">
        <f t="shared" ref="Q121:Q128" si="109">(ROUND((ROUND(((ET121)*AV121*I121),2)*BB121),2)+ROUND((ROUND(((AE121-(EU121))*AV121*I121),2)*BS121),2))</f>
        <v>3.39</v>
      </c>
      <c r="R121" s="2">
        <f t="shared" si="71"/>
        <v>0.52</v>
      </c>
      <c r="S121" s="2">
        <f t="shared" si="72"/>
        <v>3.51</v>
      </c>
      <c r="T121" s="2">
        <f t="shared" si="73"/>
        <v>0</v>
      </c>
      <c r="U121" s="2">
        <f t="shared" si="74"/>
        <v>0.33384829499999996</v>
      </c>
      <c r="V121" s="2">
        <f t="shared" si="75"/>
        <v>0</v>
      </c>
      <c r="W121" s="2">
        <f t="shared" si="76"/>
        <v>0</v>
      </c>
      <c r="X121" s="2">
        <f t="shared" si="77"/>
        <v>3.93</v>
      </c>
      <c r="Y121" s="2">
        <f t="shared" si="78"/>
        <v>2.46</v>
      </c>
      <c r="Z121" s="2"/>
      <c r="AA121" s="2">
        <v>56622490</v>
      </c>
      <c r="AB121" s="2">
        <f t="shared" si="79"/>
        <v>1919.13</v>
      </c>
      <c r="AC121" s="2">
        <f t="shared" si="102"/>
        <v>1834.56</v>
      </c>
      <c r="AD121" s="2">
        <f t="shared" ref="AD121:AD128" si="110">ROUND((((ET121)-(EU121))+AE121),6)</f>
        <v>41.55</v>
      </c>
      <c r="AE121" s="2">
        <f t="shared" ref="AE121:AF128" si="111">ROUND((EU121),6)</f>
        <v>6.31</v>
      </c>
      <c r="AF121" s="2">
        <f t="shared" si="111"/>
        <v>43.02</v>
      </c>
      <c r="AG121" s="2">
        <f t="shared" si="80"/>
        <v>0</v>
      </c>
      <c r="AH121" s="2">
        <f t="shared" ref="AH121:AI128" si="112">(EW121)</f>
        <v>4.09</v>
      </c>
      <c r="AI121" s="2">
        <f t="shared" si="112"/>
        <v>0</v>
      </c>
      <c r="AJ121" s="2">
        <f t="shared" si="81"/>
        <v>0</v>
      </c>
      <c r="AK121" s="2">
        <v>1919.13</v>
      </c>
      <c r="AL121" s="2">
        <v>1834.56</v>
      </c>
      <c r="AM121" s="2">
        <v>41.55</v>
      </c>
      <c r="AN121" s="2">
        <v>6.31</v>
      </c>
      <c r="AO121" s="2">
        <v>43.02</v>
      </c>
      <c r="AP121" s="2">
        <v>0</v>
      </c>
      <c r="AQ121" s="2">
        <v>4.09</v>
      </c>
      <c r="AR121" s="2">
        <v>0</v>
      </c>
      <c r="AS121" s="2">
        <v>0</v>
      </c>
      <c r="AT121" s="2">
        <v>112</v>
      </c>
      <c r="AU121" s="2">
        <v>70</v>
      </c>
      <c r="AV121" s="2">
        <v>1.0669999999999999</v>
      </c>
      <c r="AW121" s="2">
        <v>1.081</v>
      </c>
      <c r="AX121" s="2"/>
      <c r="AY121" s="2"/>
      <c r="AZ121" s="2">
        <v>1</v>
      </c>
      <c r="BA121" s="2">
        <v>1</v>
      </c>
      <c r="BB121" s="2">
        <v>1</v>
      </c>
      <c r="BC121" s="2">
        <v>1</v>
      </c>
      <c r="BD121" s="2" t="s">
        <v>3</v>
      </c>
      <c r="BE121" s="2" t="s">
        <v>3</v>
      </c>
      <c r="BF121" s="2" t="s">
        <v>3</v>
      </c>
      <c r="BG121" s="2" t="s">
        <v>3</v>
      </c>
      <c r="BH121" s="2">
        <v>0</v>
      </c>
      <c r="BI121" s="2">
        <v>2</v>
      </c>
      <c r="BJ121" s="2" t="s">
        <v>210</v>
      </c>
      <c r="BK121" s="2"/>
      <c r="BL121" s="2"/>
      <c r="BM121" s="2">
        <v>1517</v>
      </c>
      <c r="BN121" s="2">
        <v>0</v>
      </c>
      <c r="BO121" s="2" t="s">
        <v>3</v>
      </c>
      <c r="BP121" s="2">
        <v>0</v>
      </c>
      <c r="BQ121" s="2">
        <v>40</v>
      </c>
      <c r="BR121" s="2">
        <v>0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 t="s">
        <v>3</v>
      </c>
      <c r="BZ121" s="2">
        <v>112</v>
      </c>
      <c r="CA121" s="2">
        <v>70</v>
      </c>
      <c r="CB121" s="2" t="s">
        <v>3</v>
      </c>
      <c r="CC121" s="2"/>
      <c r="CD121" s="2"/>
      <c r="CE121" s="2">
        <v>30</v>
      </c>
      <c r="CF121" s="2">
        <v>0</v>
      </c>
      <c r="CG121" s="2">
        <v>0</v>
      </c>
      <c r="CH121" s="2"/>
      <c r="CI121" s="2"/>
      <c r="CJ121" s="2"/>
      <c r="CK121" s="2"/>
      <c r="CL121" s="2"/>
      <c r="CM121" s="2">
        <v>0</v>
      </c>
      <c r="CN121" s="2" t="s">
        <v>3</v>
      </c>
      <c r="CO121" s="2">
        <v>0</v>
      </c>
      <c r="CP121" s="2">
        <f t="shared" si="82"/>
        <v>158.60999999999999</v>
      </c>
      <c r="CQ121" s="2">
        <f t="shared" si="83"/>
        <v>1983.16</v>
      </c>
      <c r="CR121" s="2">
        <f t="shared" ref="CR121:CR128" si="113">(ROUND((ROUND(((ET121)*AV121*1),2)*BB121),2)+ROUND((ROUND(((AE121-(EU121))*AV121*1),2)*BS121),2))</f>
        <v>44.33</v>
      </c>
      <c r="CS121" s="2">
        <f t="shared" si="84"/>
        <v>6.73</v>
      </c>
      <c r="CT121" s="2">
        <f t="shared" si="85"/>
        <v>45.9</v>
      </c>
      <c r="CU121" s="2">
        <f t="shared" si="86"/>
        <v>0</v>
      </c>
      <c r="CV121" s="2">
        <f t="shared" si="87"/>
        <v>4.3640299999999996</v>
      </c>
      <c r="CW121" s="2">
        <f t="shared" si="88"/>
        <v>0</v>
      </c>
      <c r="CX121" s="2">
        <f t="shared" si="89"/>
        <v>0</v>
      </c>
      <c r="CY121" s="2">
        <f>((S121*BZ121)/100)</f>
        <v>3.9312</v>
      </c>
      <c r="CZ121" s="2">
        <f>((S121*CA121)/100)</f>
        <v>2.4569999999999999</v>
      </c>
      <c r="DA121" s="2"/>
      <c r="DB121" s="2"/>
      <c r="DC121" s="2" t="s">
        <v>3</v>
      </c>
      <c r="DD121" s="2" t="s">
        <v>3</v>
      </c>
      <c r="DE121" s="2" t="s">
        <v>3</v>
      </c>
      <c r="DF121" s="2" t="s">
        <v>3</v>
      </c>
      <c r="DG121" s="2" t="s">
        <v>3</v>
      </c>
      <c r="DH121" s="2" t="s">
        <v>3</v>
      </c>
      <c r="DI121" s="2" t="s">
        <v>3</v>
      </c>
      <c r="DJ121" s="2" t="s">
        <v>3</v>
      </c>
      <c r="DK121" s="2" t="s">
        <v>3</v>
      </c>
      <c r="DL121" s="2" t="s">
        <v>3</v>
      </c>
      <c r="DM121" s="2" t="s">
        <v>3</v>
      </c>
      <c r="DN121" s="2">
        <v>0</v>
      </c>
      <c r="DO121" s="2">
        <v>0</v>
      </c>
      <c r="DP121" s="2">
        <v>1</v>
      </c>
      <c r="DQ121" s="2">
        <v>1</v>
      </c>
      <c r="DR121" s="2"/>
      <c r="DS121" s="2"/>
      <c r="DT121" s="2"/>
      <c r="DU121" s="2">
        <v>1013</v>
      </c>
      <c r="DV121" s="2" t="s">
        <v>161</v>
      </c>
      <c r="DW121" s="2" t="s">
        <v>161</v>
      </c>
      <c r="DX121" s="2">
        <v>1</v>
      </c>
      <c r="DY121" s="2"/>
      <c r="DZ121" s="2" t="s">
        <v>3</v>
      </c>
      <c r="EA121" s="2" t="s">
        <v>3</v>
      </c>
      <c r="EB121" s="2" t="s">
        <v>3</v>
      </c>
      <c r="EC121" s="2" t="s">
        <v>3</v>
      </c>
      <c r="ED121" s="2"/>
      <c r="EE121" s="2">
        <v>51697556</v>
      </c>
      <c r="EF121" s="2">
        <v>40</v>
      </c>
      <c r="EG121" s="2" t="s">
        <v>165</v>
      </c>
      <c r="EH121" s="2">
        <v>0</v>
      </c>
      <c r="EI121" s="2" t="s">
        <v>3</v>
      </c>
      <c r="EJ121" s="2">
        <v>2</v>
      </c>
      <c r="EK121" s="2">
        <v>1517</v>
      </c>
      <c r="EL121" s="2" t="s">
        <v>204</v>
      </c>
      <c r="EM121" s="2" t="s">
        <v>205</v>
      </c>
      <c r="EN121" s="2"/>
      <c r="EO121" s="2" t="s">
        <v>3</v>
      </c>
      <c r="EP121" s="2"/>
      <c r="EQ121" s="2">
        <v>0</v>
      </c>
      <c r="ER121" s="2">
        <v>1919.13</v>
      </c>
      <c r="ES121" s="2">
        <v>1834.56</v>
      </c>
      <c r="ET121" s="2">
        <v>41.55</v>
      </c>
      <c r="EU121" s="2">
        <v>6.31</v>
      </c>
      <c r="EV121" s="2">
        <v>43.02</v>
      </c>
      <c r="EW121" s="2">
        <v>4.09</v>
      </c>
      <c r="EX121" s="2">
        <v>0</v>
      </c>
      <c r="EY121" s="2">
        <v>0</v>
      </c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>
        <v>0</v>
      </c>
      <c r="FR121" s="2">
        <v>0</v>
      </c>
      <c r="FS121" s="2">
        <v>2</v>
      </c>
      <c r="FT121" s="2"/>
      <c r="FU121" s="2"/>
      <c r="FV121" s="2"/>
      <c r="FW121" s="2"/>
      <c r="FX121" s="2">
        <v>112</v>
      </c>
      <c r="FY121" s="2">
        <v>70</v>
      </c>
      <c r="FZ121" s="2"/>
      <c r="GA121" s="2" t="s">
        <v>3</v>
      </c>
      <c r="GB121" s="2"/>
      <c r="GC121" s="2"/>
      <c r="GD121" s="2">
        <v>0</v>
      </c>
      <c r="GE121" s="2"/>
      <c r="GF121" s="2">
        <v>-1487794811</v>
      </c>
      <c r="GG121" s="2">
        <v>2</v>
      </c>
      <c r="GH121" s="2">
        <v>1</v>
      </c>
      <c r="GI121" s="2">
        <v>-2</v>
      </c>
      <c r="GJ121" s="2">
        <v>0</v>
      </c>
      <c r="GK121" s="2">
        <f>ROUND(R121*(R12)/100,2)</f>
        <v>0.91</v>
      </c>
      <c r="GL121" s="2">
        <f t="shared" si="90"/>
        <v>0</v>
      </c>
      <c r="GM121" s="2">
        <f t="shared" si="91"/>
        <v>165.91</v>
      </c>
      <c r="GN121" s="2">
        <f t="shared" si="92"/>
        <v>0</v>
      </c>
      <c r="GO121" s="2">
        <f t="shared" si="93"/>
        <v>165.91</v>
      </c>
      <c r="GP121" s="2">
        <f t="shared" si="94"/>
        <v>0</v>
      </c>
      <c r="GQ121" s="2"/>
      <c r="GR121" s="2">
        <v>0</v>
      </c>
      <c r="GS121" s="2">
        <v>0</v>
      </c>
      <c r="GT121" s="2">
        <v>0</v>
      </c>
      <c r="GU121" s="2" t="s">
        <v>3</v>
      </c>
      <c r="GV121" s="2">
        <f t="shared" si="95"/>
        <v>0</v>
      </c>
      <c r="GW121" s="2">
        <v>1</v>
      </c>
      <c r="GX121" s="2">
        <f t="shared" si="96"/>
        <v>0</v>
      </c>
      <c r="GY121" s="2"/>
      <c r="GZ121" s="2"/>
      <c r="HA121" s="2">
        <v>0</v>
      </c>
      <c r="HB121" s="2">
        <v>0</v>
      </c>
      <c r="HC121" s="2">
        <f t="shared" si="97"/>
        <v>0</v>
      </c>
      <c r="HD121" s="2"/>
      <c r="HE121" s="2" t="s">
        <v>3</v>
      </c>
      <c r="HF121" s="2" t="s">
        <v>3</v>
      </c>
      <c r="HG121" s="2"/>
      <c r="HH121" s="2"/>
      <c r="HI121" s="2"/>
      <c r="HJ121" s="2"/>
      <c r="HK121" s="2"/>
      <c r="HL121" s="2"/>
      <c r="HM121" s="2" t="s">
        <v>3</v>
      </c>
      <c r="HN121" s="2" t="s">
        <v>3</v>
      </c>
      <c r="HO121" s="2" t="s">
        <v>3</v>
      </c>
      <c r="HP121" s="2" t="s">
        <v>3</v>
      </c>
      <c r="HQ121" s="2" t="s">
        <v>3</v>
      </c>
      <c r="HR121" s="2"/>
      <c r="HS121" s="2">
        <v>0</v>
      </c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>
        <v>0</v>
      </c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x14ac:dyDescent="0.2">
      <c r="A122">
        <v>17</v>
      </c>
      <c r="B122">
        <v>1</v>
      </c>
      <c r="C122">
        <f>ROW(SmtRes!A6)</f>
        <v>6</v>
      </c>
      <c r="D122">
        <f>ROW(EtalonRes!A244)</f>
        <v>244</v>
      </c>
      <c r="E122" t="s">
        <v>207</v>
      </c>
      <c r="F122" t="s">
        <v>208</v>
      </c>
      <c r="G122" t="s">
        <v>209</v>
      </c>
      <c r="H122" t="s">
        <v>161</v>
      </c>
      <c r="I122">
        <f>ROUND((25.5*0.3)/100,9)</f>
        <v>7.6499999999999999E-2</v>
      </c>
      <c r="J122">
        <v>0</v>
      </c>
      <c r="K122">
        <f>ROUND((25.5*0.3)/100,9)</f>
        <v>7.6499999999999999E-2</v>
      </c>
      <c r="O122">
        <f t="shared" si="69"/>
        <v>1563.5</v>
      </c>
      <c r="P122">
        <f t="shared" si="70"/>
        <v>1398.77</v>
      </c>
      <c r="Q122">
        <f t="shared" si="109"/>
        <v>43.6</v>
      </c>
      <c r="R122">
        <f t="shared" si="71"/>
        <v>17.95</v>
      </c>
      <c r="S122">
        <f t="shared" si="72"/>
        <v>121.13</v>
      </c>
      <c r="T122">
        <f t="shared" si="73"/>
        <v>0</v>
      </c>
      <c r="U122">
        <f t="shared" si="74"/>
        <v>0.33384829499999996</v>
      </c>
      <c r="V122">
        <f t="shared" si="75"/>
        <v>0</v>
      </c>
      <c r="W122">
        <f t="shared" si="76"/>
        <v>0</v>
      </c>
      <c r="X122">
        <f t="shared" si="77"/>
        <v>111.44</v>
      </c>
      <c r="Y122">
        <f t="shared" si="78"/>
        <v>52.09</v>
      </c>
      <c r="AA122">
        <v>56610029</v>
      </c>
      <c r="AB122">
        <f t="shared" si="79"/>
        <v>1919.13</v>
      </c>
      <c r="AC122">
        <f t="shared" si="102"/>
        <v>1834.56</v>
      </c>
      <c r="AD122">
        <f t="shared" si="110"/>
        <v>41.55</v>
      </c>
      <c r="AE122">
        <f t="shared" si="111"/>
        <v>6.31</v>
      </c>
      <c r="AF122">
        <f t="shared" si="111"/>
        <v>43.02</v>
      </c>
      <c r="AG122">
        <f t="shared" si="80"/>
        <v>0</v>
      </c>
      <c r="AH122">
        <f t="shared" si="112"/>
        <v>4.09</v>
      </c>
      <c r="AI122">
        <f t="shared" si="112"/>
        <v>0</v>
      </c>
      <c r="AJ122">
        <f t="shared" si="81"/>
        <v>0</v>
      </c>
      <c r="AK122">
        <v>1919.13</v>
      </c>
      <c r="AL122">
        <v>1834.56</v>
      </c>
      <c r="AM122">
        <v>41.55</v>
      </c>
      <c r="AN122">
        <v>6.31</v>
      </c>
      <c r="AO122">
        <v>43.02</v>
      </c>
      <c r="AP122">
        <v>0</v>
      </c>
      <c r="AQ122">
        <v>4.09</v>
      </c>
      <c r="AR122">
        <v>0</v>
      </c>
      <c r="AS122">
        <v>0</v>
      </c>
      <c r="AT122">
        <v>92</v>
      </c>
      <c r="AU122">
        <v>43</v>
      </c>
      <c r="AV122">
        <v>1.0669999999999999</v>
      </c>
      <c r="AW122">
        <v>1.081</v>
      </c>
      <c r="AZ122">
        <v>1</v>
      </c>
      <c r="BA122">
        <v>34.51</v>
      </c>
      <c r="BB122">
        <v>12.86</v>
      </c>
      <c r="BC122">
        <v>9.2200000000000006</v>
      </c>
      <c r="BD122" t="s">
        <v>3</v>
      </c>
      <c r="BE122" t="s">
        <v>3</v>
      </c>
      <c r="BF122" t="s">
        <v>3</v>
      </c>
      <c r="BG122" t="s">
        <v>3</v>
      </c>
      <c r="BH122">
        <v>0</v>
      </c>
      <c r="BI122">
        <v>2</v>
      </c>
      <c r="BJ122" t="s">
        <v>210</v>
      </c>
      <c r="BM122">
        <v>1517</v>
      </c>
      <c r="BN122">
        <v>0</v>
      </c>
      <c r="BO122" t="s">
        <v>208</v>
      </c>
      <c r="BP122">
        <v>1</v>
      </c>
      <c r="BQ122">
        <v>40</v>
      </c>
      <c r="BR122">
        <v>0</v>
      </c>
      <c r="BS122">
        <v>34.51</v>
      </c>
      <c r="BT122">
        <v>1</v>
      </c>
      <c r="BU122">
        <v>1</v>
      </c>
      <c r="BV122">
        <v>1</v>
      </c>
      <c r="BW122">
        <v>1</v>
      </c>
      <c r="BX122">
        <v>1</v>
      </c>
      <c r="BY122" t="s">
        <v>3</v>
      </c>
      <c r="BZ122">
        <v>92</v>
      </c>
      <c r="CA122">
        <v>43</v>
      </c>
      <c r="CB122" t="s">
        <v>3</v>
      </c>
      <c r="CE122">
        <v>30</v>
      </c>
      <c r="CF122">
        <v>0</v>
      </c>
      <c r="CG122">
        <v>0</v>
      </c>
      <c r="CM122">
        <v>0</v>
      </c>
      <c r="CN122" t="s">
        <v>3</v>
      </c>
      <c r="CO122">
        <v>0</v>
      </c>
      <c r="CP122">
        <f t="shared" si="82"/>
        <v>1563.5</v>
      </c>
      <c r="CQ122">
        <f t="shared" si="83"/>
        <v>18284.740000000002</v>
      </c>
      <c r="CR122">
        <f t="shared" si="113"/>
        <v>570.08000000000004</v>
      </c>
      <c r="CS122">
        <f t="shared" si="84"/>
        <v>232.25</v>
      </c>
      <c r="CT122">
        <f t="shared" si="85"/>
        <v>1584.01</v>
      </c>
      <c r="CU122">
        <f t="shared" si="86"/>
        <v>0</v>
      </c>
      <c r="CV122">
        <f t="shared" si="87"/>
        <v>4.3640299999999996</v>
      </c>
      <c r="CW122">
        <f t="shared" si="88"/>
        <v>0</v>
      </c>
      <c r="CX122">
        <f t="shared" si="89"/>
        <v>0</v>
      </c>
      <c r="CY122">
        <f>S122*(BZ122/100)</f>
        <v>111.4396</v>
      </c>
      <c r="CZ122">
        <f>S122*(CA122/100)</f>
        <v>52.085899999999995</v>
      </c>
      <c r="DC122" t="s">
        <v>3</v>
      </c>
      <c r="DD122" t="s">
        <v>3</v>
      </c>
      <c r="DE122" t="s">
        <v>3</v>
      </c>
      <c r="DF122" t="s">
        <v>3</v>
      </c>
      <c r="DG122" t="s">
        <v>3</v>
      </c>
      <c r="DH122" t="s">
        <v>3</v>
      </c>
      <c r="DI122" t="s">
        <v>3</v>
      </c>
      <c r="DJ122" t="s">
        <v>3</v>
      </c>
      <c r="DK122" t="s">
        <v>3</v>
      </c>
      <c r="DL122" t="s">
        <v>3</v>
      </c>
      <c r="DM122" t="s">
        <v>3</v>
      </c>
      <c r="DN122">
        <v>112</v>
      </c>
      <c r="DO122">
        <v>70</v>
      </c>
      <c r="DP122">
        <v>1.0669999999999999</v>
      </c>
      <c r="DQ122">
        <v>1.081</v>
      </c>
      <c r="DU122">
        <v>1013</v>
      </c>
      <c r="DV122" t="s">
        <v>161</v>
      </c>
      <c r="DW122" t="s">
        <v>161</v>
      </c>
      <c r="DX122">
        <v>1</v>
      </c>
      <c r="DZ122" t="s">
        <v>3</v>
      </c>
      <c r="EA122" t="s">
        <v>3</v>
      </c>
      <c r="EB122" t="s">
        <v>3</v>
      </c>
      <c r="EC122" t="s">
        <v>3</v>
      </c>
      <c r="EE122">
        <v>51697556</v>
      </c>
      <c r="EF122">
        <v>40</v>
      </c>
      <c r="EG122" t="s">
        <v>165</v>
      </c>
      <c r="EH122">
        <v>0</v>
      </c>
      <c r="EI122" t="s">
        <v>3</v>
      </c>
      <c r="EJ122">
        <v>2</v>
      </c>
      <c r="EK122">
        <v>1517</v>
      </c>
      <c r="EL122" t="s">
        <v>204</v>
      </c>
      <c r="EM122" t="s">
        <v>205</v>
      </c>
      <c r="EO122" t="s">
        <v>3</v>
      </c>
      <c r="EQ122">
        <v>0</v>
      </c>
      <c r="ER122">
        <v>1919.13</v>
      </c>
      <c r="ES122">
        <v>1834.56</v>
      </c>
      <c r="ET122">
        <v>41.55</v>
      </c>
      <c r="EU122">
        <v>6.31</v>
      </c>
      <c r="EV122">
        <v>43.02</v>
      </c>
      <c r="EW122">
        <v>4.09</v>
      </c>
      <c r="EX122">
        <v>0</v>
      </c>
      <c r="EY122">
        <v>0</v>
      </c>
      <c r="FQ122">
        <v>0</v>
      </c>
      <c r="FR122">
        <v>0</v>
      </c>
      <c r="FS122">
        <v>2</v>
      </c>
      <c r="FX122">
        <v>112</v>
      </c>
      <c r="FY122">
        <v>70</v>
      </c>
      <c r="GA122" t="s">
        <v>3</v>
      </c>
      <c r="GD122">
        <v>0</v>
      </c>
      <c r="GF122">
        <v>-1487794811</v>
      </c>
      <c r="GG122">
        <v>2</v>
      </c>
      <c r="GH122">
        <v>1</v>
      </c>
      <c r="GI122">
        <v>2</v>
      </c>
      <c r="GJ122">
        <v>0</v>
      </c>
      <c r="GK122">
        <f>ROUND(R122*(S12)/100,2)</f>
        <v>28.72</v>
      </c>
      <c r="GL122">
        <f t="shared" si="90"/>
        <v>0</v>
      </c>
      <c r="GM122">
        <f t="shared" si="91"/>
        <v>1755.75</v>
      </c>
      <c r="GN122">
        <f t="shared" si="92"/>
        <v>0</v>
      </c>
      <c r="GO122">
        <f t="shared" si="93"/>
        <v>1755.75</v>
      </c>
      <c r="GP122">
        <f t="shared" si="94"/>
        <v>0</v>
      </c>
      <c r="GR122">
        <v>0</v>
      </c>
      <c r="GS122">
        <v>3</v>
      </c>
      <c r="GT122">
        <v>0</v>
      </c>
      <c r="GU122" t="s">
        <v>3</v>
      </c>
      <c r="GV122">
        <f t="shared" si="95"/>
        <v>0</v>
      </c>
      <c r="GW122">
        <v>1</v>
      </c>
      <c r="GX122">
        <f t="shared" si="96"/>
        <v>0</v>
      </c>
      <c r="HA122">
        <v>0</v>
      </c>
      <c r="HB122">
        <v>0</v>
      </c>
      <c r="HC122">
        <f t="shared" si="97"/>
        <v>0</v>
      </c>
      <c r="HE122" t="s">
        <v>3</v>
      </c>
      <c r="HF122" t="s">
        <v>3</v>
      </c>
      <c r="HM122" t="s">
        <v>3</v>
      </c>
      <c r="HN122" t="s">
        <v>3</v>
      </c>
      <c r="HO122" t="s">
        <v>3</v>
      </c>
      <c r="HP122" t="s">
        <v>3</v>
      </c>
      <c r="HQ122" t="s">
        <v>3</v>
      </c>
      <c r="HS122">
        <v>0</v>
      </c>
      <c r="IK122">
        <v>0</v>
      </c>
    </row>
    <row r="123" spans="1:255" x14ac:dyDescent="0.2">
      <c r="A123" s="2">
        <v>17</v>
      </c>
      <c r="B123" s="2">
        <v>1</v>
      </c>
      <c r="C123" s="2">
        <f>ROW(SmtRes!A9)</f>
        <v>9</v>
      </c>
      <c r="D123" s="2">
        <f>ROW(EtalonRes!A247)</f>
        <v>247</v>
      </c>
      <c r="E123" s="2" t="s">
        <v>211</v>
      </c>
      <c r="F123" s="2" t="s">
        <v>208</v>
      </c>
      <c r="G123" s="2" t="s">
        <v>209</v>
      </c>
      <c r="H123" s="2" t="s">
        <v>161</v>
      </c>
      <c r="I123" s="2">
        <f>ROUND(25.5*0.7/100,9)</f>
        <v>0.17849999999999999</v>
      </c>
      <c r="J123" s="2">
        <v>0</v>
      </c>
      <c r="K123" s="2">
        <f>ROUND(25.5*0.7/100,9)</f>
        <v>0.17849999999999999</v>
      </c>
      <c r="L123" s="2"/>
      <c r="M123" s="2"/>
      <c r="N123" s="2"/>
      <c r="O123" s="2">
        <f t="shared" si="69"/>
        <v>370.09</v>
      </c>
      <c r="P123" s="2">
        <f t="shared" si="70"/>
        <v>353.99</v>
      </c>
      <c r="Q123" s="2">
        <f t="shared" si="109"/>
        <v>7.91</v>
      </c>
      <c r="R123" s="2">
        <f t="shared" si="71"/>
        <v>1.2</v>
      </c>
      <c r="S123" s="2">
        <f t="shared" si="72"/>
        <v>8.19</v>
      </c>
      <c r="T123" s="2">
        <f t="shared" si="73"/>
        <v>0</v>
      </c>
      <c r="U123" s="2">
        <f t="shared" si="74"/>
        <v>0.77897935499999993</v>
      </c>
      <c r="V123" s="2">
        <f t="shared" si="75"/>
        <v>0</v>
      </c>
      <c r="W123" s="2">
        <f t="shared" si="76"/>
        <v>0</v>
      </c>
      <c r="X123" s="2">
        <f t="shared" si="77"/>
        <v>9.17</v>
      </c>
      <c r="Y123" s="2">
        <f t="shared" si="78"/>
        <v>5.73</v>
      </c>
      <c r="Z123" s="2"/>
      <c r="AA123" s="2">
        <v>56622490</v>
      </c>
      <c r="AB123" s="2">
        <f t="shared" si="79"/>
        <v>1919.13</v>
      </c>
      <c r="AC123" s="2">
        <f t="shared" si="102"/>
        <v>1834.56</v>
      </c>
      <c r="AD123" s="2">
        <f t="shared" si="110"/>
        <v>41.55</v>
      </c>
      <c r="AE123" s="2">
        <f t="shared" si="111"/>
        <v>6.31</v>
      </c>
      <c r="AF123" s="2">
        <f t="shared" si="111"/>
        <v>43.02</v>
      </c>
      <c r="AG123" s="2">
        <f t="shared" si="80"/>
        <v>0</v>
      </c>
      <c r="AH123" s="2">
        <f t="shared" si="112"/>
        <v>4.09</v>
      </c>
      <c r="AI123" s="2">
        <f t="shared" si="112"/>
        <v>0</v>
      </c>
      <c r="AJ123" s="2">
        <f t="shared" si="81"/>
        <v>0</v>
      </c>
      <c r="AK123" s="2">
        <v>1919.13</v>
      </c>
      <c r="AL123" s="2">
        <v>1834.56</v>
      </c>
      <c r="AM123" s="2">
        <v>41.55</v>
      </c>
      <c r="AN123" s="2">
        <v>6.31</v>
      </c>
      <c r="AO123" s="2">
        <v>43.02</v>
      </c>
      <c r="AP123" s="2">
        <v>0</v>
      </c>
      <c r="AQ123" s="2">
        <v>4.09</v>
      </c>
      <c r="AR123" s="2">
        <v>0</v>
      </c>
      <c r="AS123" s="2">
        <v>0</v>
      </c>
      <c r="AT123" s="2">
        <v>112</v>
      </c>
      <c r="AU123" s="2">
        <v>70</v>
      </c>
      <c r="AV123" s="2">
        <v>1.0669999999999999</v>
      </c>
      <c r="AW123" s="2">
        <v>1.081</v>
      </c>
      <c r="AX123" s="2"/>
      <c r="AY123" s="2"/>
      <c r="AZ123" s="2">
        <v>1</v>
      </c>
      <c r="BA123" s="2">
        <v>1</v>
      </c>
      <c r="BB123" s="2">
        <v>1</v>
      </c>
      <c r="BC123" s="2">
        <v>1</v>
      </c>
      <c r="BD123" s="2" t="s">
        <v>3</v>
      </c>
      <c r="BE123" s="2" t="s">
        <v>3</v>
      </c>
      <c r="BF123" s="2" t="s">
        <v>3</v>
      </c>
      <c r="BG123" s="2" t="s">
        <v>3</v>
      </c>
      <c r="BH123" s="2">
        <v>0</v>
      </c>
      <c r="BI123" s="2">
        <v>2</v>
      </c>
      <c r="BJ123" s="2" t="s">
        <v>210</v>
      </c>
      <c r="BK123" s="2"/>
      <c r="BL123" s="2"/>
      <c r="BM123" s="2">
        <v>1517</v>
      </c>
      <c r="BN123" s="2">
        <v>0</v>
      </c>
      <c r="BO123" s="2" t="s">
        <v>3</v>
      </c>
      <c r="BP123" s="2">
        <v>0</v>
      </c>
      <c r="BQ123" s="2">
        <v>40</v>
      </c>
      <c r="BR123" s="2">
        <v>0</v>
      </c>
      <c r="BS123" s="2">
        <v>1</v>
      </c>
      <c r="BT123" s="2">
        <v>1</v>
      </c>
      <c r="BU123" s="2">
        <v>1</v>
      </c>
      <c r="BV123" s="2">
        <v>1</v>
      </c>
      <c r="BW123" s="2">
        <v>1</v>
      </c>
      <c r="BX123" s="2">
        <v>1</v>
      </c>
      <c r="BY123" s="2" t="s">
        <v>3</v>
      </c>
      <c r="BZ123" s="2">
        <v>112</v>
      </c>
      <c r="CA123" s="2">
        <v>70</v>
      </c>
      <c r="CB123" s="2" t="s">
        <v>3</v>
      </c>
      <c r="CC123" s="2"/>
      <c r="CD123" s="2"/>
      <c r="CE123" s="2">
        <v>30</v>
      </c>
      <c r="CF123" s="2">
        <v>0</v>
      </c>
      <c r="CG123" s="2">
        <v>0</v>
      </c>
      <c r="CH123" s="2"/>
      <c r="CI123" s="2"/>
      <c r="CJ123" s="2"/>
      <c r="CK123" s="2"/>
      <c r="CL123" s="2"/>
      <c r="CM123" s="2">
        <v>0</v>
      </c>
      <c r="CN123" s="2" t="s">
        <v>3</v>
      </c>
      <c r="CO123" s="2">
        <v>0</v>
      </c>
      <c r="CP123" s="2">
        <f t="shared" si="82"/>
        <v>370.09000000000003</v>
      </c>
      <c r="CQ123" s="2">
        <f t="shared" si="83"/>
        <v>1983.16</v>
      </c>
      <c r="CR123" s="2">
        <f t="shared" si="113"/>
        <v>44.33</v>
      </c>
      <c r="CS123" s="2">
        <f t="shared" si="84"/>
        <v>6.73</v>
      </c>
      <c r="CT123" s="2">
        <f t="shared" si="85"/>
        <v>45.9</v>
      </c>
      <c r="CU123" s="2">
        <f t="shared" si="86"/>
        <v>0</v>
      </c>
      <c r="CV123" s="2">
        <f t="shared" si="87"/>
        <v>4.3640299999999996</v>
      </c>
      <c r="CW123" s="2">
        <f t="shared" si="88"/>
        <v>0</v>
      </c>
      <c r="CX123" s="2">
        <f t="shared" si="89"/>
        <v>0</v>
      </c>
      <c r="CY123" s="2">
        <f>((S123*BZ123)/100)</f>
        <v>9.1728000000000005</v>
      </c>
      <c r="CZ123" s="2">
        <f>((S123*CA123)/100)</f>
        <v>5.7329999999999997</v>
      </c>
      <c r="DA123" s="2"/>
      <c r="DB123" s="2"/>
      <c r="DC123" s="2" t="s">
        <v>3</v>
      </c>
      <c r="DD123" s="2" t="s">
        <v>3</v>
      </c>
      <c r="DE123" s="2" t="s">
        <v>3</v>
      </c>
      <c r="DF123" s="2" t="s">
        <v>3</v>
      </c>
      <c r="DG123" s="2" t="s">
        <v>3</v>
      </c>
      <c r="DH123" s="2" t="s">
        <v>3</v>
      </c>
      <c r="DI123" s="2" t="s">
        <v>3</v>
      </c>
      <c r="DJ123" s="2" t="s">
        <v>3</v>
      </c>
      <c r="DK123" s="2" t="s">
        <v>3</v>
      </c>
      <c r="DL123" s="2" t="s">
        <v>3</v>
      </c>
      <c r="DM123" s="2" t="s">
        <v>3</v>
      </c>
      <c r="DN123" s="2">
        <v>0</v>
      </c>
      <c r="DO123" s="2">
        <v>0</v>
      </c>
      <c r="DP123" s="2">
        <v>1</v>
      </c>
      <c r="DQ123" s="2">
        <v>1</v>
      </c>
      <c r="DR123" s="2"/>
      <c r="DS123" s="2"/>
      <c r="DT123" s="2"/>
      <c r="DU123" s="2">
        <v>1013</v>
      </c>
      <c r="DV123" s="2" t="s">
        <v>161</v>
      </c>
      <c r="DW123" s="2" t="s">
        <v>161</v>
      </c>
      <c r="DX123" s="2">
        <v>1</v>
      </c>
      <c r="DY123" s="2"/>
      <c r="DZ123" s="2" t="s">
        <v>3</v>
      </c>
      <c r="EA123" s="2" t="s">
        <v>3</v>
      </c>
      <c r="EB123" s="2" t="s">
        <v>3</v>
      </c>
      <c r="EC123" s="2" t="s">
        <v>3</v>
      </c>
      <c r="ED123" s="2"/>
      <c r="EE123" s="2">
        <v>51697556</v>
      </c>
      <c r="EF123" s="2">
        <v>40</v>
      </c>
      <c r="EG123" s="2" t="s">
        <v>165</v>
      </c>
      <c r="EH123" s="2">
        <v>0</v>
      </c>
      <c r="EI123" s="2" t="s">
        <v>3</v>
      </c>
      <c r="EJ123" s="2">
        <v>2</v>
      </c>
      <c r="EK123" s="2">
        <v>1517</v>
      </c>
      <c r="EL123" s="2" t="s">
        <v>204</v>
      </c>
      <c r="EM123" s="2" t="s">
        <v>205</v>
      </c>
      <c r="EN123" s="2"/>
      <c r="EO123" s="2" t="s">
        <v>3</v>
      </c>
      <c r="EP123" s="2"/>
      <c r="EQ123" s="2">
        <v>0</v>
      </c>
      <c r="ER123" s="2">
        <v>1919.13</v>
      </c>
      <c r="ES123" s="2">
        <v>1834.56</v>
      </c>
      <c r="ET123" s="2">
        <v>41.55</v>
      </c>
      <c r="EU123" s="2">
        <v>6.31</v>
      </c>
      <c r="EV123" s="2">
        <v>43.02</v>
      </c>
      <c r="EW123" s="2">
        <v>4.09</v>
      </c>
      <c r="EX123" s="2">
        <v>0</v>
      </c>
      <c r="EY123" s="2">
        <v>0</v>
      </c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>
        <v>0</v>
      </c>
      <c r="FR123" s="2">
        <v>0</v>
      </c>
      <c r="FS123" s="2">
        <v>2</v>
      </c>
      <c r="FT123" s="2"/>
      <c r="FU123" s="2"/>
      <c r="FV123" s="2"/>
      <c r="FW123" s="2"/>
      <c r="FX123" s="2">
        <v>112</v>
      </c>
      <c r="FY123" s="2">
        <v>70</v>
      </c>
      <c r="FZ123" s="2"/>
      <c r="GA123" s="2" t="s">
        <v>3</v>
      </c>
      <c r="GB123" s="2"/>
      <c r="GC123" s="2"/>
      <c r="GD123" s="2">
        <v>0</v>
      </c>
      <c r="GE123" s="2"/>
      <c r="GF123" s="2">
        <v>-1487794811</v>
      </c>
      <c r="GG123" s="2">
        <v>2</v>
      </c>
      <c r="GH123" s="2">
        <v>1</v>
      </c>
      <c r="GI123" s="2">
        <v>-2</v>
      </c>
      <c r="GJ123" s="2">
        <v>0</v>
      </c>
      <c r="GK123" s="2">
        <f>ROUND(R123*(R12)/100,2)</f>
        <v>2.1</v>
      </c>
      <c r="GL123" s="2">
        <f t="shared" si="90"/>
        <v>0</v>
      </c>
      <c r="GM123" s="2">
        <f t="shared" si="91"/>
        <v>387.09</v>
      </c>
      <c r="GN123" s="2">
        <f t="shared" si="92"/>
        <v>0</v>
      </c>
      <c r="GO123" s="2">
        <f t="shared" si="93"/>
        <v>387.09</v>
      </c>
      <c r="GP123" s="2">
        <f t="shared" si="94"/>
        <v>0</v>
      </c>
      <c r="GQ123" s="2"/>
      <c r="GR123" s="2">
        <v>0</v>
      </c>
      <c r="GS123" s="2">
        <v>0</v>
      </c>
      <c r="GT123" s="2">
        <v>0</v>
      </c>
      <c r="GU123" s="2" t="s">
        <v>3</v>
      </c>
      <c r="GV123" s="2">
        <f t="shared" si="95"/>
        <v>0</v>
      </c>
      <c r="GW123" s="2">
        <v>1</v>
      </c>
      <c r="GX123" s="2">
        <f t="shared" si="96"/>
        <v>0</v>
      </c>
      <c r="GY123" s="2"/>
      <c r="GZ123" s="2"/>
      <c r="HA123" s="2">
        <v>0</v>
      </c>
      <c r="HB123" s="2">
        <v>0</v>
      </c>
      <c r="HC123" s="2">
        <f t="shared" si="97"/>
        <v>0</v>
      </c>
      <c r="HD123" s="2"/>
      <c r="HE123" s="2" t="s">
        <v>3</v>
      </c>
      <c r="HF123" s="2" t="s">
        <v>3</v>
      </c>
      <c r="HG123" s="2"/>
      <c r="HH123" s="2"/>
      <c r="HI123" s="2"/>
      <c r="HJ123" s="2"/>
      <c r="HK123" s="2"/>
      <c r="HL123" s="2"/>
      <c r="HM123" s="2" t="s">
        <v>3</v>
      </c>
      <c r="HN123" s="2" t="s">
        <v>3</v>
      </c>
      <c r="HO123" s="2" t="s">
        <v>3</v>
      </c>
      <c r="HP123" s="2" t="s">
        <v>3</v>
      </c>
      <c r="HQ123" s="2" t="s">
        <v>3</v>
      </c>
      <c r="HR123" s="2"/>
      <c r="HS123" s="2">
        <v>0</v>
      </c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>
        <v>0</v>
      </c>
      <c r="IL123" s="2"/>
      <c r="IM123" s="2"/>
      <c r="IN123" s="2"/>
      <c r="IO123" s="2"/>
      <c r="IP123" s="2"/>
      <c r="IQ123" s="2"/>
      <c r="IR123" s="2"/>
      <c r="IS123" s="2"/>
      <c r="IT123" s="2"/>
      <c r="IU123" s="2"/>
    </row>
    <row r="124" spans="1:255" x14ac:dyDescent="0.2">
      <c r="A124">
        <v>17</v>
      </c>
      <c r="B124">
        <v>1</v>
      </c>
      <c r="C124">
        <f>ROW(SmtRes!A12)</f>
        <v>12</v>
      </c>
      <c r="D124">
        <f>ROW(EtalonRes!A250)</f>
        <v>250</v>
      </c>
      <c r="E124" t="s">
        <v>211</v>
      </c>
      <c r="F124" t="s">
        <v>208</v>
      </c>
      <c r="G124" t="s">
        <v>209</v>
      </c>
      <c r="H124" t="s">
        <v>161</v>
      </c>
      <c r="I124">
        <f>ROUND(25.5*0.7/100,9)</f>
        <v>0.17849999999999999</v>
      </c>
      <c r="J124">
        <v>0</v>
      </c>
      <c r="K124">
        <f>ROUND(25.5*0.7/100,9)</f>
        <v>0.17849999999999999</v>
      </c>
      <c r="O124">
        <f t="shared" si="69"/>
        <v>3648.15</v>
      </c>
      <c r="P124">
        <f t="shared" si="70"/>
        <v>3263.79</v>
      </c>
      <c r="Q124">
        <f t="shared" si="109"/>
        <v>101.72</v>
      </c>
      <c r="R124">
        <f t="shared" si="71"/>
        <v>41.41</v>
      </c>
      <c r="S124">
        <f t="shared" si="72"/>
        <v>282.64</v>
      </c>
      <c r="T124">
        <f t="shared" si="73"/>
        <v>0</v>
      </c>
      <c r="U124">
        <f t="shared" si="74"/>
        <v>0.77897935499999993</v>
      </c>
      <c r="V124">
        <f t="shared" si="75"/>
        <v>0</v>
      </c>
      <c r="W124">
        <f t="shared" si="76"/>
        <v>0</v>
      </c>
      <c r="X124">
        <f t="shared" si="77"/>
        <v>260.02999999999997</v>
      </c>
      <c r="Y124">
        <f t="shared" si="78"/>
        <v>121.54</v>
      </c>
      <c r="AA124">
        <v>56610029</v>
      </c>
      <c r="AB124">
        <f t="shared" si="79"/>
        <v>1919.13</v>
      </c>
      <c r="AC124">
        <f t="shared" si="102"/>
        <v>1834.56</v>
      </c>
      <c r="AD124">
        <f t="shared" si="110"/>
        <v>41.55</v>
      </c>
      <c r="AE124">
        <f t="shared" si="111"/>
        <v>6.31</v>
      </c>
      <c r="AF124">
        <f t="shared" si="111"/>
        <v>43.02</v>
      </c>
      <c r="AG124">
        <f t="shared" si="80"/>
        <v>0</v>
      </c>
      <c r="AH124">
        <f t="shared" si="112"/>
        <v>4.09</v>
      </c>
      <c r="AI124">
        <f t="shared" si="112"/>
        <v>0</v>
      </c>
      <c r="AJ124">
        <f t="shared" si="81"/>
        <v>0</v>
      </c>
      <c r="AK124">
        <v>1919.13</v>
      </c>
      <c r="AL124">
        <v>1834.56</v>
      </c>
      <c r="AM124">
        <v>41.55</v>
      </c>
      <c r="AN124">
        <v>6.31</v>
      </c>
      <c r="AO124">
        <v>43.02</v>
      </c>
      <c r="AP124">
        <v>0</v>
      </c>
      <c r="AQ124">
        <v>4.09</v>
      </c>
      <c r="AR124">
        <v>0</v>
      </c>
      <c r="AS124">
        <v>0</v>
      </c>
      <c r="AT124">
        <v>92</v>
      </c>
      <c r="AU124">
        <v>43</v>
      </c>
      <c r="AV124">
        <v>1.0669999999999999</v>
      </c>
      <c r="AW124">
        <v>1.081</v>
      </c>
      <c r="AZ124">
        <v>1</v>
      </c>
      <c r="BA124">
        <v>34.51</v>
      </c>
      <c r="BB124">
        <v>12.86</v>
      </c>
      <c r="BC124">
        <v>9.2200000000000006</v>
      </c>
      <c r="BD124" t="s">
        <v>3</v>
      </c>
      <c r="BE124" t="s">
        <v>3</v>
      </c>
      <c r="BF124" t="s">
        <v>3</v>
      </c>
      <c r="BG124" t="s">
        <v>3</v>
      </c>
      <c r="BH124">
        <v>0</v>
      </c>
      <c r="BI124">
        <v>2</v>
      </c>
      <c r="BJ124" t="s">
        <v>210</v>
      </c>
      <c r="BM124">
        <v>1517</v>
      </c>
      <c r="BN124">
        <v>0</v>
      </c>
      <c r="BO124" t="s">
        <v>208</v>
      </c>
      <c r="BP124">
        <v>1</v>
      </c>
      <c r="BQ124">
        <v>40</v>
      </c>
      <c r="BR124">
        <v>0</v>
      </c>
      <c r="BS124">
        <v>34.51</v>
      </c>
      <c r="BT124">
        <v>1</v>
      </c>
      <c r="BU124">
        <v>1</v>
      </c>
      <c r="BV124">
        <v>1</v>
      </c>
      <c r="BW124">
        <v>1</v>
      </c>
      <c r="BX124">
        <v>1</v>
      </c>
      <c r="BY124" t="s">
        <v>3</v>
      </c>
      <c r="BZ124">
        <v>92</v>
      </c>
      <c r="CA124">
        <v>43</v>
      </c>
      <c r="CB124" t="s">
        <v>3</v>
      </c>
      <c r="CE124">
        <v>30</v>
      </c>
      <c r="CF124">
        <v>0</v>
      </c>
      <c r="CG124">
        <v>0</v>
      </c>
      <c r="CM124">
        <v>0</v>
      </c>
      <c r="CN124" t="s">
        <v>3</v>
      </c>
      <c r="CO124">
        <v>0</v>
      </c>
      <c r="CP124">
        <f t="shared" si="82"/>
        <v>3648.1499999999996</v>
      </c>
      <c r="CQ124">
        <f t="shared" si="83"/>
        <v>18284.740000000002</v>
      </c>
      <c r="CR124">
        <f t="shared" si="113"/>
        <v>570.08000000000004</v>
      </c>
      <c r="CS124">
        <f t="shared" si="84"/>
        <v>232.25</v>
      </c>
      <c r="CT124">
        <f t="shared" si="85"/>
        <v>1584.01</v>
      </c>
      <c r="CU124">
        <f t="shared" si="86"/>
        <v>0</v>
      </c>
      <c r="CV124">
        <f t="shared" si="87"/>
        <v>4.3640299999999996</v>
      </c>
      <c r="CW124">
        <f t="shared" si="88"/>
        <v>0</v>
      </c>
      <c r="CX124">
        <f t="shared" si="89"/>
        <v>0</v>
      </c>
      <c r="CY124">
        <f>S124*(BZ124/100)</f>
        <v>260.02879999999999</v>
      </c>
      <c r="CZ124">
        <f>S124*(CA124/100)</f>
        <v>121.53519999999999</v>
      </c>
      <c r="DC124" t="s">
        <v>3</v>
      </c>
      <c r="DD124" t="s">
        <v>3</v>
      </c>
      <c r="DE124" t="s">
        <v>3</v>
      </c>
      <c r="DF124" t="s">
        <v>3</v>
      </c>
      <c r="DG124" t="s">
        <v>3</v>
      </c>
      <c r="DH124" t="s">
        <v>3</v>
      </c>
      <c r="DI124" t="s">
        <v>3</v>
      </c>
      <c r="DJ124" t="s">
        <v>3</v>
      </c>
      <c r="DK124" t="s">
        <v>3</v>
      </c>
      <c r="DL124" t="s">
        <v>3</v>
      </c>
      <c r="DM124" t="s">
        <v>3</v>
      </c>
      <c r="DN124">
        <v>112</v>
      </c>
      <c r="DO124">
        <v>70</v>
      </c>
      <c r="DP124">
        <v>1.0669999999999999</v>
      </c>
      <c r="DQ124">
        <v>1.081</v>
      </c>
      <c r="DU124">
        <v>1013</v>
      </c>
      <c r="DV124" t="s">
        <v>161</v>
      </c>
      <c r="DW124" t="s">
        <v>161</v>
      </c>
      <c r="DX124">
        <v>1</v>
      </c>
      <c r="DZ124" t="s">
        <v>3</v>
      </c>
      <c r="EA124" t="s">
        <v>3</v>
      </c>
      <c r="EB124" t="s">
        <v>3</v>
      </c>
      <c r="EC124" t="s">
        <v>3</v>
      </c>
      <c r="EE124">
        <v>51697556</v>
      </c>
      <c r="EF124">
        <v>40</v>
      </c>
      <c r="EG124" t="s">
        <v>165</v>
      </c>
      <c r="EH124">
        <v>0</v>
      </c>
      <c r="EI124" t="s">
        <v>3</v>
      </c>
      <c r="EJ124">
        <v>2</v>
      </c>
      <c r="EK124">
        <v>1517</v>
      </c>
      <c r="EL124" t="s">
        <v>204</v>
      </c>
      <c r="EM124" t="s">
        <v>205</v>
      </c>
      <c r="EO124" t="s">
        <v>3</v>
      </c>
      <c r="EQ124">
        <v>0</v>
      </c>
      <c r="ER124">
        <v>1919.13</v>
      </c>
      <c r="ES124">
        <v>1834.56</v>
      </c>
      <c r="ET124">
        <v>41.55</v>
      </c>
      <c r="EU124">
        <v>6.31</v>
      </c>
      <c r="EV124">
        <v>43.02</v>
      </c>
      <c r="EW124">
        <v>4.09</v>
      </c>
      <c r="EX124">
        <v>0</v>
      </c>
      <c r="EY124">
        <v>0</v>
      </c>
      <c r="FQ124">
        <v>0</v>
      </c>
      <c r="FR124">
        <v>0</v>
      </c>
      <c r="FS124">
        <v>2</v>
      </c>
      <c r="FX124">
        <v>112</v>
      </c>
      <c r="FY124">
        <v>70</v>
      </c>
      <c r="GA124" t="s">
        <v>3</v>
      </c>
      <c r="GD124">
        <v>0</v>
      </c>
      <c r="GF124">
        <v>-1487794811</v>
      </c>
      <c r="GG124">
        <v>2</v>
      </c>
      <c r="GH124">
        <v>1</v>
      </c>
      <c r="GI124">
        <v>2</v>
      </c>
      <c r="GJ124">
        <v>0</v>
      </c>
      <c r="GK124">
        <f>ROUND(R124*(S12)/100,2)</f>
        <v>66.260000000000005</v>
      </c>
      <c r="GL124">
        <f t="shared" si="90"/>
        <v>0</v>
      </c>
      <c r="GM124">
        <f t="shared" si="91"/>
        <v>4095.98</v>
      </c>
      <c r="GN124">
        <f t="shared" si="92"/>
        <v>0</v>
      </c>
      <c r="GO124">
        <f t="shared" si="93"/>
        <v>4095.98</v>
      </c>
      <c r="GP124">
        <f t="shared" si="94"/>
        <v>0</v>
      </c>
      <c r="GR124">
        <v>0</v>
      </c>
      <c r="GS124">
        <v>3</v>
      </c>
      <c r="GT124">
        <v>0</v>
      </c>
      <c r="GU124" t="s">
        <v>3</v>
      </c>
      <c r="GV124">
        <f t="shared" si="95"/>
        <v>0</v>
      </c>
      <c r="GW124">
        <v>1</v>
      </c>
      <c r="GX124">
        <f t="shared" si="96"/>
        <v>0</v>
      </c>
      <c r="HA124">
        <v>0</v>
      </c>
      <c r="HB124">
        <v>0</v>
      </c>
      <c r="HC124">
        <f t="shared" si="97"/>
        <v>0</v>
      </c>
      <c r="HE124" t="s">
        <v>3</v>
      </c>
      <c r="HF124" t="s">
        <v>3</v>
      </c>
      <c r="HM124" t="s">
        <v>3</v>
      </c>
      <c r="HN124" t="s">
        <v>3</v>
      </c>
      <c r="HO124" t="s">
        <v>3</v>
      </c>
      <c r="HP124" t="s">
        <v>3</v>
      </c>
      <c r="HQ124" t="s">
        <v>3</v>
      </c>
      <c r="HS124">
        <v>0</v>
      </c>
      <c r="IK124">
        <v>0</v>
      </c>
    </row>
    <row r="125" spans="1:255" x14ac:dyDescent="0.2">
      <c r="A125" s="2">
        <v>17</v>
      </c>
      <c r="B125" s="2">
        <v>1</v>
      </c>
      <c r="C125" s="2">
        <f>ROW(SmtRes!A15)</f>
        <v>15</v>
      </c>
      <c r="D125" s="2">
        <f>ROW(EtalonRes!A253)</f>
        <v>253</v>
      </c>
      <c r="E125" s="2" t="s">
        <v>212</v>
      </c>
      <c r="F125" s="2" t="s">
        <v>213</v>
      </c>
      <c r="G125" s="2" t="s">
        <v>214</v>
      </c>
      <c r="H125" s="2" t="s">
        <v>161</v>
      </c>
      <c r="I125" s="2">
        <f>ROUND((22*0.3)/100,9)</f>
        <v>6.6000000000000003E-2</v>
      </c>
      <c r="J125" s="2">
        <v>0</v>
      </c>
      <c r="K125" s="2">
        <f>ROUND((22*0.3)/100,9)</f>
        <v>6.6000000000000003E-2</v>
      </c>
      <c r="L125" s="2"/>
      <c r="M125" s="2"/>
      <c r="N125" s="2"/>
      <c r="O125" s="2">
        <f t="shared" ref="O125:O146" si="114">ROUND(CP125,2)</f>
        <v>179.82</v>
      </c>
      <c r="P125" s="2">
        <f t="shared" ref="P125:P146" si="115">ROUND((ROUND((AC125*AW125*I125),2)*BC125),2)</f>
        <v>174.37</v>
      </c>
      <c r="Q125" s="2">
        <f t="shared" si="109"/>
        <v>2.93</v>
      </c>
      <c r="R125" s="2">
        <f t="shared" ref="R125:R146" si="116">ROUND((ROUND((AE125*AV125*I125),2)*BS125),2)</f>
        <v>0.44</v>
      </c>
      <c r="S125" s="2">
        <f t="shared" ref="S125:S146" si="117">ROUND((ROUND((AF125*AV125*I125),2)*BA125),2)</f>
        <v>2.52</v>
      </c>
      <c r="T125" s="2">
        <f t="shared" ref="T125:T146" si="118">ROUND(CU125*I125,2)</f>
        <v>0</v>
      </c>
      <c r="U125" s="2">
        <f t="shared" ref="U125:U146" si="119">CV125*I125</f>
        <v>0.24013902000000001</v>
      </c>
      <c r="V125" s="2">
        <f t="shared" ref="V125:V146" si="120">CW125*I125</f>
        <v>0</v>
      </c>
      <c r="W125" s="2">
        <f t="shared" ref="W125:W146" si="121">ROUND(CX125*I125,2)</f>
        <v>0</v>
      </c>
      <c r="X125" s="2">
        <f t="shared" ref="X125:X146" si="122">ROUND(CY125,2)</f>
        <v>2.82</v>
      </c>
      <c r="Y125" s="2">
        <f t="shared" ref="Y125:Y146" si="123">ROUND(CZ125,2)</f>
        <v>1.76</v>
      </c>
      <c r="Z125" s="2"/>
      <c r="AA125" s="2">
        <v>56622490</v>
      </c>
      <c r="AB125" s="2">
        <f t="shared" ref="AB125:AB146" si="124">ROUND((AC125+AD125+AF125),6)</f>
        <v>2521.3000000000002</v>
      </c>
      <c r="AC125" s="2">
        <f t="shared" si="102"/>
        <v>2444</v>
      </c>
      <c r="AD125" s="2">
        <f t="shared" si="110"/>
        <v>41.55</v>
      </c>
      <c r="AE125" s="2">
        <f t="shared" si="111"/>
        <v>6.31</v>
      </c>
      <c r="AF125" s="2">
        <f t="shared" si="111"/>
        <v>35.75</v>
      </c>
      <c r="AG125" s="2">
        <f t="shared" ref="AG125:AG146" si="125">ROUND((AP125),6)</f>
        <v>0</v>
      </c>
      <c r="AH125" s="2">
        <f t="shared" si="112"/>
        <v>3.41</v>
      </c>
      <c r="AI125" s="2">
        <f t="shared" si="112"/>
        <v>0</v>
      </c>
      <c r="AJ125" s="2">
        <f t="shared" ref="AJ125:AJ146" si="126">(AS125)</f>
        <v>0</v>
      </c>
      <c r="AK125" s="2">
        <v>2521.3000000000002</v>
      </c>
      <c r="AL125" s="2">
        <v>2444</v>
      </c>
      <c r="AM125" s="2">
        <v>41.55</v>
      </c>
      <c r="AN125" s="2">
        <v>6.31</v>
      </c>
      <c r="AO125" s="2">
        <v>35.75</v>
      </c>
      <c r="AP125" s="2">
        <v>0</v>
      </c>
      <c r="AQ125" s="2">
        <v>3.41</v>
      </c>
      <c r="AR125" s="2">
        <v>0</v>
      </c>
      <c r="AS125" s="2">
        <v>0</v>
      </c>
      <c r="AT125" s="2">
        <v>112</v>
      </c>
      <c r="AU125" s="2">
        <v>70</v>
      </c>
      <c r="AV125" s="2">
        <v>1.0669999999999999</v>
      </c>
      <c r="AW125" s="2">
        <v>1.081</v>
      </c>
      <c r="AX125" s="2"/>
      <c r="AY125" s="2"/>
      <c r="AZ125" s="2">
        <v>1</v>
      </c>
      <c r="BA125" s="2">
        <v>1</v>
      </c>
      <c r="BB125" s="2">
        <v>1</v>
      </c>
      <c r="BC125" s="2">
        <v>1</v>
      </c>
      <c r="BD125" s="2" t="s">
        <v>3</v>
      </c>
      <c r="BE125" s="2" t="s">
        <v>3</v>
      </c>
      <c r="BF125" s="2" t="s">
        <v>3</v>
      </c>
      <c r="BG125" s="2" t="s">
        <v>3</v>
      </c>
      <c r="BH125" s="2">
        <v>0</v>
      </c>
      <c r="BI125" s="2">
        <v>2</v>
      </c>
      <c r="BJ125" s="2" t="s">
        <v>215</v>
      </c>
      <c r="BK125" s="2"/>
      <c r="BL125" s="2"/>
      <c r="BM125" s="2">
        <v>1517</v>
      </c>
      <c r="BN125" s="2">
        <v>0</v>
      </c>
      <c r="BO125" s="2" t="s">
        <v>3</v>
      </c>
      <c r="BP125" s="2">
        <v>0</v>
      </c>
      <c r="BQ125" s="2">
        <v>40</v>
      </c>
      <c r="BR125" s="2">
        <v>0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 t="s">
        <v>3</v>
      </c>
      <c r="BZ125" s="2">
        <v>112</v>
      </c>
      <c r="CA125" s="2">
        <v>70</v>
      </c>
      <c r="CB125" s="2" t="s">
        <v>3</v>
      </c>
      <c r="CC125" s="2"/>
      <c r="CD125" s="2"/>
      <c r="CE125" s="2">
        <v>30</v>
      </c>
      <c r="CF125" s="2">
        <v>0</v>
      </c>
      <c r="CG125" s="2">
        <v>0</v>
      </c>
      <c r="CH125" s="2"/>
      <c r="CI125" s="2"/>
      <c r="CJ125" s="2"/>
      <c r="CK125" s="2"/>
      <c r="CL125" s="2"/>
      <c r="CM125" s="2">
        <v>0</v>
      </c>
      <c r="CN125" s="2" t="s">
        <v>3</v>
      </c>
      <c r="CO125" s="2">
        <v>0</v>
      </c>
      <c r="CP125" s="2">
        <f t="shared" ref="CP125:CP146" si="127">(P125+Q125+S125)</f>
        <v>179.82000000000002</v>
      </c>
      <c r="CQ125" s="2">
        <f t="shared" ref="CQ125:CQ146" si="128">ROUND((ROUND((AC125*AW125*1),2)*BC125),2)</f>
        <v>2641.96</v>
      </c>
      <c r="CR125" s="2">
        <f t="shared" si="113"/>
        <v>44.33</v>
      </c>
      <c r="CS125" s="2">
        <f t="shared" ref="CS125:CS146" si="129">ROUND((ROUND((AE125*AV125*1),2)*BS125),2)</f>
        <v>6.73</v>
      </c>
      <c r="CT125" s="2">
        <f t="shared" ref="CT125:CT146" si="130">ROUND((ROUND((AF125*AV125*1),2)*BA125),2)</f>
        <v>38.15</v>
      </c>
      <c r="CU125" s="2">
        <f t="shared" ref="CU125:CU146" si="131">AG125</f>
        <v>0</v>
      </c>
      <c r="CV125" s="2">
        <f t="shared" ref="CV125:CV146" si="132">(AH125*AV125)</f>
        <v>3.6384699999999999</v>
      </c>
      <c r="CW125" s="2">
        <f t="shared" ref="CW125:CW146" si="133">AI125</f>
        <v>0</v>
      </c>
      <c r="CX125" s="2">
        <f t="shared" ref="CX125:CX146" si="134">AJ125</f>
        <v>0</v>
      </c>
      <c r="CY125" s="2">
        <f>((S125*BZ125)/100)</f>
        <v>2.8224</v>
      </c>
      <c r="CZ125" s="2">
        <f>((S125*CA125)/100)</f>
        <v>1.764</v>
      </c>
      <c r="DA125" s="2"/>
      <c r="DB125" s="2"/>
      <c r="DC125" s="2" t="s">
        <v>3</v>
      </c>
      <c r="DD125" s="2" t="s">
        <v>3</v>
      </c>
      <c r="DE125" s="2" t="s">
        <v>3</v>
      </c>
      <c r="DF125" s="2" t="s">
        <v>3</v>
      </c>
      <c r="DG125" s="2" t="s">
        <v>3</v>
      </c>
      <c r="DH125" s="2" t="s">
        <v>3</v>
      </c>
      <c r="DI125" s="2" t="s">
        <v>3</v>
      </c>
      <c r="DJ125" s="2" t="s">
        <v>3</v>
      </c>
      <c r="DK125" s="2" t="s">
        <v>3</v>
      </c>
      <c r="DL125" s="2" t="s">
        <v>3</v>
      </c>
      <c r="DM125" s="2" t="s">
        <v>3</v>
      </c>
      <c r="DN125" s="2">
        <v>0</v>
      </c>
      <c r="DO125" s="2">
        <v>0</v>
      </c>
      <c r="DP125" s="2">
        <v>1</v>
      </c>
      <c r="DQ125" s="2">
        <v>1</v>
      </c>
      <c r="DR125" s="2"/>
      <c r="DS125" s="2"/>
      <c r="DT125" s="2"/>
      <c r="DU125" s="2">
        <v>1013</v>
      </c>
      <c r="DV125" s="2" t="s">
        <v>161</v>
      </c>
      <c r="DW125" s="2" t="s">
        <v>161</v>
      </c>
      <c r="DX125" s="2">
        <v>1</v>
      </c>
      <c r="DY125" s="2"/>
      <c r="DZ125" s="2" t="s">
        <v>3</v>
      </c>
      <c r="EA125" s="2" t="s">
        <v>3</v>
      </c>
      <c r="EB125" s="2" t="s">
        <v>3</v>
      </c>
      <c r="EC125" s="2" t="s">
        <v>3</v>
      </c>
      <c r="ED125" s="2"/>
      <c r="EE125" s="2">
        <v>51697556</v>
      </c>
      <c r="EF125" s="2">
        <v>40</v>
      </c>
      <c r="EG125" s="2" t="s">
        <v>165</v>
      </c>
      <c r="EH125" s="2">
        <v>0</v>
      </c>
      <c r="EI125" s="2" t="s">
        <v>3</v>
      </c>
      <c r="EJ125" s="2">
        <v>2</v>
      </c>
      <c r="EK125" s="2">
        <v>1517</v>
      </c>
      <c r="EL125" s="2" t="s">
        <v>204</v>
      </c>
      <c r="EM125" s="2" t="s">
        <v>205</v>
      </c>
      <c r="EN125" s="2"/>
      <c r="EO125" s="2" t="s">
        <v>3</v>
      </c>
      <c r="EP125" s="2"/>
      <c r="EQ125" s="2">
        <v>0</v>
      </c>
      <c r="ER125" s="2">
        <v>2521.3000000000002</v>
      </c>
      <c r="ES125" s="2">
        <v>2444</v>
      </c>
      <c r="ET125" s="2">
        <v>41.55</v>
      </c>
      <c r="EU125" s="2">
        <v>6.31</v>
      </c>
      <c r="EV125" s="2">
        <v>35.75</v>
      </c>
      <c r="EW125" s="2">
        <v>3.41</v>
      </c>
      <c r="EX125" s="2">
        <v>0</v>
      </c>
      <c r="EY125" s="2">
        <v>0</v>
      </c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>
        <v>0</v>
      </c>
      <c r="FR125" s="2">
        <v>0</v>
      </c>
      <c r="FS125" s="2">
        <v>2</v>
      </c>
      <c r="FT125" s="2"/>
      <c r="FU125" s="2"/>
      <c r="FV125" s="2"/>
      <c r="FW125" s="2"/>
      <c r="FX125" s="2">
        <v>112</v>
      </c>
      <c r="FY125" s="2">
        <v>70</v>
      </c>
      <c r="FZ125" s="2"/>
      <c r="GA125" s="2" t="s">
        <v>3</v>
      </c>
      <c r="GB125" s="2"/>
      <c r="GC125" s="2"/>
      <c r="GD125" s="2">
        <v>0</v>
      </c>
      <c r="GE125" s="2"/>
      <c r="GF125" s="2">
        <v>1991671471</v>
      </c>
      <c r="GG125" s="2">
        <v>2</v>
      </c>
      <c r="GH125" s="2">
        <v>1</v>
      </c>
      <c r="GI125" s="2">
        <v>-2</v>
      </c>
      <c r="GJ125" s="2">
        <v>0</v>
      </c>
      <c r="GK125" s="2">
        <f>ROUND(R125*(R12)/100,2)</f>
        <v>0.77</v>
      </c>
      <c r="GL125" s="2">
        <f t="shared" ref="GL125:GL146" si="135">ROUND(IF(AND(BH125=3,BI125=3,FS125&lt;&gt;0),P125,0),2)</f>
        <v>0</v>
      </c>
      <c r="GM125" s="2">
        <f t="shared" ref="GM125:GM146" si="136">ROUND(O125+X125+Y125+GK125,2)+GX125</f>
        <v>185.17</v>
      </c>
      <c r="GN125" s="2">
        <f t="shared" ref="GN125:GN146" si="137">IF(OR(BI125=0,BI125=1),GM125-GX125,0)</f>
        <v>0</v>
      </c>
      <c r="GO125" s="2">
        <f t="shared" ref="GO125:GO146" si="138">IF(BI125=2,GM125-GX125,0)</f>
        <v>185.17</v>
      </c>
      <c r="GP125" s="2">
        <f t="shared" ref="GP125:GP146" si="139">IF(BI125=4,GM125-GX125,0)</f>
        <v>0</v>
      </c>
      <c r="GQ125" s="2"/>
      <c r="GR125" s="2">
        <v>0</v>
      </c>
      <c r="GS125" s="2">
        <v>0</v>
      </c>
      <c r="GT125" s="2">
        <v>0</v>
      </c>
      <c r="GU125" s="2" t="s">
        <v>3</v>
      </c>
      <c r="GV125" s="2">
        <f t="shared" ref="GV125:GV146" si="140">ROUND((GT125),6)</f>
        <v>0</v>
      </c>
      <c r="GW125" s="2">
        <v>1</v>
      </c>
      <c r="GX125" s="2">
        <f t="shared" ref="GX125:GX146" si="141">ROUND(HC125*I125,2)</f>
        <v>0</v>
      </c>
      <c r="GY125" s="2"/>
      <c r="GZ125" s="2"/>
      <c r="HA125" s="2">
        <v>0</v>
      </c>
      <c r="HB125" s="2">
        <v>0</v>
      </c>
      <c r="HC125" s="2">
        <f t="shared" ref="HC125:HC146" si="142">GV125*GW125</f>
        <v>0</v>
      </c>
      <c r="HD125" s="2"/>
      <c r="HE125" s="2" t="s">
        <v>3</v>
      </c>
      <c r="HF125" s="2" t="s">
        <v>3</v>
      </c>
      <c r="HG125" s="2"/>
      <c r="HH125" s="2"/>
      <c r="HI125" s="2"/>
      <c r="HJ125" s="2"/>
      <c r="HK125" s="2"/>
      <c r="HL125" s="2"/>
      <c r="HM125" s="2" t="s">
        <v>3</v>
      </c>
      <c r="HN125" s="2" t="s">
        <v>3</v>
      </c>
      <c r="HO125" s="2" t="s">
        <v>3</v>
      </c>
      <c r="HP125" s="2" t="s">
        <v>3</v>
      </c>
      <c r="HQ125" s="2" t="s">
        <v>3</v>
      </c>
      <c r="HR125" s="2"/>
      <c r="HS125" s="2">
        <v>0</v>
      </c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>
        <v>0</v>
      </c>
      <c r="IL125" s="2"/>
      <c r="IM125" s="2"/>
      <c r="IN125" s="2"/>
      <c r="IO125" s="2"/>
      <c r="IP125" s="2"/>
      <c r="IQ125" s="2"/>
      <c r="IR125" s="2"/>
      <c r="IS125" s="2"/>
      <c r="IT125" s="2"/>
      <c r="IU125" s="2"/>
    </row>
    <row r="126" spans="1:255" x14ac:dyDescent="0.2">
      <c r="A126">
        <v>17</v>
      </c>
      <c r="B126">
        <v>1</v>
      </c>
      <c r="C126">
        <f>ROW(SmtRes!A18)</f>
        <v>18</v>
      </c>
      <c r="D126">
        <f>ROW(EtalonRes!A256)</f>
        <v>256</v>
      </c>
      <c r="E126" t="s">
        <v>212</v>
      </c>
      <c r="F126" t="s">
        <v>213</v>
      </c>
      <c r="G126" t="s">
        <v>214</v>
      </c>
      <c r="H126" t="s">
        <v>161</v>
      </c>
      <c r="I126">
        <f>ROUND((22*0.3)/100,9)</f>
        <v>6.6000000000000003E-2</v>
      </c>
      <c r="J126">
        <v>0</v>
      </c>
      <c r="K126">
        <f>ROUND((22*0.3)/100,9)</f>
        <v>6.6000000000000003E-2</v>
      </c>
      <c r="O126">
        <f t="shared" si="114"/>
        <v>1843.94</v>
      </c>
      <c r="P126">
        <f t="shared" si="115"/>
        <v>1719.29</v>
      </c>
      <c r="Q126">
        <f t="shared" si="109"/>
        <v>37.68</v>
      </c>
      <c r="R126">
        <f t="shared" si="116"/>
        <v>15.18</v>
      </c>
      <c r="S126">
        <f t="shared" si="117"/>
        <v>86.97</v>
      </c>
      <c r="T126">
        <f t="shared" si="118"/>
        <v>0</v>
      </c>
      <c r="U126">
        <f t="shared" si="119"/>
        <v>0.24013902000000001</v>
      </c>
      <c r="V126">
        <f t="shared" si="120"/>
        <v>0</v>
      </c>
      <c r="W126">
        <f t="shared" si="121"/>
        <v>0</v>
      </c>
      <c r="X126">
        <f t="shared" si="122"/>
        <v>80.010000000000005</v>
      </c>
      <c r="Y126">
        <f t="shared" si="123"/>
        <v>37.4</v>
      </c>
      <c r="AA126">
        <v>56610029</v>
      </c>
      <c r="AB126">
        <f t="shared" si="124"/>
        <v>2521.3000000000002</v>
      </c>
      <c r="AC126">
        <f t="shared" si="102"/>
        <v>2444</v>
      </c>
      <c r="AD126">
        <f t="shared" si="110"/>
        <v>41.55</v>
      </c>
      <c r="AE126">
        <f t="shared" si="111"/>
        <v>6.31</v>
      </c>
      <c r="AF126">
        <f t="shared" si="111"/>
        <v>35.75</v>
      </c>
      <c r="AG126">
        <f t="shared" si="125"/>
        <v>0</v>
      </c>
      <c r="AH126">
        <f t="shared" si="112"/>
        <v>3.41</v>
      </c>
      <c r="AI126">
        <f t="shared" si="112"/>
        <v>0</v>
      </c>
      <c r="AJ126">
        <f t="shared" si="126"/>
        <v>0</v>
      </c>
      <c r="AK126">
        <v>2521.3000000000002</v>
      </c>
      <c r="AL126">
        <v>2444</v>
      </c>
      <c r="AM126">
        <v>41.55</v>
      </c>
      <c r="AN126">
        <v>6.31</v>
      </c>
      <c r="AO126">
        <v>35.75</v>
      </c>
      <c r="AP126">
        <v>0</v>
      </c>
      <c r="AQ126">
        <v>3.41</v>
      </c>
      <c r="AR126">
        <v>0</v>
      </c>
      <c r="AS126">
        <v>0</v>
      </c>
      <c r="AT126">
        <v>92</v>
      </c>
      <c r="AU126">
        <v>43</v>
      </c>
      <c r="AV126">
        <v>1.0669999999999999</v>
      </c>
      <c r="AW126">
        <v>1.081</v>
      </c>
      <c r="AZ126">
        <v>1</v>
      </c>
      <c r="BA126">
        <v>34.51</v>
      </c>
      <c r="BB126">
        <v>12.86</v>
      </c>
      <c r="BC126">
        <v>9.86</v>
      </c>
      <c r="BD126" t="s">
        <v>3</v>
      </c>
      <c r="BE126" t="s">
        <v>3</v>
      </c>
      <c r="BF126" t="s">
        <v>3</v>
      </c>
      <c r="BG126" t="s">
        <v>3</v>
      </c>
      <c r="BH126">
        <v>0</v>
      </c>
      <c r="BI126">
        <v>2</v>
      </c>
      <c r="BJ126" t="s">
        <v>215</v>
      </c>
      <c r="BM126">
        <v>1517</v>
      </c>
      <c r="BN126">
        <v>0</v>
      </c>
      <c r="BO126" t="s">
        <v>213</v>
      </c>
      <c r="BP126">
        <v>1</v>
      </c>
      <c r="BQ126">
        <v>40</v>
      </c>
      <c r="BR126">
        <v>0</v>
      </c>
      <c r="BS126">
        <v>34.51</v>
      </c>
      <c r="BT126">
        <v>1</v>
      </c>
      <c r="BU126">
        <v>1</v>
      </c>
      <c r="BV126">
        <v>1</v>
      </c>
      <c r="BW126">
        <v>1</v>
      </c>
      <c r="BX126">
        <v>1</v>
      </c>
      <c r="BY126" t="s">
        <v>3</v>
      </c>
      <c r="BZ126">
        <v>92</v>
      </c>
      <c r="CA126">
        <v>43</v>
      </c>
      <c r="CB126" t="s">
        <v>3</v>
      </c>
      <c r="CE126">
        <v>30</v>
      </c>
      <c r="CF126">
        <v>0</v>
      </c>
      <c r="CG126">
        <v>0</v>
      </c>
      <c r="CM126">
        <v>0</v>
      </c>
      <c r="CN126" t="s">
        <v>3</v>
      </c>
      <c r="CO126">
        <v>0</v>
      </c>
      <c r="CP126">
        <f t="shared" si="127"/>
        <v>1843.94</v>
      </c>
      <c r="CQ126">
        <f t="shared" si="128"/>
        <v>26049.73</v>
      </c>
      <c r="CR126">
        <f t="shared" si="113"/>
        <v>570.08000000000004</v>
      </c>
      <c r="CS126">
        <f t="shared" si="129"/>
        <v>232.25</v>
      </c>
      <c r="CT126">
        <f t="shared" si="130"/>
        <v>1316.56</v>
      </c>
      <c r="CU126">
        <f t="shared" si="131"/>
        <v>0</v>
      </c>
      <c r="CV126">
        <f t="shared" si="132"/>
        <v>3.6384699999999999</v>
      </c>
      <c r="CW126">
        <f t="shared" si="133"/>
        <v>0</v>
      </c>
      <c r="CX126">
        <f t="shared" si="134"/>
        <v>0</v>
      </c>
      <c r="CY126">
        <f>S126*(BZ126/100)</f>
        <v>80.0124</v>
      </c>
      <c r="CZ126">
        <f>S126*(CA126/100)</f>
        <v>37.397100000000002</v>
      </c>
      <c r="DC126" t="s">
        <v>3</v>
      </c>
      <c r="DD126" t="s">
        <v>3</v>
      </c>
      <c r="DE126" t="s">
        <v>3</v>
      </c>
      <c r="DF126" t="s">
        <v>3</v>
      </c>
      <c r="DG126" t="s">
        <v>3</v>
      </c>
      <c r="DH126" t="s">
        <v>3</v>
      </c>
      <c r="DI126" t="s">
        <v>3</v>
      </c>
      <c r="DJ126" t="s">
        <v>3</v>
      </c>
      <c r="DK126" t="s">
        <v>3</v>
      </c>
      <c r="DL126" t="s">
        <v>3</v>
      </c>
      <c r="DM126" t="s">
        <v>3</v>
      </c>
      <c r="DN126">
        <v>112</v>
      </c>
      <c r="DO126">
        <v>70</v>
      </c>
      <c r="DP126">
        <v>1.0669999999999999</v>
      </c>
      <c r="DQ126">
        <v>1.081</v>
      </c>
      <c r="DU126">
        <v>1013</v>
      </c>
      <c r="DV126" t="s">
        <v>161</v>
      </c>
      <c r="DW126" t="s">
        <v>161</v>
      </c>
      <c r="DX126">
        <v>1</v>
      </c>
      <c r="DZ126" t="s">
        <v>3</v>
      </c>
      <c r="EA126" t="s">
        <v>3</v>
      </c>
      <c r="EB126" t="s">
        <v>3</v>
      </c>
      <c r="EC126" t="s">
        <v>3</v>
      </c>
      <c r="EE126">
        <v>51697556</v>
      </c>
      <c r="EF126">
        <v>40</v>
      </c>
      <c r="EG126" t="s">
        <v>165</v>
      </c>
      <c r="EH126">
        <v>0</v>
      </c>
      <c r="EI126" t="s">
        <v>3</v>
      </c>
      <c r="EJ126">
        <v>2</v>
      </c>
      <c r="EK126">
        <v>1517</v>
      </c>
      <c r="EL126" t="s">
        <v>204</v>
      </c>
      <c r="EM126" t="s">
        <v>205</v>
      </c>
      <c r="EO126" t="s">
        <v>3</v>
      </c>
      <c r="EQ126">
        <v>0</v>
      </c>
      <c r="ER126">
        <v>2521.3000000000002</v>
      </c>
      <c r="ES126">
        <v>2444</v>
      </c>
      <c r="ET126">
        <v>41.55</v>
      </c>
      <c r="EU126">
        <v>6.31</v>
      </c>
      <c r="EV126">
        <v>35.75</v>
      </c>
      <c r="EW126">
        <v>3.41</v>
      </c>
      <c r="EX126">
        <v>0</v>
      </c>
      <c r="EY126">
        <v>0</v>
      </c>
      <c r="FQ126">
        <v>0</v>
      </c>
      <c r="FR126">
        <v>0</v>
      </c>
      <c r="FS126">
        <v>2</v>
      </c>
      <c r="FX126">
        <v>112</v>
      </c>
      <c r="FY126">
        <v>70</v>
      </c>
      <c r="GA126" t="s">
        <v>3</v>
      </c>
      <c r="GD126">
        <v>0</v>
      </c>
      <c r="GF126">
        <v>1991671471</v>
      </c>
      <c r="GG126">
        <v>2</v>
      </c>
      <c r="GH126">
        <v>1</v>
      </c>
      <c r="GI126">
        <v>2</v>
      </c>
      <c r="GJ126">
        <v>0</v>
      </c>
      <c r="GK126">
        <f>ROUND(R126*(S12)/100,2)</f>
        <v>24.29</v>
      </c>
      <c r="GL126">
        <f t="shared" si="135"/>
        <v>0</v>
      </c>
      <c r="GM126">
        <f t="shared" si="136"/>
        <v>1985.64</v>
      </c>
      <c r="GN126">
        <f t="shared" si="137"/>
        <v>0</v>
      </c>
      <c r="GO126">
        <f t="shared" si="138"/>
        <v>1985.64</v>
      </c>
      <c r="GP126">
        <f t="shared" si="139"/>
        <v>0</v>
      </c>
      <c r="GR126">
        <v>0</v>
      </c>
      <c r="GS126">
        <v>3</v>
      </c>
      <c r="GT126">
        <v>0</v>
      </c>
      <c r="GU126" t="s">
        <v>3</v>
      </c>
      <c r="GV126">
        <f t="shared" si="140"/>
        <v>0</v>
      </c>
      <c r="GW126">
        <v>1</v>
      </c>
      <c r="GX126">
        <f t="shared" si="141"/>
        <v>0</v>
      </c>
      <c r="HA126">
        <v>0</v>
      </c>
      <c r="HB126">
        <v>0</v>
      </c>
      <c r="HC126">
        <f t="shared" si="142"/>
        <v>0</v>
      </c>
      <c r="HE126" t="s">
        <v>3</v>
      </c>
      <c r="HF126" t="s">
        <v>3</v>
      </c>
      <c r="HM126" t="s">
        <v>3</v>
      </c>
      <c r="HN126" t="s">
        <v>3</v>
      </c>
      <c r="HO126" t="s">
        <v>3</v>
      </c>
      <c r="HP126" t="s">
        <v>3</v>
      </c>
      <c r="HQ126" t="s">
        <v>3</v>
      </c>
      <c r="HS126">
        <v>0</v>
      </c>
      <c r="IK126">
        <v>0</v>
      </c>
    </row>
    <row r="127" spans="1:255" x14ac:dyDescent="0.2">
      <c r="A127" s="2">
        <v>17</v>
      </c>
      <c r="B127" s="2">
        <v>1</v>
      </c>
      <c r="C127" s="2">
        <f>ROW(SmtRes!A21)</f>
        <v>21</v>
      </c>
      <c r="D127" s="2">
        <f>ROW(EtalonRes!A259)</f>
        <v>259</v>
      </c>
      <c r="E127" s="2" t="s">
        <v>216</v>
      </c>
      <c r="F127" s="2" t="s">
        <v>213</v>
      </c>
      <c r="G127" s="2" t="s">
        <v>214</v>
      </c>
      <c r="H127" s="2" t="s">
        <v>161</v>
      </c>
      <c r="I127" s="2">
        <f>ROUND((22*0.7)/100,9)</f>
        <v>0.154</v>
      </c>
      <c r="J127" s="2">
        <v>0</v>
      </c>
      <c r="K127" s="2">
        <f>ROUND((22*0.7)/100,9)</f>
        <v>0.154</v>
      </c>
      <c r="L127" s="2"/>
      <c r="M127" s="2"/>
      <c r="N127" s="2"/>
      <c r="O127" s="2">
        <f t="shared" si="114"/>
        <v>419.56</v>
      </c>
      <c r="P127" s="2">
        <f t="shared" si="115"/>
        <v>406.86</v>
      </c>
      <c r="Q127" s="2">
        <f t="shared" si="109"/>
        <v>6.83</v>
      </c>
      <c r="R127" s="2">
        <f t="shared" si="116"/>
        <v>1.04</v>
      </c>
      <c r="S127" s="2">
        <f t="shared" si="117"/>
        <v>5.87</v>
      </c>
      <c r="T127" s="2">
        <f t="shared" si="118"/>
        <v>0</v>
      </c>
      <c r="U127" s="2">
        <f t="shared" si="119"/>
        <v>0.56032437999999996</v>
      </c>
      <c r="V127" s="2">
        <f t="shared" si="120"/>
        <v>0</v>
      </c>
      <c r="W127" s="2">
        <f t="shared" si="121"/>
        <v>0</v>
      </c>
      <c r="X127" s="2">
        <f t="shared" si="122"/>
        <v>6.57</v>
      </c>
      <c r="Y127" s="2">
        <f t="shared" si="123"/>
        <v>4.1100000000000003</v>
      </c>
      <c r="Z127" s="2"/>
      <c r="AA127" s="2">
        <v>56622490</v>
      </c>
      <c r="AB127" s="2">
        <f t="shared" si="124"/>
        <v>2521.3000000000002</v>
      </c>
      <c r="AC127" s="2">
        <f t="shared" si="102"/>
        <v>2444</v>
      </c>
      <c r="AD127" s="2">
        <f t="shared" si="110"/>
        <v>41.55</v>
      </c>
      <c r="AE127" s="2">
        <f t="shared" si="111"/>
        <v>6.31</v>
      </c>
      <c r="AF127" s="2">
        <f t="shared" si="111"/>
        <v>35.75</v>
      </c>
      <c r="AG127" s="2">
        <f t="shared" si="125"/>
        <v>0</v>
      </c>
      <c r="AH127" s="2">
        <f t="shared" si="112"/>
        <v>3.41</v>
      </c>
      <c r="AI127" s="2">
        <f t="shared" si="112"/>
        <v>0</v>
      </c>
      <c r="AJ127" s="2">
        <f t="shared" si="126"/>
        <v>0</v>
      </c>
      <c r="AK127" s="2">
        <v>2521.3000000000002</v>
      </c>
      <c r="AL127" s="2">
        <v>2444</v>
      </c>
      <c r="AM127" s="2">
        <v>41.55</v>
      </c>
      <c r="AN127" s="2">
        <v>6.31</v>
      </c>
      <c r="AO127" s="2">
        <v>35.75</v>
      </c>
      <c r="AP127" s="2">
        <v>0</v>
      </c>
      <c r="AQ127" s="2">
        <v>3.41</v>
      </c>
      <c r="AR127" s="2">
        <v>0</v>
      </c>
      <c r="AS127" s="2">
        <v>0</v>
      </c>
      <c r="AT127" s="2">
        <v>112</v>
      </c>
      <c r="AU127" s="2">
        <v>70</v>
      </c>
      <c r="AV127" s="2">
        <v>1.0669999999999999</v>
      </c>
      <c r="AW127" s="2">
        <v>1.081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0</v>
      </c>
      <c r="BI127" s="2">
        <v>2</v>
      </c>
      <c r="BJ127" s="2" t="s">
        <v>215</v>
      </c>
      <c r="BK127" s="2"/>
      <c r="BL127" s="2"/>
      <c r="BM127" s="2">
        <v>1517</v>
      </c>
      <c r="BN127" s="2">
        <v>0</v>
      </c>
      <c r="BO127" s="2" t="s">
        <v>3</v>
      </c>
      <c r="BP127" s="2">
        <v>0</v>
      </c>
      <c r="BQ127" s="2">
        <v>40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112</v>
      </c>
      <c r="CA127" s="2">
        <v>70</v>
      </c>
      <c r="CB127" s="2" t="s">
        <v>3</v>
      </c>
      <c r="CC127" s="2"/>
      <c r="CD127" s="2"/>
      <c r="CE127" s="2">
        <v>30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3</v>
      </c>
      <c r="CO127" s="2">
        <v>0</v>
      </c>
      <c r="CP127" s="2">
        <f t="shared" si="127"/>
        <v>419.56</v>
      </c>
      <c r="CQ127" s="2">
        <f t="shared" si="128"/>
        <v>2641.96</v>
      </c>
      <c r="CR127" s="2">
        <f t="shared" si="113"/>
        <v>44.33</v>
      </c>
      <c r="CS127" s="2">
        <f t="shared" si="129"/>
        <v>6.73</v>
      </c>
      <c r="CT127" s="2">
        <f t="shared" si="130"/>
        <v>38.15</v>
      </c>
      <c r="CU127" s="2">
        <f t="shared" si="131"/>
        <v>0</v>
      </c>
      <c r="CV127" s="2">
        <f t="shared" si="132"/>
        <v>3.6384699999999999</v>
      </c>
      <c r="CW127" s="2">
        <f t="shared" si="133"/>
        <v>0</v>
      </c>
      <c r="CX127" s="2">
        <f t="shared" si="134"/>
        <v>0</v>
      </c>
      <c r="CY127" s="2">
        <f>((S127*BZ127)/100)</f>
        <v>6.5744000000000007</v>
      </c>
      <c r="CZ127" s="2">
        <f>((S127*CA127)/100)</f>
        <v>4.109</v>
      </c>
      <c r="DA127" s="2"/>
      <c r="DB127" s="2"/>
      <c r="DC127" s="2" t="s">
        <v>3</v>
      </c>
      <c r="DD127" s="2" t="s">
        <v>3</v>
      </c>
      <c r="DE127" s="2" t="s">
        <v>3</v>
      </c>
      <c r="DF127" s="2" t="s">
        <v>3</v>
      </c>
      <c r="DG127" s="2" t="s">
        <v>3</v>
      </c>
      <c r="DH127" s="2" t="s">
        <v>3</v>
      </c>
      <c r="DI127" s="2" t="s">
        <v>3</v>
      </c>
      <c r="DJ127" s="2" t="s">
        <v>3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1013</v>
      </c>
      <c r="DV127" s="2" t="s">
        <v>161</v>
      </c>
      <c r="DW127" s="2" t="s">
        <v>161</v>
      </c>
      <c r="DX127" s="2">
        <v>1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51697556</v>
      </c>
      <c r="EF127" s="2">
        <v>40</v>
      </c>
      <c r="EG127" s="2" t="s">
        <v>165</v>
      </c>
      <c r="EH127" s="2">
        <v>0</v>
      </c>
      <c r="EI127" s="2" t="s">
        <v>3</v>
      </c>
      <c r="EJ127" s="2">
        <v>2</v>
      </c>
      <c r="EK127" s="2">
        <v>1517</v>
      </c>
      <c r="EL127" s="2" t="s">
        <v>204</v>
      </c>
      <c r="EM127" s="2" t="s">
        <v>205</v>
      </c>
      <c r="EN127" s="2"/>
      <c r="EO127" s="2" t="s">
        <v>3</v>
      </c>
      <c r="EP127" s="2"/>
      <c r="EQ127" s="2">
        <v>0</v>
      </c>
      <c r="ER127" s="2">
        <v>2521.3000000000002</v>
      </c>
      <c r="ES127" s="2">
        <v>2444</v>
      </c>
      <c r="ET127" s="2">
        <v>41.55</v>
      </c>
      <c r="EU127" s="2">
        <v>6.31</v>
      </c>
      <c r="EV127" s="2">
        <v>35.75</v>
      </c>
      <c r="EW127" s="2">
        <v>3.41</v>
      </c>
      <c r="EX127" s="2">
        <v>0</v>
      </c>
      <c r="EY127" s="2">
        <v>0</v>
      </c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v>0</v>
      </c>
      <c r="FS127" s="2">
        <v>2</v>
      </c>
      <c r="FT127" s="2"/>
      <c r="FU127" s="2"/>
      <c r="FV127" s="2"/>
      <c r="FW127" s="2"/>
      <c r="FX127" s="2">
        <v>112</v>
      </c>
      <c r="FY127" s="2">
        <v>70</v>
      </c>
      <c r="FZ127" s="2"/>
      <c r="GA127" s="2" t="s">
        <v>3</v>
      </c>
      <c r="GB127" s="2"/>
      <c r="GC127" s="2"/>
      <c r="GD127" s="2">
        <v>0</v>
      </c>
      <c r="GE127" s="2"/>
      <c r="GF127" s="2">
        <v>1991671471</v>
      </c>
      <c r="GG127" s="2">
        <v>2</v>
      </c>
      <c r="GH127" s="2">
        <v>1</v>
      </c>
      <c r="GI127" s="2">
        <v>-2</v>
      </c>
      <c r="GJ127" s="2">
        <v>0</v>
      </c>
      <c r="GK127" s="2">
        <f>ROUND(R127*(R12)/100,2)</f>
        <v>1.82</v>
      </c>
      <c r="GL127" s="2">
        <f t="shared" si="135"/>
        <v>0</v>
      </c>
      <c r="GM127" s="2">
        <f t="shared" si="136"/>
        <v>432.06</v>
      </c>
      <c r="GN127" s="2">
        <f t="shared" si="137"/>
        <v>0</v>
      </c>
      <c r="GO127" s="2">
        <f t="shared" si="138"/>
        <v>432.06</v>
      </c>
      <c r="GP127" s="2">
        <f t="shared" si="139"/>
        <v>0</v>
      </c>
      <c r="GQ127" s="2"/>
      <c r="GR127" s="2">
        <v>0</v>
      </c>
      <c r="GS127" s="2">
        <v>0</v>
      </c>
      <c r="GT127" s="2">
        <v>0</v>
      </c>
      <c r="GU127" s="2" t="s">
        <v>3</v>
      </c>
      <c r="GV127" s="2">
        <f t="shared" si="140"/>
        <v>0</v>
      </c>
      <c r="GW127" s="2">
        <v>1</v>
      </c>
      <c r="GX127" s="2">
        <f t="shared" si="141"/>
        <v>0</v>
      </c>
      <c r="GY127" s="2"/>
      <c r="GZ127" s="2"/>
      <c r="HA127" s="2">
        <v>0</v>
      </c>
      <c r="HB127" s="2">
        <v>0</v>
      </c>
      <c r="HC127" s="2">
        <f t="shared" si="142"/>
        <v>0</v>
      </c>
      <c r="HD127" s="2"/>
      <c r="HE127" s="2" t="s">
        <v>3</v>
      </c>
      <c r="HF127" s="2" t="s">
        <v>3</v>
      </c>
      <c r="HG127" s="2"/>
      <c r="HH127" s="2"/>
      <c r="HI127" s="2"/>
      <c r="HJ127" s="2"/>
      <c r="HK127" s="2"/>
      <c r="HL127" s="2"/>
      <c r="HM127" s="2" t="s">
        <v>3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2">
      <c r="A128">
        <v>17</v>
      </c>
      <c r="B128">
        <v>1</v>
      </c>
      <c r="C128">
        <f>ROW(SmtRes!A24)</f>
        <v>24</v>
      </c>
      <c r="D128">
        <f>ROW(EtalonRes!A262)</f>
        <v>262</v>
      </c>
      <c r="E128" t="s">
        <v>216</v>
      </c>
      <c r="F128" t="s">
        <v>213</v>
      </c>
      <c r="G128" t="s">
        <v>214</v>
      </c>
      <c r="H128" t="s">
        <v>161</v>
      </c>
      <c r="I128">
        <f>ROUND((22*0.7)/100,9)</f>
        <v>0.154</v>
      </c>
      <c r="J128">
        <v>0</v>
      </c>
      <c r="K128">
        <f>ROUND((22*0.7)/100,9)</f>
        <v>0.154</v>
      </c>
      <c r="O128">
        <f t="shared" si="114"/>
        <v>4302.04</v>
      </c>
      <c r="P128">
        <f t="shared" si="115"/>
        <v>4011.64</v>
      </c>
      <c r="Q128">
        <f t="shared" si="109"/>
        <v>87.83</v>
      </c>
      <c r="R128">
        <f t="shared" si="116"/>
        <v>35.89</v>
      </c>
      <c r="S128">
        <f t="shared" si="117"/>
        <v>202.57</v>
      </c>
      <c r="T128">
        <f t="shared" si="118"/>
        <v>0</v>
      </c>
      <c r="U128">
        <f t="shared" si="119"/>
        <v>0.56032437999999996</v>
      </c>
      <c r="V128">
        <f t="shared" si="120"/>
        <v>0</v>
      </c>
      <c r="W128">
        <f t="shared" si="121"/>
        <v>0</v>
      </c>
      <c r="X128">
        <f t="shared" si="122"/>
        <v>186.36</v>
      </c>
      <c r="Y128">
        <f t="shared" si="123"/>
        <v>87.11</v>
      </c>
      <c r="AA128">
        <v>56610029</v>
      </c>
      <c r="AB128">
        <f t="shared" si="124"/>
        <v>2521.3000000000002</v>
      </c>
      <c r="AC128">
        <f t="shared" si="102"/>
        <v>2444</v>
      </c>
      <c r="AD128">
        <f t="shared" si="110"/>
        <v>41.55</v>
      </c>
      <c r="AE128">
        <f t="shared" si="111"/>
        <v>6.31</v>
      </c>
      <c r="AF128">
        <f t="shared" si="111"/>
        <v>35.75</v>
      </c>
      <c r="AG128">
        <f t="shared" si="125"/>
        <v>0</v>
      </c>
      <c r="AH128">
        <f t="shared" si="112"/>
        <v>3.41</v>
      </c>
      <c r="AI128">
        <f t="shared" si="112"/>
        <v>0</v>
      </c>
      <c r="AJ128">
        <f t="shared" si="126"/>
        <v>0</v>
      </c>
      <c r="AK128">
        <v>2521.3000000000002</v>
      </c>
      <c r="AL128">
        <v>2444</v>
      </c>
      <c r="AM128">
        <v>41.55</v>
      </c>
      <c r="AN128">
        <v>6.31</v>
      </c>
      <c r="AO128">
        <v>35.75</v>
      </c>
      <c r="AP128">
        <v>0</v>
      </c>
      <c r="AQ128">
        <v>3.41</v>
      </c>
      <c r="AR128">
        <v>0</v>
      </c>
      <c r="AS128">
        <v>0</v>
      </c>
      <c r="AT128">
        <v>92</v>
      </c>
      <c r="AU128">
        <v>43</v>
      </c>
      <c r="AV128">
        <v>1.0669999999999999</v>
      </c>
      <c r="AW128">
        <v>1.081</v>
      </c>
      <c r="AZ128">
        <v>1</v>
      </c>
      <c r="BA128">
        <v>34.51</v>
      </c>
      <c r="BB128">
        <v>12.86</v>
      </c>
      <c r="BC128">
        <v>9.86</v>
      </c>
      <c r="BD128" t="s">
        <v>3</v>
      </c>
      <c r="BE128" t="s">
        <v>3</v>
      </c>
      <c r="BF128" t="s">
        <v>3</v>
      </c>
      <c r="BG128" t="s">
        <v>3</v>
      </c>
      <c r="BH128">
        <v>0</v>
      </c>
      <c r="BI128">
        <v>2</v>
      </c>
      <c r="BJ128" t="s">
        <v>215</v>
      </c>
      <c r="BM128">
        <v>1517</v>
      </c>
      <c r="BN128">
        <v>0</v>
      </c>
      <c r="BO128" t="s">
        <v>213</v>
      </c>
      <c r="BP128">
        <v>1</v>
      </c>
      <c r="BQ128">
        <v>40</v>
      </c>
      <c r="BR128">
        <v>0</v>
      </c>
      <c r="BS128">
        <v>34.51</v>
      </c>
      <c r="BT128">
        <v>1</v>
      </c>
      <c r="BU128">
        <v>1</v>
      </c>
      <c r="BV128">
        <v>1</v>
      </c>
      <c r="BW128">
        <v>1</v>
      </c>
      <c r="BX128">
        <v>1</v>
      </c>
      <c r="BY128" t="s">
        <v>3</v>
      </c>
      <c r="BZ128">
        <v>92</v>
      </c>
      <c r="CA128">
        <v>43</v>
      </c>
      <c r="CB128" t="s">
        <v>3</v>
      </c>
      <c r="CE128">
        <v>30</v>
      </c>
      <c r="CF128">
        <v>0</v>
      </c>
      <c r="CG128">
        <v>0</v>
      </c>
      <c r="CM128">
        <v>0</v>
      </c>
      <c r="CN128" t="s">
        <v>3</v>
      </c>
      <c r="CO128">
        <v>0</v>
      </c>
      <c r="CP128">
        <f t="shared" si="127"/>
        <v>4302.04</v>
      </c>
      <c r="CQ128">
        <f t="shared" si="128"/>
        <v>26049.73</v>
      </c>
      <c r="CR128">
        <f t="shared" si="113"/>
        <v>570.08000000000004</v>
      </c>
      <c r="CS128">
        <f t="shared" si="129"/>
        <v>232.25</v>
      </c>
      <c r="CT128">
        <f t="shared" si="130"/>
        <v>1316.56</v>
      </c>
      <c r="CU128">
        <f t="shared" si="131"/>
        <v>0</v>
      </c>
      <c r="CV128">
        <f t="shared" si="132"/>
        <v>3.6384699999999999</v>
      </c>
      <c r="CW128">
        <f t="shared" si="133"/>
        <v>0</v>
      </c>
      <c r="CX128">
        <f t="shared" si="134"/>
        <v>0</v>
      </c>
      <c r="CY128">
        <f>S128*(BZ128/100)</f>
        <v>186.36439999999999</v>
      </c>
      <c r="CZ128">
        <f>S128*(CA128/100)</f>
        <v>87.105099999999993</v>
      </c>
      <c r="DC128" t="s">
        <v>3</v>
      </c>
      <c r="DD128" t="s">
        <v>3</v>
      </c>
      <c r="DE128" t="s">
        <v>3</v>
      </c>
      <c r="DF128" t="s">
        <v>3</v>
      </c>
      <c r="DG128" t="s">
        <v>3</v>
      </c>
      <c r="DH128" t="s">
        <v>3</v>
      </c>
      <c r="DI128" t="s">
        <v>3</v>
      </c>
      <c r="DJ128" t="s">
        <v>3</v>
      </c>
      <c r="DK128" t="s">
        <v>3</v>
      </c>
      <c r="DL128" t="s">
        <v>3</v>
      </c>
      <c r="DM128" t="s">
        <v>3</v>
      </c>
      <c r="DN128">
        <v>112</v>
      </c>
      <c r="DO128">
        <v>70</v>
      </c>
      <c r="DP128">
        <v>1.0669999999999999</v>
      </c>
      <c r="DQ128">
        <v>1.081</v>
      </c>
      <c r="DU128">
        <v>1013</v>
      </c>
      <c r="DV128" t="s">
        <v>161</v>
      </c>
      <c r="DW128" t="s">
        <v>161</v>
      </c>
      <c r="DX128">
        <v>1</v>
      </c>
      <c r="DZ128" t="s">
        <v>3</v>
      </c>
      <c r="EA128" t="s">
        <v>3</v>
      </c>
      <c r="EB128" t="s">
        <v>3</v>
      </c>
      <c r="EC128" t="s">
        <v>3</v>
      </c>
      <c r="EE128">
        <v>51697556</v>
      </c>
      <c r="EF128">
        <v>40</v>
      </c>
      <c r="EG128" t="s">
        <v>165</v>
      </c>
      <c r="EH128">
        <v>0</v>
      </c>
      <c r="EI128" t="s">
        <v>3</v>
      </c>
      <c r="EJ128">
        <v>2</v>
      </c>
      <c r="EK128">
        <v>1517</v>
      </c>
      <c r="EL128" t="s">
        <v>204</v>
      </c>
      <c r="EM128" t="s">
        <v>205</v>
      </c>
      <c r="EO128" t="s">
        <v>3</v>
      </c>
      <c r="EQ128">
        <v>0</v>
      </c>
      <c r="ER128">
        <v>2521.3000000000002</v>
      </c>
      <c r="ES128">
        <v>2444</v>
      </c>
      <c r="ET128">
        <v>41.55</v>
      </c>
      <c r="EU128">
        <v>6.31</v>
      </c>
      <c r="EV128">
        <v>35.75</v>
      </c>
      <c r="EW128">
        <v>3.41</v>
      </c>
      <c r="EX128">
        <v>0</v>
      </c>
      <c r="EY128">
        <v>0</v>
      </c>
      <c r="FQ128">
        <v>0</v>
      </c>
      <c r="FR128">
        <v>0</v>
      </c>
      <c r="FS128">
        <v>2</v>
      </c>
      <c r="FX128">
        <v>112</v>
      </c>
      <c r="FY128">
        <v>70</v>
      </c>
      <c r="GA128" t="s">
        <v>3</v>
      </c>
      <c r="GD128">
        <v>0</v>
      </c>
      <c r="GF128">
        <v>1991671471</v>
      </c>
      <c r="GG128">
        <v>2</v>
      </c>
      <c r="GH128">
        <v>1</v>
      </c>
      <c r="GI128">
        <v>2</v>
      </c>
      <c r="GJ128">
        <v>0</v>
      </c>
      <c r="GK128">
        <f>ROUND(R128*(S12)/100,2)</f>
        <v>57.42</v>
      </c>
      <c r="GL128">
        <f t="shared" si="135"/>
        <v>0</v>
      </c>
      <c r="GM128">
        <f t="shared" si="136"/>
        <v>4632.93</v>
      </c>
      <c r="GN128">
        <f t="shared" si="137"/>
        <v>0</v>
      </c>
      <c r="GO128">
        <f t="shared" si="138"/>
        <v>4632.93</v>
      </c>
      <c r="GP128">
        <f t="shared" si="139"/>
        <v>0</v>
      </c>
      <c r="GR128">
        <v>0</v>
      </c>
      <c r="GS128">
        <v>3</v>
      </c>
      <c r="GT128">
        <v>0</v>
      </c>
      <c r="GU128" t="s">
        <v>3</v>
      </c>
      <c r="GV128">
        <f t="shared" si="140"/>
        <v>0</v>
      </c>
      <c r="GW128">
        <v>1</v>
      </c>
      <c r="GX128">
        <f t="shared" si="141"/>
        <v>0</v>
      </c>
      <c r="HA128">
        <v>0</v>
      </c>
      <c r="HB128">
        <v>0</v>
      </c>
      <c r="HC128">
        <f t="shared" si="142"/>
        <v>0</v>
      </c>
      <c r="HE128" t="s">
        <v>3</v>
      </c>
      <c r="HF128" t="s">
        <v>3</v>
      </c>
      <c r="HM128" t="s">
        <v>3</v>
      </c>
      <c r="HN128" t="s">
        <v>3</v>
      </c>
      <c r="HO128" t="s">
        <v>3</v>
      </c>
      <c r="HP128" t="s">
        <v>3</v>
      </c>
      <c r="HQ128" t="s">
        <v>3</v>
      </c>
      <c r="HS128">
        <v>0</v>
      </c>
      <c r="IK128">
        <v>0</v>
      </c>
    </row>
    <row r="129" spans="1:255" x14ac:dyDescent="0.2">
      <c r="A129" s="2">
        <v>17</v>
      </c>
      <c r="B129" s="2">
        <v>1</v>
      </c>
      <c r="C129" s="2"/>
      <c r="D129" s="2">
        <f>ROW(EtalonRes!A266)</f>
        <v>266</v>
      </c>
      <c r="E129" s="2" t="s">
        <v>217</v>
      </c>
      <c r="F129" s="2" t="s">
        <v>218</v>
      </c>
      <c r="G129" s="2" t="s">
        <v>219</v>
      </c>
      <c r="H129" s="2" t="s">
        <v>220</v>
      </c>
      <c r="I129" s="2">
        <v>0</v>
      </c>
      <c r="J129" s="2">
        <v>0</v>
      </c>
      <c r="K129" s="2">
        <v>0</v>
      </c>
      <c r="L129" s="2"/>
      <c r="M129" s="2"/>
      <c r="N129" s="2"/>
      <c r="O129" s="2">
        <f t="shared" si="114"/>
        <v>0</v>
      </c>
      <c r="P129" s="2">
        <f t="shared" si="115"/>
        <v>0</v>
      </c>
      <c r="Q129" s="2">
        <f t="shared" ref="Q129:Q146" si="143">(ROUND((ROUND((((ET129*1.05))*AV129*I129),2)*BB129),2)+ROUND((ROUND(((AE129-((EU129*1.05)))*AV129*I129),2)*BS129),2))</f>
        <v>0</v>
      </c>
      <c r="R129" s="2">
        <f t="shared" si="116"/>
        <v>0</v>
      </c>
      <c r="S129" s="2">
        <f t="shared" si="117"/>
        <v>0</v>
      </c>
      <c r="T129" s="2">
        <f t="shared" si="118"/>
        <v>0</v>
      </c>
      <c r="U129" s="2">
        <f t="shared" si="119"/>
        <v>0</v>
      </c>
      <c r="V129" s="2">
        <f t="shared" si="120"/>
        <v>0</v>
      </c>
      <c r="W129" s="2">
        <f t="shared" si="121"/>
        <v>0</v>
      </c>
      <c r="X129" s="2">
        <f t="shared" si="122"/>
        <v>0</v>
      </c>
      <c r="Y129" s="2">
        <f t="shared" si="123"/>
        <v>0</v>
      </c>
      <c r="Z129" s="2"/>
      <c r="AA129" s="2">
        <v>56622490</v>
      </c>
      <c r="AB129" s="2">
        <f t="shared" si="124"/>
        <v>56.545000000000002</v>
      </c>
      <c r="AC129" s="2">
        <f t="shared" si="102"/>
        <v>2.4700000000000002</v>
      </c>
      <c r="AD129" s="2">
        <f t="shared" ref="AD129:AD146" si="144">ROUND(((((ET129*1.05))-((EU129*1.05)))+AE129),6)</f>
        <v>2.1000000000000001E-2</v>
      </c>
      <c r="AE129" s="2">
        <f t="shared" ref="AE129:AE146" si="145">ROUND(((EU129*1.05)),6)</f>
        <v>0</v>
      </c>
      <c r="AF129" s="2">
        <f t="shared" ref="AF129:AF146" si="146">ROUND(((EV129*1.05)),6)</f>
        <v>54.054000000000002</v>
      </c>
      <c r="AG129" s="2">
        <f t="shared" si="125"/>
        <v>0</v>
      </c>
      <c r="AH129" s="2">
        <f t="shared" ref="AH129:AH146" si="147">((EW129*1.05))</f>
        <v>3.7170000000000001</v>
      </c>
      <c r="AI129" s="2">
        <f t="shared" ref="AI129:AI146" si="148">((EX129*1.05))</f>
        <v>0</v>
      </c>
      <c r="AJ129" s="2">
        <f t="shared" si="126"/>
        <v>0</v>
      </c>
      <c r="AK129" s="2">
        <v>53.97</v>
      </c>
      <c r="AL129" s="2">
        <v>2.4700000000000002</v>
      </c>
      <c r="AM129" s="2">
        <v>0.02</v>
      </c>
      <c r="AN129" s="2">
        <v>0</v>
      </c>
      <c r="AO129" s="2">
        <v>51.48</v>
      </c>
      <c r="AP129" s="2">
        <v>0</v>
      </c>
      <c r="AQ129" s="2">
        <v>3.54</v>
      </c>
      <c r="AR129" s="2">
        <v>0</v>
      </c>
      <c r="AS129" s="2">
        <v>0</v>
      </c>
      <c r="AT129" s="2">
        <v>112</v>
      </c>
      <c r="AU129" s="2">
        <v>70</v>
      </c>
      <c r="AV129" s="2">
        <v>1.0469999999999999</v>
      </c>
      <c r="AW129" s="2">
        <v>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0</v>
      </c>
      <c r="BI129" s="2">
        <v>2</v>
      </c>
      <c r="BJ129" s="2" t="s">
        <v>221</v>
      </c>
      <c r="BK129" s="2"/>
      <c r="BL129" s="2"/>
      <c r="BM129" s="2">
        <v>2135</v>
      </c>
      <c r="BN129" s="2">
        <v>0</v>
      </c>
      <c r="BO129" s="2" t="s">
        <v>3</v>
      </c>
      <c r="BP129" s="2">
        <v>0</v>
      </c>
      <c r="BQ129" s="2">
        <v>40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112</v>
      </c>
      <c r="CA129" s="2">
        <v>70</v>
      </c>
      <c r="CB129" s="2" t="s">
        <v>3</v>
      </c>
      <c r="CC129" s="2"/>
      <c r="CD129" s="2"/>
      <c r="CE129" s="2">
        <v>30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708</v>
      </c>
      <c r="CO129" s="2">
        <v>0</v>
      </c>
      <c r="CP129" s="2">
        <f t="shared" si="127"/>
        <v>0</v>
      </c>
      <c r="CQ129" s="2">
        <f t="shared" si="128"/>
        <v>2.4700000000000002</v>
      </c>
      <c r="CR129" s="2">
        <f t="shared" ref="CR129:CR146" si="149">(ROUND((ROUND((((ET129*1.05))*AV129*1),2)*BB129),2)+ROUND((ROUND(((AE129-((EU129*1.05)))*AV129*1),2)*BS129),2))</f>
        <v>0.02</v>
      </c>
      <c r="CS129" s="2">
        <f t="shared" si="129"/>
        <v>0</v>
      </c>
      <c r="CT129" s="2">
        <f t="shared" si="130"/>
        <v>56.59</v>
      </c>
      <c r="CU129" s="2">
        <f t="shared" si="131"/>
        <v>0</v>
      </c>
      <c r="CV129" s="2">
        <f t="shared" si="132"/>
        <v>3.891699</v>
      </c>
      <c r="CW129" s="2">
        <f t="shared" si="133"/>
        <v>0</v>
      </c>
      <c r="CX129" s="2">
        <f t="shared" si="134"/>
        <v>0</v>
      </c>
      <c r="CY129" s="2">
        <f>((S129*BZ129)/100)</f>
        <v>0</v>
      </c>
      <c r="CZ129" s="2">
        <f>((S129*CA129)/100)</f>
        <v>0</v>
      </c>
      <c r="DA129" s="2"/>
      <c r="DB129" s="2">
        <v>65</v>
      </c>
      <c r="DC129" s="2" t="s">
        <v>3</v>
      </c>
      <c r="DD129" s="2" t="s">
        <v>3</v>
      </c>
      <c r="DE129" s="2" t="s">
        <v>22</v>
      </c>
      <c r="DF129" s="2" t="s">
        <v>22</v>
      </c>
      <c r="DG129" s="2" t="s">
        <v>22</v>
      </c>
      <c r="DH129" s="2" t="s">
        <v>3</v>
      </c>
      <c r="DI129" s="2" t="s">
        <v>22</v>
      </c>
      <c r="DJ129" s="2" t="s">
        <v>22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1013</v>
      </c>
      <c r="DV129" s="2" t="s">
        <v>220</v>
      </c>
      <c r="DW129" s="2" t="s">
        <v>220</v>
      </c>
      <c r="DX129" s="2">
        <v>1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51698180</v>
      </c>
      <c r="EF129" s="2">
        <v>40</v>
      </c>
      <c r="EG129" s="2" t="s">
        <v>165</v>
      </c>
      <c r="EH129" s="2">
        <v>0</v>
      </c>
      <c r="EI129" s="2" t="s">
        <v>3</v>
      </c>
      <c r="EJ129" s="2">
        <v>2</v>
      </c>
      <c r="EK129" s="2">
        <v>2135</v>
      </c>
      <c r="EL129" s="2" t="s">
        <v>222</v>
      </c>
      <c r="EM129" s="2" t="s">
        <v>223</v>
      </c>
      <c r="EN129" s="2"/>
      <c r="EO129" s="2" t="s">
        <v>26</v>
      </c>
      <c r="EP129" s="2"/>
      <c r="EQ129" s="2">
        <v>131072</v>
      </c>
      <c r="ER129" s="2">
        <v>53.97</v>
      </c>
      <c r="ES129" s="2">
        <v>2.4700000000000002</v>
      </c>
      <c r="ET129" s="2">
        <v>0.02</v>
      </c>
      <c r="EU129" s="2">
        <v>0</v>
      </c>
      <c r="EV129" s="2">
        <v>51.48</v>
      </c>
      <c r="EW129" s="2">
        <v>3.54</v>
      </c>
      <c r="EX129" s="2">
        <v>0</v>
      </c>
      <c r="EY129" s="2">
        <v>0</v>
      </c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v>0</v>
      </c>
      <c r="FS129" s="2">
        <v>0</v>
      </c>
      <c r="FT129" s="2"/>
      <c r="FU129" s="2"/>
      <c r="FV129" s="2"/>
      <c r="FW129" s="2"/>
      <c r="FX129" s="2">
        <v>112</v>
      </c>
      <c r="FY129" s="2">
        <v>70</v>
      </c>
      <c r="FZ129" s="2"/>
      <c r="GA129" s="2" t="s">
        <v>3</v>
      </c>
      <c r="GB129" s="2"/>
      <c r="GC129" s="2"/>
      <c r="GD129" s="2">
        <v>0</v>
      </c>
      <c r="GE129" s="2"/>
      <c r="GF129" s="2">
        <v>585218542</v>
      </c>
      <c r="GG129" s="2">
        <v>2</v>
      </c>
      <c r="GH129" s="2">
        <v>1</v>
      </c>
      <c r="GI129" s="2">
        <v>-2</v>
      </c>
      <c r="GJ129" s="2">
        <v>0</v>
      </c>
      <c r="GK129" s="2">
        <f>ROUND(R129*(R12)/100,2)</f>
        <v>0</v>
      </c>
      <c r="GL129" s="2">
        <f t="shared" si="135"/>
        <v>0</v>
      </c>
      <c r="GM129" s="2">
        <f t="shared" si="136"/>
        <v>0</v>
      </c>
      <c r="GN129" s="2">
        <f t="shared" si="137"/>
        <v>0</v>
      </c>
      <c r="GO129" s="2">
        <f t="shared" si="138"/>
        <v>0</v>
      </c>
      <c r="GP129" s="2">
        <f t="shared" si="139"/>
        <v>0</v>
      </c>
      <c r="GQ129" s="2"/>
      <c r="GR129" s="2">
        <v>0</v>
      </c>
      <c r="GS129" s="2">
        <v>0</v>
      </c>
      <c r="GT129" s="2">
        <v>0</v>
      </c>
      <c r="GU129" s="2" t="s">
        <v>3</v>
      </c>
      <c r="GV129" s="2">
        <f t="shared" si="140"/>
        <v>0</v>
      </c>
      <c r="GW129" s="2">
        <v>1</v>
      </c>
      <c r="GX129" s="2">
        <f t="shared" si="141"/>
        <v>0</v>
      </c>
      <c r="GY129" s="2"/>
      <c r="GZ129" s="2"/>
      <c r="HA129" s="2">
        <v>0</v>
      </c>
      <c r="HB129" s="2">
        <v>0</v>
      </c>
      <c r="HC129" s="2">
        <f t="shared" si="142"/>
        <v>0</v>
      </c>
      <c r="HD129" s="2"/>
      <c r="HE129" s="2" t="s">
        <v>3</v>
      </c>
      <c r="HF129" s="2" t="s">
        <v>3</v>
      </c>
      <c r="HG129" s="2"/>
      <c r="HH129" s="2"/>
      <c r="HI129" s="2"/>
      <c r="HJ129" s="2"/>
      <c r="HK129" s="2"/>
      <c r="HL129" s="2"/>
      <c r="HM129" s="2" t="s">
        <v>3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">
      <c r="A130">
        <v>17</v>
      </c>
      <c r="B130">
        <v>1</v>
      </c>
      <c r="D130">
        <f>ROW(EtalonRes!A270)</f>
        <v>270</v>
      </c>
      <c r="E130" t="s">
        <v>217</v>
      </c>
      <c r="F130" t="s">
        <v>218</v>
      </c>
      <c r="G130" t="s">
        <v>219</v>
      </c>
      <c r="H130" t="s">
        <v>220</v>
      </c>
      <c r="I130">
        <v>0</v>
      </c>
      <c r="J130">
        <v>0</v>
      </c>
      <c r="K130">
        <v>0</v>
      </c>
      <c r="O130">
        <f t="shared" si="114"/>
        <v>0</v>
      </c>
      <c r="P130">
        <f t="shared" si="115"/>
        <v>0</v>
      </c>
      <c r="Q130">
        <f t="shared" si="143"/>
        <v>0</v>
      </c>
      <c r="R130">
        <f t="shared" si="116"/>
        <v>0</v>
      </c>
      <c r="S130">
        <f t="shared" si="117"/>
        <v>0</v>
      </c>
      <c r="T130">
        <f t="shared" si="118"/>
        <v>0</v>
      </c>
      <c r="U130">
        <f t="shared" si="119"/>
        <v>0</v>
      </c>
      <c r="V130">
        <f t="shared" si="120"/>
        <v>0</v>
      </c>
      <c r="W130">
        <f t="shared" si="121"/>
        <v>0</v>
      </c>
      <c r="X130">
        <f t="shared" si="122"/>
        <v>0</v>
      </c>
      <c r="Y130">
        <f t="shared" si="123"/>
        <v>0</v>
      </c>
      <c r="AA130">
        <v>56610029</v>
      </c>
      <c r="AB130">
        <f t="shared" si="124"/>
        <v>56.545000000000002</v>
      </c>
      <c r="AC130">
        <f t="shared" si="102"/>
        <v>2.4700000000000002</v>
      </c>
      <c r="AD130">
        <f t="shared" si="144"/>
        <v>2.1000000000000001E-2</v>
      </c>
      <c r="AE130">
        <f t="shared" si="145"/>
        <v>0</v>
      </c>
      <c r="AF130">
        <f t="shared" si="146"/>
        <v>54.054000000000002</v>
      </c>
      <c r="AG130">
        <f t="shared" si="125"/>
        <v>0</v>
      </c>
      <c r="AH130">
        <f t="shared" si="147"/>
        <v>3.7170000000000001</v>
      </c>
      <c r="AI130">
        <f t="shared" si="148"/>
        <v>0</v>
      </c>
      <c r="AJ130">
        <f t="shared" si="126"/>
        <v>0</v>
      </c>
      <c r="AK130">
        <v>53.97</v>
      </c>
      <c r="AL130">
        <v>2.4700000000000002</v>
      </c>
      <c r="AM130">
        <v>0.02</v>
      </c>
      <c r="AN130">
        <v>0</v>
      </c>
      <c r="AO130">
        <v>51.48</v>
      </c>
      <c r="AP130">
        <v>0</v>
      </c>
      <c r="AQ130">
        <v>3.54</v>
      </c>
      <c r="AR130">
        <v>0</v>
      </c>
      <c r="AS130">
        <v>0</v>
      </c>
      <c r="AT130">
        <v>92</v>
      </c>
      <c r="AU130">
        <v>43</v>
      </c>
      <c r="AV130">
        <v>1.0469999999999999</v>
      </c>
      <c r="AW130">
        <v>1</v>
      </c>
      <c r="AZ130">
        <v>1</v>
      </c>
      <c r="BA130">
        <v>34.51</v>
      </c>
      <c r="BB130">
        <v>6.5</v>
      </c>
      <c r="BC130">
        <v>10.14</v>
      </c>
      <c r="BD130" t="s">
        <v>3</v>
      </c>
      <c r="BE130" t="s">
        <v>3</v>
      </c>
      <c r="BF130" t="s">
        <v>3</v>
      </c>
      <c r="BG130" t="s">
        <v>3</v>
      </c>
      <c r="BH130">
        <v>0</v>
      </c>
      <c r="BI130">
        <v>2</v>
      </c>
      <c r="BJ130" t="s">
        <v>221</v>
      </c>
      <c r="BM130">
        <v>2135</v>
      </c>
      <c r="BN130">
        <v>0</v>
      </c>
      <c r="BO130" t="s">
        <v>218</v>
      </c>
      <c r="BP130">
        <v>1</v>
      </c>
      <c r="BQ130">
        <v>40</v>
      </c>
      <c r="BR130">
        <v>0</v>
      </c>
      <c r="BS130">
        <v>34.51</v>
      </c>
      <c r="BT130">
        <v>1</v>
      </c>
      <c r="BU130">
        <v>1</v>
      </c>
      <c r="BV130">
        <v>1</v>
      </c>
      <c r="BW130">
        <v>1</v>
      </c>
      <c r="BX130">
        <v>1</v>
      </c>
      <c r="BY130" t="s">
        <v>3</v>
      </c>
      <c r="BZ130">
        <v>92</v>
      </c>
      <c r="CA130">
        <v>43</v>
      </c>
      <c r="CB130" t="s">
        <v>3</v>
      </c>
      <c r="CE130">
        <v>30</v>
      </c>
      <c r="CF130">
        <v>0</v>
      </c>
      <c r="CG130">
        <v>0</v>
      </c>
      <c r="CM130">
        <v>0</v>
      </c>
      <c r="CN130" t="s">
        <v>708</v>
      </c>
      <c r="CO130">
        <v>0</v>
      </c>
      <c r="CP130">
        <f t="shared" si="127"/>
        <v>0</v>
      </c>
      <c r="CQ130">
        <f t="shared" si="128"/>
        <v>25.05</v>
      </c>
      <c r="CR130">
        <f t="shared" si="149"/>
        <v>0.13</v>
      </c>
      <c r="CS130">
        <f t="shared" si="129"/>
        <v>0</v>
      </c>
      <c r="CT130">
        <f t="shared" si="130"/>
        <v>1952.92</v>
      </c>
      <c r="CU130">
        <f t="shared" si="131"/>
        <v>0</v>
      </c>
      <c r="CV130">
        <f t="shared" si="132"/>
        <v>3.891699</v>
      </c>
      <c r="CW130">
        <f t="shared" si="133"/>
        <v>0</v>
      </c>
      <c r="CX130">
        <f t="shared" si="134"/>
        <v>0</v>
      </c>
      <c r="CY130">
        <f>S130*(BZ130/100)</f>
        <v>0</v>
      </c>
      <c r="CZ130">
        <f>S130*(CA130/100)</f>
        <v>0</v>
      </c>
      <c r="DB130">
        <v>66</v>
      </c>
      <c r="DC130" t="s">
        <v>3</v>
      </c>
      <c r="DD130" t="s">
        <v>3</v>
      </c>
      <c r="DE130" t="s">
        <v>22</v>
      </c>
      <c r="DF130" t="s">
        <v>22</v>
      </c>
      <c r="DG130" t="s">
        <v>22</v>
      </c>
      <c r="DH130" t="s">
        <v>3</v>
      </c>
      <c r="DI130" t="s">
        <v>22</v>
      </c>
      <c r="DJ130" t="s">
        <v>22</v>
      </c>
      <c r="DK130" t="s">
        <v>3</v>
      </c>
      <c r="DL130" t="s">
        <v>3</v>
      </c>
      <c r="DM130" t="s">
        <v>3</v>
      </c>
      <c r="DN130">
        <v>112</v>
      </c>
      <c r="DO130">
        <v>70</v>
      </c>
      <c r="DP130">
        <v>1.0469999999999999</v>
      </c>
      <c r="DQ130">
        <v>1</v>
      </c>
      <c r="DU130">
        <v>1013</v>
      </c>
      <c r="DV130" t="s">
        <v>220</v>
      </c>
      <c r="DW130" t="s">
        <v>220</v>
      </c>
      <c r="DX130">
        <v>1</v>
      </c>
      <c r="DZ130" t="s">
        <v>3</v>
      </c>
      <c r="EA130" t="s">
        <v>3</v>
      </c>
      <c r="EB130" t="s">
        <v>3</v>
      </c>
      <c r="EC130" t="s">
        <v>3</v>
      </c>
      <c r="EE130">
        <v>51698180</v>
      </c>
      <c r="EF130">
        <v>40</v>
      </c>
      <c r="EG130" t="s">
        <v>165</v>
      </c>
      <c r="EH130">
        <v>0</v>
      </c>
      <c r="EI130" t="s">
        <v>3</v>
      </c>
      <c r="EJ130">
        <v>2</v>
      </c>
      <c r="EK130">
        <v>2135</v>
      </c>
      <c r="EL130" t="s">
        <v>222</v>
      </c>
      <c r="EM130" t="s">
        <v>223</v>
      </c>
      <c r="EO130" t="s">
        <v>26</v>
      </c>
      <c r="EQ130">
        <v>131072</v>
      </c>
      <c r="ER130">
        <v>53.97</v>
      </c>
      <c r="ES130">
        <v>2.4700000000000002</v>
      </c>
      <c r="ET130">
        <v>0.02</v>
      </c>
      <c r="EU130">
        <v>0</v>
      </c>
      <c r="EV130">
        <v>51.48</v>
      </c>
      <c r="EW130">
        <v>3.54</v>
      </c>
      <c r="EX130">
        <v>0</v>
      </c>
      <c r="EY130">
        <v>0</v>
      </c>
      <c r="FQ130">
        <v>0</v>
      </c>
      <c r="FR130">
        <v>0</v>
      </c>
      <c r="FS130">
        <v>0</v>
      </c>
      <c r="FX130">
        <v>112</v>
      </c>
      <c r="FY130">
        <v>70</v>
      </c>
      <c r="GA130" t="s">
        <v>3</v>
      </c>
      <c r="GD130">
        <v>0</v>
      </c>
      <c r="GF130">
        <v>585218542</v>
      </c>
      <c r="GG130">
        <v>2</v>
      </c>
      <c r="GH130">
        <v>1</v>
      </c>
      <c r="GI130">
        <v>2</v>
      </c>
      <c r="GJ130">
        <v>0</v>
      </c>
      <c r="GK130">
        <f>ROUND(R130*(S12)/100,2)</f>
        <v>0</v>
      </c>
      <c r="GL130">
        <f t="shared" si="135"/>
        <v>0</v>
      </c>
      <c r="GM130">
        <f t="shared" si="136"/>
        <v>0</v>
      </c>
      <c r="GN130">
        <f t="shared" si="137"/>
        <v>0</v>
      </c>
      <c r="GO130">
        <f t="shared" si="138"/>
        <v>0</v>
      </c>
      <c r="GP130">
        <f t="shared" si="139"/>
        <v>0</v>
      </c>
      <c r="GR130">
        <v>0</v>
      </c>
      <c r="GS130">
        <v>3</v>
      </c>
      <c r="GT130">
        <v>0</v>
      </c>
      <c r="GU130" t="s">
        <v>3</v>
      </c>
      <c r="GV130">
        <f t="shared" si="140"/>
        <v>0</v>
      </c>
      <c r="GW130">
        <v>1</v>
      </c>
      <c r="GX130">
        <f t="shared" si="141"/>
        <v>0</v>
      </c>
      <c r="HA130">
        <v>0</v>
      </c>
      <c r="HB130">
        <v>0</v>
      </c>
      <c r="HC130">
        <f t="shared" si="142"/>
        <v>0</v>
      </c>
      <c r="HE130" t="s">
        <v>3</v>
      </c>
      <c r="HF130" t="s">
        <v>3</v>
      </c>
      <c r="HM130" t="s">
        <v>3</v>
      </c>
      <c r="HN130" t="s">
        <v>3</v>
      </c>
      <c r="HO130" t="s">
        <v>3</v>
      </c>
      <c r="HP130" t="s">
        <v>3</v>
      </c>
      <c r="HQ130" t="s">
        <v>3</v>
      </c>
      <c r="HS130">
        <v>0</v>
      </c>
      <c r="IK130">
        <v>0</v>
      </c>
    </row>
    <row r="131" spans="1:255" x14ac:dyDescent="0.2">
      <c r="A131" s="2">
        <v>17</v>
      </c>
      <c r="B131" s="2">
        <v>1</v>
      </c>
      <c r="C131" s="2"/>
      <c r="D131" s="2"/>
      <c r="E131" s="2" t="s">
        <v>224</v>
      </c>
      <c r="F131" s="2" t="s">
        <v>225</v>
      </c>
      <c r="G131" s="2" t="s">
        <v>226</v>
      </c>
      <c r="H131" s="2" t="s">
        <v>227</v>
      </c>
      <c r="I131" s="2">
        <v>0</v>
      </c>
      <c r="J131" s="2">
        <v>0</v>
      </c>
      <c r="K131" s="2">
        <v>0</v>
      </c>
      <c r="L131" s="2"/>
      <c r="M131" s="2"/>
      <c r="N131" s="2"/>
      <c r="O131" s="2">
        <f t="shared" si="114"/>
        <v>0</v>
      </c>
      <c r="P131" s="2">
        <f t="shared" si="115"/>
        <v>0</v>
      </c>
      <c r="Q131" s="2">
        <f t="shared" si="143"/>
        <v>0</v>
      </c>
      <c r="R131" s="2">
        <f t="shared" si="116"/>
        <v>0</v>
      </c>
      <c r="S131" s="2">
        <f t="shared" si="117"/>
        <v>0</v>
      </c>
      <c r="T131" s="2">
        <f t="shared" si="118"/>
        <v>0</v>
      </c>
      <c r="U131" s="2">
        <f t="shared" si="119"/>
        <v>0</v>
      </c>
      <c r="V131" s="2">
        <f t="shared" si="120"/>
        <v>0</v>
      </c>
      <c r="W131" s="2">
        <f t="shared" si="121"/>
        <v>0</v>
      </c>
      <c r="X131" s="2">
        <f t="shared" si="122"/>
        <v>0</v>
      </c>
      <c r="Y131" s="2">
        <f t="shared" si="123"/>
        <v>0</v>
      </c>
      <c r="Z131" s="2"/>
      <c r="AA131" s="2">
        <v>56622490</v>
      </c>
      <c r="AB131" s="2">
        <f t="shared" si="124"/>
        <v>5220</v>
      </c>
      <c r="AC131" s="2">
        <f t="shared" si="102"/>
        <v>5220</v>
      </c>
      <c r="AD131" s="2">
        <f t="shared" si="144"/>
        <v>0</v>
      </c>
      <c r="AE131" s="2">
        <f t="shared" si="145"/>
        <v>0</v>
      </c>
      <c r="AF131" s="2">
        <f t="shared" si="146"/>
        <v>0</v>
      </c>
      <c r="AG131" s="2">
        <f t="shared" si="125"/>
        <v>0</v>
      </c>
      <c r="AH131" s="2">
        <f t="shared" si="147"/>
        <v>0</v>
      </c>
      <c r="AI131" s="2">
        <f t="shared" si="148"/>
        <v>0</v>
      </c>
      <c r="AJ131" s="2">
        <f t="shared" si="126"/>
        <v>0</v>
      </c>
      <c r="AK131" s="2">
        <v>5220</v>
      </c>
      <c r="AL131" s="2">
        <v>5220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1</v>
      </c>
      <c r="AW131" s="2">
        <v>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3</v>
      </c>
      <c r="BI131" s="2">
        <v>1</v>
      </c>
      <c r="BJ131" s="2" t="s">
        <v>3</v>
      </c>
      <c r="BK131" s="2"/>
      <c r="BL131" s="2"/>
      <c r="BM131" s="2">
        <v>400002</v>
      </c>
      <c r="BN131" s="2">
        <v>0</v>
      </c>
      <c r="BO131" s="2" t="s">
        <v>3</v>
      </c>
      <c r="BP131" s="2">
        <v>0</v>
      </c>
      <c r="BQ131" s="2">
        <v>202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0</v>
      </c>
      <c r="CA131" s="2">
        <v>0</v>
      </c>
      <c r="CB131" s="2" t="s">
        <v>3</v>
      </c>
      <c r="CC131" s="2"/>
      <c r="CD131" s="2"/>
      <c r="CE131" s="2">
        <v>30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708</v>
      </c>
      <c r="CO131" s="2">
        <v>0</v>
      </c>
      <c r="CP131" s="2">
        <f t="shared" si="127"/>
        <v>0</v>
      </c>
      <c r="CQ131" s="2">
        <f t="shared" si="128"/>
        <v>5220</v>
      </c>
      <c r="CR131" s="2">
        <f t="shared" si="149"/>
        <v>0</v>
      </c>
      <c r="CS131" s="2">
        <f t="shared" si="129"/>
        <v>0</v>
      </c>
      <c r="CT131" s="2">
        <f t="shared" si="130"/>
        <v>0</v>
      </c>
      <c r="CU131" s="2">
        <f t="shared" si="131"/>
        <v>0</v>
      </c>
      <c r="CV131" s="2">
        <f t="shared" si="132"/>
        <v>0</v>
      </c>
      <c r="CW131" s="2">
        <f t="shared" si="133"/>
        <v>0</v>
      </c>
      <c r="CX131" s="2">
        <f t="shared" si="134"/>
        <v>0</v>
      </c>
      <c r="CY131" s="2">
        <f>((S131*BZ131)/100)</f>
        <v>0</v>
      </c>
      <c r="CZ131" s="2">
        <f>((S131*CA131)/100)</f>
        <v>0</v>
      </c>
      <c r="DA131" s="2"/>
      <c r="DB131" s="2">
        <v>67</v>
      </c>
      <c r="DC131" s="2" t="s">
        <v>3</v>
      </c>
      <c r="DD131" s="2" t="s">
        <v>3</v>
      </c>
      <c r="DE131" s="2" t="s">
        <v>22</v>
      </c>
      <c r="DF131" s="2" t="s">
        <v>22</v>
      </c>
      <c r="DG131" s="2" t="s">
        <v>22</v>
      </c>
      <c r="DH131" s="2" t="s">
        <v>3</v>
      </c>
      <c r="DI131" s="2" t="s">
        <v>22</v>
      </c>
      <c r="DJ131" s="2" t="s">
        <v>22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1013</v>
      </c>
      <c r="DV131" s="2" t="s">
        <v>227</v>
      </c>
      <c r="DW131" s="2" t="s">
        <v>227</v>
      </c>
      <c r="DX131" s="2">
        <v>1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51698006</v>
      </c>
      <c r="EF131" s="2">
        <v>202</v>
      </c>
      <c r="EG131" s="2" t="s">
        <v>228</v>
      </c>
      <c r="EH131" s="2">
        <v>0</v>
      </c>
      <c r="EI131" s="2" t="s">
        <v>3</v>
      </c>
      <c r="EJ131" s="2">
        <v>1</v>
      </c>
      <c r="EK131" s="2">
        <v>400002</v>
      </c>
      <c r="EL131" s="2" t="s">
        <v>229</v>
      </c>
      <c r="EM131" s="2" t="s">
        <v>228</v>
      </c>
      <c r="EN131" s="2"/>
      <c r="EO131" s="2" t="s">
        <v>26</v>
      </c>
      <c r="EP131" s="2"/>
      <c r="EQ131" s="2">
        <v>131072</v>
      </c>
      <c r="ER131" s="2">
        <v>545.45000000000005</v>
      </c>
      <c r="ES131" s="2">
        <v>5220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v>0</v>
      </c>
      <c r="FS131" s="2">
        <v>0</v>
      </c>
      <c r="FT131" s="2"/>
      <c r="FU131" s="2"/>
      <c r="FV131" s="2"/>
      <c r="FW131" s="2"/>
      <c r="FX131" s="2">
        <v>0</v>
      </c>
      <c r="FY131" s="2">
        <v>0</v>
      </c>
      <c r="FZ131" s="2"/>
      <c r="GA131" s="2" t="s">
        <v>230</v>
      </c>
      <c r="GB131" s="2"/>
      <c r="GC131" s="2"/>
      <c r="GD131" s="2">
        <v>0</v>
      </c>
      <c r="GE131" s="2"/>
      <c r="GF131" s="2">
        <v>-1269404653</v>
      </c>
      <c r="GG131" s="2">
        <v>2</v>
      </c>
      <c r="GH131" s="2">
        <v>4</v>
      </c>
      <c r="GI131" s="2">
        <v>3</v>
      </c>
      <c r="GJ131" s="2">
        <v>0</v>
      </c>
      <c r="GK131" s="2">
        <f>ROUND(R131*(R12)/100,2)</f>
        <v>0</v>
      </c>
      <c r="GL131" s="2">
        <f t="shared" si="135"/>
        <v>0</v>
      </c>
      <c r="GM131" s="2">
        <f t="shared" si="136"/>
        <v>0</v>
      </c>
      <c r="GN131" s="2">
        <f t="shared" si="137"/>
        <v>0</v>
      </c>
      <c r="GO131" s="2">
        <f t="shared" si="138"/>
        <v>0</v>
      </c>
      <c r="GP131" s="2">
        <f t="shared" si="139"/>
        <v>0</v>
      </c>
      <c r="GQ131" s="2"/>
      <c r="GR131" s="2">
        <v>0</v>
      </c>
      <c r="GS131" s="2">
        <v>2</v>
      </c>
      <c r="GT131" s="2">
        <v>0</v>
      </c>
      <c r="GU131" s="2" t="s">
        <v>3</v>
      </c>
      <c r="GV131" s="2">
        <f t="shared" si="140"/>
        <v>0</v>
      </c>
      <c r="GW131" s="2">
        <v>1</v>
      </c>
      <c r="GX131" s="2">
        <f t="shared" si="141"/>
        <v>0</v>
      </c>
      <c r="GY131" s="2"/>
      <c r="GZ131" s="2"/>
      <c r="HA131" s="2">
        <v>0</v>
      </c>
      <c r="HB131" s="2">
        <v>0</v>
      </c>
      <c r="HC131" s="2">
        <f t="shared" si="142"/>
        <v>0</v>
      </c>
      <c r="HD131" s="2"/>
      <c r="HE131" s="2" t="s">
        <v>81</v>
      </c>
      <c r="HF131" s="2" t="s">
        <v>81</v>
      </c>
      <c r="HG131" s="2"/>
      <c r="HH131" s="2"/>
      <c r="HI131" s="2"/>
      <c r="HJ131" s="2"/>
      <c r="HK131" s="2"/>
      <c r="HL131" s="2"/>
      <c r="HM131" s="2" t="s">
        <v>3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">
      <c r="A132">
        <v>17</v>
      </c>
      <c r="B132">
        <v>1</v>
      </c>
      <c r="E132" t="s">
        <v>224</v>
      </c>
      <c r="F132" t="s">
        <v>225</v>
      </c>
      <c r="G132" t="s">
        <v>226</v>
      </c>
      <c r="H132" t="s">
        <v>227</v>
      </c>
      <c r="I132">
        <v>0</v>
      </c>
      <c r="J132">
        <v>0</v>
      </c>
      <c r="K132">
        <v>0</v>
      </c>
      <c r="O132">
        <f t="shared" si="114"/>
        <v>0</v>
      </c>
      <c r="P132">
        <f t="shared" si="115"/>
        <v>0</v>
      </c>
      <c r="Q132">
        <f t="shared" si="143"/>
        <v>0</v>
      </c>
      <c r="R132">
        <f t="shared" si="116"/>
        <v>0</v>
      </c>
      <c r="S132">
        <f t="shared" si="117"/>
        <v>0</v>
      </c>
      <c r="T132">
        <f t="shared" si="118"/>
        <v>0</v>
      </c>
      <c r="U132">
        <f t="shared" si="119"/>
        <v>0</v>
      </c>
      <c r="V132">
        <f t="shared" si="120"/>
        <v>0</v>
      </c>
      <c r="W132">
        <f t="shared" si="121"/>
        <v>0</v>
      </c>
      <c r="X132">
        <f t="shared" si="122"/>
        <v>0</v>
      </c>
      <c r="Y132">
        <f t="shared" si="123"/>
        <v>0</v>
      </c>
      <c r="AA132">
        <v>56610029</v>
      </c>
      <c r="AB132">
        <f t="shared" si="124"/>
        <v>5220</v>
      </c>
      <c r="AC132">
        <f t="shared" si="102"/>
        <v>5220</v>
      </c>
      <c r="AD132">
        <f t="shared" si="144"/>
        <v>0</v>
      </c>
      <c r="AE132">
        <f t="shared" si="145"/>
        <v>0</v>
      </c>
      <c r="AF132">
        <f t="shared" si="146"/>
        <v>0</v>
      </c>
      <c r="AG132">
        <f t="shared" si="125"/>
        <v>0</v>
      </c>
      <c r="AH132">
        <f t="shared" si="147"/>
        <v>0</v>
      </c>
      <c r="AI132">
        <f t="shared" si="148"/>
        <v>0</v>
      </c>
      <c r="AJ132">
        <f t="shared" si="126"/>
        <v>0</v>
      </c>
      <c r="AK132">
        <v>5220</v>
      </c>
      <c r="AL132">
        <v>5220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1</v>
      </c>
      <c r="AZ132">
        <v>1</v>
      </c>
      <c r="BA132">
        <v>1</v>
      </c>
      <c r="BB132">
        <v>1</v>
      </c>
      <c r="BC132">
        <v>1</v>
      </c>
      <c r="BD132" t="s">
        <v>3</v>
      </c>
      <c r="BE132" t="s">
        <v>3</v>
      </c>
      <c r="BF132" t="s">
        <v>3</v>
      </c>
      <c r="BG132" t="s">
        <v>3</v>
      </c>
      <c r="BH132">
        <v>3</v>
      </c>
      <c r="BI132">
        <v>1</v>
      </c>
      <c r="BJ132" t="s">
        <v>3</v>
      </c>
      <c r="BM132">
        <v>400002</v>
      </c>
      <c r="BN132">
        <v>0</v>
      </c>
      <c r="BO132" t="s">
        <v>3</v>
      </c>
      <c r="BP132">
        <v>0</v>
      </c>
      <c r="BQ132">
        <v>202</v>
      </c>
      <c r="BR132">
        <v>0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 t="s">
        <v>3</v>
      </c>
      <c r="BZ132">
        <v>0</v>
      </c>
      <c r="CA132">
        <v>0</v>
      </c>
      <c r="CB132" t="s">
        <v>3</v>
      </c>
      <c r="CE132">
        <v>30</v>
      </c>
      <c r="CF132">
        <v>0</v>
      </c>
      <c r="CG132">
        <v>0</v>
      </c>
      <c r="CM132">
        <v>0</v>
      </c>
      <c r="CN132" t="s">
        <v>708</v>
      </c>
      <c r="CO132">
        <v>0</v>
      </c>
      <c r="CP132">
        <f t="shared" si="127"/>
        <v>0</v>
      </c>
      <c r="CQ132">
        <f t="shared" si="128"/>
        <v>5220</v>
      </c>
      <c r="CR132">
        <f t="shared" si="149"/>
        <v>0</v>
      </c>
      <c r="CS132">
        <f t="shared" si="129"/>
        <v>0</v>
      </c>
      <c r="CT132">
        <f t="shared" si="130"/>
        <v>0</v>
      </c>
      <c r="CU132">
        <f t="shared" si="131"/>
        <v>0</v>
      </c>
      <c r="CV132">
        <f t="shared" si="132"/>
        <v>0</v>
      </c>
      <c r="CW132">
        <f t="shared" si="133"/>
        <v>0</v>
      </c>
      <c r="CX132">
        <f t="shared" si="134"/>
        <v>0</v>
      </c>
      <c r="CY132">
        <f>S132*(BZ132/100)</f>
        <v>0</v>
      </c>
      <c r="CZ132">
        <f>S132*(CA132/100)</f>
        <v>0</v>
      </c>
      <c r="DB132">
        <v>68</v>
      </c>
      <c r="DC132" t="s">
        <v>3</v>
      </c>
      <c r="DD132" t="s">
        <v>3</v>
      </c>
      <c r="DE132" t="s">
        <v>22</v>
      </c>
      <c r="DF132" t="s">
        <v>22</v>
      </c>
      <c r="DG132" t="s">
        <v>22</v>
      </c>
      <c r="DH132" t="s">
        <v>3</v>
      </c>
      <c r="DI132" t="s">
        <v>22</v>
      </c>
      <c r="DJ132" t="s">
        <v>22</v>
      </c>
      <c r="DK132" t="s">
        <v>3</v>
      </c>
      <c r="DL132" t="s">
        <v>3</v>
      </c>
      <c r="DM132" t="s">
        <v>3</v>
      </c>
      <c r="DN132">
        <v>0</v>
      </c>
      <c r="DO132">
        <v>0</v>
      </c>
      <c r="DP132">
        <v>1</v>
      </c>
      <c r="DQ132">
        <v>1</v>
      </c>
      <c r="DU132">
        <v>1013</v>
      </c>
      <c r="DV132" t="s">
        <v>227</v>
      </c>
      <c r="DW132" t="s">
        <v>227</v>
      </c>
      <c r="DX132">
        <v>1</v>
      </c>
      <c r="DZ132" t="s">
        <v>3</v>
      </c>
      <c r="EA132" t="s">
        <v>3</v>
      </c>
      <c r="EB132" t="s">
        <v>3</v>
      </c>
      <c r="EC132" t="s">
        <v>3</v>
      </c>
      <c r="EE132">
        <v>51698006</v>
      </c>
      <c r="EF132">
        <v>202</v>
      </c>
      <c r="EG132" t="s">
        <v>228</v>
      </c>
      <c r="EH132">
        <v>0</v>
      </c>
      <c r="EI132" t="s">
        <v>3</v>
      </c>
      <c r="EJ132">
        <v>1</v>
      </c>
      <c r="EK132">
        <v>400002</v>
      </c>
      <c r="EL132" t="s">
        <v>229</v>
      </c>
      <c r="EM132" t="s">
        <v>228</v>
      </c>
      <c r="EO132" t="s">
        <v>26</v>
      </c>
      <c r="EQ132">
        <v>131072</v>
      </c>
      <c r="ER132">
        <v>545.45000000000005</v>
      </c>
      <c r="ES132">
        <v>5220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5</v>
      </c>
      <c r="FC132">
        <v>1</v>
      </c>
      <c r="FD132">
        <v>18</v>
      </c>
      <c r="FF132">
        <v>6264</v>
      </c>
      <c r="FQ132">
        <v>0</v>
      </c>
      <c r="FR132">
        <v>0</v>
      </c>
      <c r="FS132">
        <v>0</v>
      </c>
      <c r="FX132">
        <v>0</v>
      </c>
      <c r="FY132">
        <v>0</v>
      </c>
      <c r="GA132" t="s">
        <v>230</v>
      </c>
      <c r="GD132">
        <v>0</v>
      </c>
      <c r="GF132">
        <v>-1269404653</v>
      </c>
      <c r="GG132">
        <v>2</v>
      </c>
      <c r="GH132">
        <v>3</v>
      </c>
      <c r="GI132">
        <v>-2</v>
      </c>
      <c r="GJ132">
        <v>0</v>
      </c>
      <c r="GK132">
        <f>ROUND(R132*(S12)/100,2)</f>
        <v>0</v>
      </c>
      <c r="GL132">
        <f t="shared" si="135"/>
        <v>0</v>
      </c>
      <c r="GM132">
        <f t="shared" si="136"/>
        <v>0</v>
      </c>
      <c r="GN132">
        <f t="shared" si="137"/>
        <v>0</v>
      </c>
      <c r="GO132">
        <f t="shared" si="138"/>
        <v>0</v>
      </c>
      <c r="GP132">
        <f t="shared" si="139"/>
        <v>0</v>
      </c>
      <c r="GR132">
        <v>1</v>
      </c>
      <c r="GS132">
        <v>1</v>
      </c>
      <c r="GT132">
        <v>0</v>
      </c>
      <c r="GU132" t="s">
        <v>3</v>
      </c>
      <c r="GV132">
        <f t="shared" si="140"/>
        <v>0</v>
      </c>
      <c r="GW132">
        <v>1</v>
      </c>
      <c r="GX132">
        <f t="shared" si="141"/>
        <v>0</v>
      </c>
      <c r="HA132">
        <v>0</v>
      </c>
      <c r="HB132">
        <v>0</v>
      </c>
      <c r="HC132">
        <f t="shared" si="142"/>
        <v>0</v>
      </c>
      <c r="HE132" t="s">
        <v>81</v>
      </c>
      <c r="HF132" t="s">
        <v>81</v>
      </c>
      <c r="HM132" t="s">
        <v>3</v>
      </c>
      <c r="HN132" t="s">
        <v>3</v>
      </c>
      <c r="HO132" t="s">
        <v>3</v>
      </c>
      <c r="HP132" t="s">
        <v>3</v>
      </c>
      <c r="HQ132" t="s">
        <v>3</v>
      </c>
      <c r="HS132">
        <v>0</v>
      </c>
      <c r="IK132">
        <v>0</v>
      </c>
    </row>
    <row r="133" spans="1:255" x14ac:dyDescent="0.2">
      <c r="A133" s="2">
        <v>17</v>
      </c>
      <c r="B133" s="2">
        <v>1</v>
      </c>
      <c r="C133" s="2"/>
      <c r="D133" s="2">
        <f>ROW(EtalonRes!A277)</f>
        <v>277</v>
      </c>
      <c r="E133" s="2" t="s">
        <v>231</v>
      </c>
      <c r="F133" s="2" t="s">
        <v>232</v>
      </c>
      <c r="G133" s="2" t="s">
        <v>233</v>
      </c>
      <c r="H133" s="2" t="s">
        <v>234</v>
      </c>
      <c r="I133" s="2">
        <v>0</v>
      </c>
      <c r="J133" s="2">
        <v>0</v>
      </c>
      <c r="K133" s="2">
        <v>0</v>
      </c>
      <c r="L133" s="2"/>
      <c r="M133" s="2"/>
      <c r="N133" s="2"/>
      <c r="O133" s="2">
        <f t="shared" si="114"/>
        <v>0</v>
      </c>
      <c r="P133" s="2">
        <f t="shared" si="115"/>
        <v>0</v>
      </c>
      <c r="Q133" s="2">
        <f t="shared" si="143"/>
        <v>0</v>
      </c>
      <c r="R133" s="2">
        <f t="shared" si="116"/>
        <v>0</v>
      </c>
      <c r="S133" s="2">
        <f t="shared" si="117"/>
        <v>0</v>
      </c>
      <c r="T133" s="2">
        <f t="shared" si="118"/>
        <v>0</v>
      </c>
      <c r="U133" s="2">
        <f t="shared" si="119"/>
        <v>0</v>
      </c>
      <c r="V133" s="2">
        <f t="shared" si="120"/>
        <v>0</v>
      </c>
      <c r="W133" s="2">
        <f t="shared" si="121"/>
        <v>0</v>
      </c>
      <c r="X133" s="2">
        <f t="shared" si="122"/>
        <v>0</v>
      </c>
      <c r="Y133" s="2">
        <f t="shared" si="123"/>
        <v>0</v>
      </c>
      <c r="Z133" s="2"/>
      <c r="AA133" s="2">
        <v>56622490</v>
      </c>
      <c r="AB133" s="2">
        <f t="shared" si="124"/>
        <v>2604.5819999999999</v>
      </c>
      <c r="AC133" s="2">
        <f t="shared" si="102"/>
        <v>934.2</v>
      </c>
      <c r="AD133" s="2">
        <f t="shared" si="144"/>
        <v>13.965</v>
      </c>
      <c r="AE133" s="2">
        <f t="shared" si="145"/>
        <v>2.121</v>
      </c>
      <c r="AF133" s="2">
        <f t="shared" si="146"/>
        <v>1656.4169999999999</v>
      </c>
      <c r="AG133" s="2">
        <f t="shared" si="125"/>
        <v>0</v>
      </c>
      <c r="AH133" s="2">
        <f t="shared" si="147"/>
        <v>122.25150000000001</v>
      </c>
      <c r="AI133" s="2">
        <f t="shared" si="148"/>
        <v>0</v>
      </c>
      <c r="AJ133" s="2">
        <f t="shared" si="126"/>
        <v>0</v>
      </c>
      <c r="AK133" s="2">
        <v>2525.04</v>
      </c>
      <c r="AL133" s="2">
        <v>934.2</v>
      </c>
      <c r="AM133" s="2">
        <v>13.3</v>
      </c>
      <c r="AN133" s="2">
        <v>2.02</v>
      </c>
      <c r="AO133" s="2">
        <v>1577.54</v>
      </c>
      <c r="AP133" s="2">
        <v>0</v>
      </c>
      <c r="AQ133" s="2">
        <v>116.43</v>
      </c>
      <c r="AR133" s="2">
        <v>0</v>
      </c>
      <c r="AS133" s="2">
        <v>0</v>
      </c>
      <c r="AT133" s="2">
        <v>112</v>
      </c>
      <c r="AU133" s="2">
        <v>70</v>
      </c>
      <c r="AV133" s="2">
        <v>1.0469999999999999</v>
      </c>
      <c r="AW133" s="2">
        <v>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0</v>
      </c>
      <c r="BI133" s="2">
        <v>2</v>
      </c>
      <c r="BJ133" s="2" t="s">
        <v>235</v>
      </c>
      <c r="BK133" s="2"/>
      <c r="BL133" s="2"/>
      <c r="BM133" s="2">
        <v>1726</v>
      </c>
      <c r="BN133" s="2">
        <v>0</v>
      </c>
      <c r="BO133" s="2" t="s">
        <v>3</v>
      </c>
      <c r="BP133" s="2">
        <v>0</v>
      </c>
      <c r="BQ133" s="2">
        <v>40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112</v>
      </c>
      <c r="CA133" s="2">
        <v>70</v>
      </c>
      <c r="CB133" s="2" t="s">
        <v>3</v>
      </c>
      <c r="CC133" s="2"/>
      <c r="CD133" s="2"/>
      <c r="CE133" s="2">
        <v>30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708</v>
      </c>
      <c r="CO133" s="2">
        <v>0</v>
      </c>
      <c r="CP133" s="2">
        <f t="shared" si="127"/>
        <v>0</v>
      </c>
      <c r="CQ133" s="2">
        <f t="shared" si="128"/>
        <v>934.2</v>
      </c>
      <c r="CR133" s="2">
        <f t="shared" si="149"/>
        <v>14.62</v>
      </c>
      <c r="CS133" s="2">
        <f t="shared" si="129"/>
        <v>2.2200000000000002</v>
      </c>
      <c r="CT133" s="2">
        <f t="shared" si="130"/>
        <v>1734.27</v>
      </c>
      <c r="CU133" s="2">
        <f t="shared" si="131"/>
        <v>0</v>
      </c>
      <c r="CV133" s="2">
        <f t="shared" si="132"/>
        <v>127.9973205</v>
      </c>
      <c r="CW133" s="2">
        <f t="shared" si="133"/>
        <v>0</v>
      </c>
      <c r="CX133" s="2">
        <f t="shared" si="134"/>
        <v>0</v>
      </c>
      <c r="CY133" s="2">
        <f>((S133*BZ133)/100)</f>
        <v>0</v>
      </c>
      <c r="CZ133" s="2">
        <f>((S133*CA133)/100)</f>
        <v>0</v>
      </c>
      <c r="DA133" s="2"/>
      <c r="DB133" s="2">
        <v>69</v>
      </c>
      <c r="DC133" s="2" t="s">
        <v>3</v>
      </c>
      <c r="DD133" s="2" t="s">
        <v>3</v>
      </c>
      <c r="DE133" s="2" t="s">
        <v>22</v>
      </c>
      <c r="DF133" s="2" t="s">
        <v>22</v>
      </c>
      <c r="DG133" s="2" t="s">
        <v>22</v>
      </c>
      <c r="DH133" s="2" t="s">
        <v>3</v>
      </c>
      <c r="DI133" s="2" t="s">
        <v>22</v>
      </c>
      <c r="DJ133" s="2" t="s">
        <v>22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1013</v>
      </c>
      <c r="DV133" s="2" t="s">
        <v>234</v>
      </c>
      <c r="DW133" s="2" t="s">
        <v>234</v>
      </c>
      <c r="DX133" s="2">
        <v>1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51697765</v>
      </c>
      <c r="EF133" s="2">
        <v>40</v>
      </c>
      <c r="EG133" s="2" t="s">
        <v>165</v>
      </c>
      <c r="EH133" s="2">
        <v>0</v>
      </c>
      <c r="EI133" s="2" t="s">
        <v>3</v>
      </c>
      <c r="EJ133" s="2">
        <v>2</v>
      </c>
      <c r="EK133" s="2">
        <v>1726</v>
      </c>
      <c r="EL133" s="2" t="s">
        <v>236</v>
      </c>
      <c r="EM133" s="2" t="s">
        <v>237</v>
      </c>
      <c r="EN133" s="2"/>
      <c r="EO133" s="2" t="s">
        <v>26</v>
      </c>
      <c r="EP133" s="2"/>
      <c r="EQ133" s="2">
        <v>131072</v>
      </c>
      <c r="ER133" s="2">
        <v>2525.04</v>
      </c>
      <c r="ES133" s="2">
        <v>934.2</v>
      </c>
      <c r="ET133" s="2">
        <v>13.3</v>
      </c>
      <c r="EU133" s="2">
        <v>2.02</v>
      </c>
      <c r="EV133" s="2">
        <v>1577.54</v>
      </c>
      <c r="EW133" s="2">
        <v>116.43</v>
      </c>
      <c r="EX133" s="2">
        <v>0</v>
      </c>
      <c r="EY133" s="2">
        <v>0</v>
      </c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v>0</v>
      </c>
      <c r="FS133" s="2">
        <v>0</v>
      </c>
      <c r="FT133" s="2"/>
      <c r="FU133" s="2"/>
      <c r="FV133" s="2"/>
      <c r="FW133" s="2"/>
      <c r="FX133" s="2">
        <v>112</v>
      </c>
      <c r="FY133" s="2">
        <v>70</v>
      </c>
      <c r="FZ133" s="2"/>
      <c r="GA133" s="2" t="s">
        <v>3</v>
      </c>
      <c r="GB133" s="2"/>
      <c r="GC133" s="2"/>
      <c r="GD133" s="2">
        <v>0</v>
      </c>
      <c r="GE133" s="2"/>
      <c r="GF133" s="2">
        <v>1551277997</v>
      </c>
      <c r="GG133" s="2">
        <v>2</v>
      </c>
      <c r="GH133" s="2">
        <v>1</v>
      </c>
      <c r="GI133" s="2">
        <v>-2</v>
      </c>
      <c r="GJ133" s="2">
        <v>0</v>
      </c>
      <c r="GK133" s="2">
        <f>ROUND(R133*(R12)/100,2)</f>
        <v>0</v>
      </c>
      <c r="GL133" s="2">
        <f t="shared" si="135"/>
        <v>0</v>
      </c>
      <c r="GM133" s="2">
        <f t="shared" si="136"/>
        <v>0</v>
      </c>
      <c r="GN133" s="2">
        <f t="shared" si="137"/>
        <v>0</v>
      </c>
      <c r="GO133" s="2">
        <f t="shared" si="138"/>
        <v>0</v>
      </c>
      <c r="GP133" s="2">
        <f t="shared" si="139"/>
        <v>0</v>
      </c>
      <c r="GQ133" s="2"/>
      <c r="GR133" s="2">
        <v>0</v>
      </c>
      <c r="GS133" s="2">
        <v>0</v>
      </c>
      <c r="GT133" s="2">
        <v>0</v>
      </c>
      <c r="GU133" s="2" t="s">
        <v>3</v>
      </c>
      <c r="GV133" s="2">
        <f t="shared" si="140"/>
        <v>0</v>
      </c>
      <c r="GW133" s="2">
        <v>1</v>
      </c>
      <c r="GX133" s="2">
        <f t="shared" si="141"/>
        <v>0</v>
      </c>
      <c r="GY133" s="2"/>
      <c r="GZ133" s="2"/>
      <c r="HA133" s="2">
        <v>0</v>
      </c>
      <c r="HB133" s="2">
        <v>0</v>
      </c>
      <c r="HC133" s="2">
        <f t="shared" si="142"/>
        <v>0</v>
      </c>
      <c r="HD133" s="2"/>
      <c r="HE133" s="2" t="s">
        <v>3</v>
      </c>
      <c r="HF133" s="2" t="s">
        <v>3</v>
      </c>
      <c r="HG133" s="2"/>
      <c r="HH133" s="2"/>
      <c r="HI133" s="2"/>
      <c r="HJ133" s="2"/>
      <c r="HK133" s="2"/>
      <c r="HL133" s="2"/>
      <c r="HM133" s="2" t="s">
        <v>3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2">
      <c r="A134">
        <v>17</v>
      </c>
      <c r="B134">
        <v>1</v>
      </c>
      <c r="D134">
        <f>ROW(EtalonRes!A284)</f>
        <v>284</v>
      </c>
      <c r="E134" t="s">
        <v>231</v>
      </c>
      <c r="F134" t="s">
        <v>232</v>
      </c>
      <c r="G134" t="s">
        <v>233</v>
      </c>
      <c r="H134" t="s">
        <v>234</v>
      </c>
      <c r="I134">
        <v>0</v>
      </c>
      <c r="J134">
        <v>0</v>
      </c>
      <c r="K134">
        <v>0</v>
      </c>
      <c r="O134">
        <f t="shared" si="114"/>
        <v>0</v>
      </c>
      <c r="P134">
        <f t="shared" si="115"/>
        <v>0</v>
      </c>
      <c r="Q134">
        <f t="shared" si="143"/>
        <v>0</v>
      </c>
      <c r="R134">
        <f t="shared" si="116"/>
        <v>0</v>
      </c>
      <c r="S134">
        <f t="shared" si="117"/>
        <v>0</v>
      </c>
      <c r="T134">
        <f t="shared" si="118"/>
        <v>0</v>
      </c>
      <c r="U134">
        <f t="shared" si="119"/>
        <v>0</v>
      </c>
      <c r="V134">
        <f t="shared" si="120"/>
        <v>0</v>
      </c>
      <c r="W134">
        <f t="shared" si="121"/>
        <v>0</v>
      </c>
      <c r="X134">
        <f t="shared" si="122"/>
        <v>0</v>
      </c>
      <c r="Y134">
        <f t="shared" si="123"/>
        <v>0</v>
      </c>
      <c r="AA134">
        <v>56610029</v>
      </c>
      <c r="AB134">
        <f t="shared" si="124"/>
        <v>2604.5819999999999</v>
      </c>
      <c r="AC134">
        <f t="shared" si="102"/>
        <v>934.2</v>
      </c>
      <c r="AD134">
        <f t="shared" si="144"/>
        <v>13.965</v>
      </c>
      <c r="AE134">
        <f t="shared" si="145"/>
        <v>2.121</v>
      </c>
      <c r="AF134">
        <f t="shared" si="146"/>
        <v>1656.4169999999999</v>
      </c>
      <c r="AG134">
        <f t="shared" si="125"/>
        <v>0</v>
      </c>
      <c r="AH134">
        <f t="shared" si="147"/>
        <v>122.25150000000001</v>
      </c>
      <c r="AI134">
        <f t="shared" si="148"/>
        <v>0</v>
      </c>
      <c r="AJ134">
        <f t="shared" si="126"/>
        <v>0</v>
      </c>
      <c r="AK134">
        <v>2525.04</v>
      </c>
      <c r="AL134">
        <v>934.2</v>
      </c>
      <c r="AM134">
        <v>13.3</v>
      </c>
      <c r="AN134">
        <v>2.02</v>
      </c>
      <c r="AO134">
        <v>1577.54</v>
      </c>
      <c r="AP134">
        <v>0</v>
      </c>
      <c r="AQ134">
        <v>116.43</v>
      </c>
      <c r="AR134">
        <v>0</v>
      </c>
      <c r="AS134">
        <v>0</v>
      </c>
      <c r="AT134">
        <v>92</v>
      </c>
      <c r="AU134">
        <v>43</v>
      </c>
      <c r="AV134">
        <v>1.0469999999999999</v>
      </c>
      <c r="AW134">
        <v>1</v>
      </c>
      <c r="AZ134">
        <v>1</v>
      </c>
      <c r="BA134">
        <v>34.51</v>
      </c>
      <c r="BB134">
        <v>12.86</v>
      </c>
      <c r="BC134">
        <v>5.0599999999999996</v>
      </c>
      <c r="BD134" t="s">
        <v>3</v>
      </c>
      <c r="BE134" t="s">
        <v>3</v>
      </c>
      <c r="BF134" t="s">
        <v>3</v>
      </c>
      <c r="BG134" t="s">
        <v>3</v>
      </c>
      <c r="BH134">
        <v>0</v>
      </c>
      <c r="BI134">
        <v>2</v>
      </c>
      <c r="BJ134" t="s">
        <v>235</v>
      </c>
      <c r="BM134">
        <v>1726</v>
      </c>
      <c r="BN134">
        <v>0</v>
      </c>
      <c r="BO134" t="s">
        <v>232</v>
      </c>
      <c r="BP134">
        <v>1</v>
      </c>
      <c r="BQ134">
        <v>40</v>
      </c>
      <c r="BR134">
        <v>0</v>
      </c>
      <c r="BS134">
        <v>34.51</v>
      </c>
      <c r="BT134">
        <v>1</v>
      </c>
      <c r="BU134">
        <v>1</v>
      </c>
      <c r="BV134">
        <v>1</v>
      </c>
      <c r="BW134">
        <v>1</v>
      </c>
      <c r="BX134">
        <v>1</v>
      </c>
      <c r="BY134" t="s">
        <v>3</v>
      </c>
      <c r="BZ134">
        <v>92</v>
      </c>
      <c r="CA134">
        <v>43</v>
      </c>
      <c r="CB134" t="s">
        <v>3</v>
      </c>
      <c r="CE134">
        <v>30</v>
      </c>
      <c r="CF134">
        <v>0</v>
      </c>
      <c r="CG134">
        <v>0</v>
      </c>
      <c r="CM134">
        <v>0</v>
      </c>
      <c r="CN134" t="s">
        <v>708</v>
      </c>
      <c r="CO134">
        <v>0</v>
      </c>
      <c r="CP134">
        <f t="shared" si="127"/>
        <v>0</v>
      </c>
      <c r="CQ134">
        <f t="shared" si="128"/>
        <v>4727.05</v>
      </c>
      <c r="CR134">
        <f t="shared" si="149"/>
        <v>188.01</v>
      </c>
      <c r="CS134">
        <f t="shared" si="129"/>
        <v>76.61</v>
      </c>
      <c r="CT134">
        <f t="shared" si="130"/>
        <v>59849.66</v>
      </c>
      <c r="CU134">
        <f t="shared" si="131"/>
        <v>0</v>
      </c>
      <c r="CV134">
        <f t="shared" si="132"/>
        <v>127.9973205</v>
      </c>
      <c r="CW134">
        <f t="shared" si="133"/>
        <v>0</v>
      </c>
      <c r="CX134">
        <f t="shared" si="134"/>
        <v>0</v>
      </c>
      <c r="CY134">
        <f>S134*(BZ134/100)</f>
        <v>0</v>
      </c>
      <c r="CZ134">
        <f>S134*(CA134/100)</f>
        <v>0</v>
      </c>
      <c r="DB134">
        <v>70</v>
      </c>
      <c r="DC134" t="s">
        <v>3</v>
      </c>
      <c r="DD134" t="s">
        <v>3</v>
      </c>
      <c r="DE134" t="s">
        <v>22</v>
      </c>
      <c r="DF134" t="s">
        <v>22</v>
      </c>
      <c r="DG134" t="s">
        <v>22</v>
      </c>
      <c r="DH134" t="s">
        <v>3</v>
      </c>
      <c r="DI134" t="s">
        <v>22</v>
      </c>
      <c r="DJ134" t="s">
        <v>22</v>
      </c>
      <c r="DK134" t="s">
        <v>3</v>
      </c>
      <c r="DL134" t="s">
        <v>3</v>
      </c>
      <c r="DM134" t="s">
        <v>3</v>
      </c>
      <c r="DN134">
        <v>112</v>
      </c>
      <c r="DO134">
        <v>70</v>
      </c>
      <c r="DP134">
        <v>1.0469999999999999</v>
      </c>
      <c r="DQ134">
        <v>1</v>
      </c>
      <c r="DU134">
        <v>1013</v>
      </c>
      <c r="DV134" t="s">
        <v>234</v>
      </c>
      <c r="DW134" t="s">
        <v>234</v>
      </c>
      <c r="DX134">
        <v>1</v>
      </c>
      <c r="DZ134" t="s">
        <v>3</v>
      </c>
      <c r="EA134" t="s">
        <v>3</v>
      </c>
      <c r="EB134" t="s">
        <v>3</v>
      </c>
      <c r="EC134" t="s">
        <v>3</v>
      </c>
      <c r="EE134">
        <v>51697765</v>
      </c>
      <c r="EF134">
        <v>40</v>
      </c>
      <c r="EG134" t="s">
        <v>165</v>
      </c>
      <c r="EH134">
        <v>0</v>
      </c>
      <c r="EI134" t="s">
        <v>3</v>
      </c>
      <c r="EJ134">
        <v>2</v>
      </c>
      <c r="EK134">
        <v>1726</v>
      </c>
      <c r="EL134" t="s">
        <v>236</v>
      </c>
      <c r="EM134" t="s">
        <v>237</v>
      </c>
      <c r="EO134" t="s">
        <v>26</v>
      </c>
      <c r="EQ134">
        <v>131072</v>
      </c>
      <c r="ER134">
        <v>2525.04</v>
      </c>
      <c r="ES134">
        <v>934.2</v>
      </c>
      <c r="ET134">
        <v>13.3</v>
      </c>
      <c r="EU134">
        <v>2.02</v>
      </c>
      <c r="EV134">
        <v>1577.54</v>
      </c>
      <c r="EW134">
        <v>116.43</v>
      </c>
      <c r="EX134">
        <v>0</v>
      </c>
      <c r="EY134">
        <v>0</v>
      </c>
      <c r="FQ134">
        <v>0</v>
      </c>
      <c r="FR134">
        <v>0</v>
      </c>
      <c r="FS134">
        <v>0</v>
      </c>
      <c r="FX134">
        <v>112</v>
      </c>
      <c r="FY134">
        <v>70</v>
      </c>
      <c r="GA134" t="s">
        <v>3</v>
      </c>
      <c r="GD134">
        <v>0</v>
      </c>
      <c r="GF134">
        <v>1551277997</v>
      </c>
      <c r="GG134">
        <v>2</v>
      </c>
      <c r="GH134">
        <v>1</v>
      </c>
      <c r="GI134">
        <v>2</v>
      </c>
      <c r="GJ134">
        <v>0</v>
      </c>
      <c r="GK134">
        <f>ROUND(R134*(S12)/100,2)</f>
        <v>0</v>
      </c>
      <c r="GL134">
        <f t="shared" si="135"/>
        <v>0</v>
      </c>
      <c r="GM134">
        <f t="shared" si="136"/>
        <v>0</v>
      </c>
      <c r="GN134">
        <f t="shared" si="137"/>
        <v>0</v>
      </c>
      <c r="GO134">
        <f t="shared" si="138"/>
        <v>0</v>
      </c>
      <c r="GP134">
        <f t="shared" si="139"/>
        <v>0</v>
      </c>
      <c r="GR134">
        <v>0</v>
      </c>
      <c r="GS134">
        <v>3</v>
      </c>
      <c r="GT134">
        <v>0</v>
      </c>
      <c r="GU134" t="s">
        <v>3</v>
      </c>
      <c r="GV134">
        <f t="shared" si="140"/>
        <v>0</v>
      </c>
      <c r="GW134">
        <v>1</v>
      </c>
      <c r="GX134">
        <f t="shared" si="141"/>
        <v>0</v>
      </c>
      <c r="HA134">
        <v>0</v>
      </c>
      <c r="HB134">
        <v>0</v>
      </c>
      <c r="HC134">
        <f t="shared" si="142"/>
        <v>0</v>
      </c>
      <c r="HE134" t="s">
        <v>3</v>
      </c>
      <c r="HF134" t="s">
        <v>3</v>
      </c>
      <c r="HM134" t="s">
        <v>3</v>
      </c>
      <c r="HN134" t="s">
        <v>3</v>
      </c>
      <c r="HO134" t="s">
        <v>3</v>
      </c>
      <c r="HP134" t="s">
        <v>3</v>
      </c>
      <c r="HQ134" t="s">
        <v>3</v>
      </c>
      <c r="HS134">
        <v>0</v>
      </c>
      <c r="IK134">
        <v>0</v>
      </c>
    </row>
    <row r="135" spans="1:255" x14ac:dyDescent="0.2">
      <c r="A135" s="2">
        <v>17</v>
      </c>
      <c r="B135" s="2">
        <v>1</v>
      </c>
      <c r="C135" s="2"/>
      <c r="D135" s="2"/>
      <c r="E135" s="2" t="s">
        <v>238</v>
      </c>
      <c r="F135" s="2" t="s">
        <v>239</v>
      </c>
      <c r="G135" s="2" t="s">
        <v>240</v>
      </c>
      <c r="H135" s="2" t="s">
        <v>241</v>
      </c>
      <c r="I135" s="2">
        <v>0</v>
      </c>
      <c r="J135" s="2">
        <v>0</v>
      </c>
      <c r="K135" s="2">
        <v>0</v>
      </c>
      <c r="L135" s="2"/>
      <c r="M135" s="2"/>
      <c r="N135" s="2"/>
      <c r="O135" s="2">
        <f t="shared" si="114"/>
        <v>0</v>
      </c>
      <c r="P135" s="2">
        <f t="shared" si="115"/>
        <v>0</v>
      </c>
      <c r="Q135" s="2">
        <f t="shared" si="143"/>
        <v>0</v>
      </c>
      <c r="R135" s="2">
        <f t="shared" si="116"/>
        <v>0</v>
      </c>
      <c r="S135" s="2">
        <f t="shared" si="117"/>
        <v>0</v>
      </c>
      <c r="T135" s="2">
        <f t="shared" si="118"/>
        <v>0</v>
      </c>
      <c r="U135" s="2">
        <f t="shared" si="119"/>
        <v>0</v>
      </c>
      <c r="V135" s="2">
        <f t="shared" si="120"/>
        <v>0</v>
      </c>
      <c r="W135" s="2">
        <f t="shared" si="121"/>
        <v>0</v>
      </c>
      <c r="X135" s="2">
        <f t="shared" si="122"/>
        <v>0</v>
      </c>
      <c r="Y135" s="2">
        <f t="shared" si="123"/>
        <v>0</v>
      </c>
      <c r="Z135" s="2"/>
      <c r="AA135" s="2">
        <v>56622490</v>
      </c>
      <c r="AB135" s="2">
        <f t="shared" si="124"/>
        <v>5982.6</v>
      </c>
      <c r="AC135" s="2">
        <f t="shared" si="102"/>
        <v>5982.6</v>
      </c>
      <c r="AD135" s="2">
        <f t="shared" si="144"/>
        <v>0</v>
      </c>
      <c r="AE135" s="2">
        <f t="shared" si="145"/>
        <v>0</v>
      </c>
      <c r="AF135" s="2">
        <f t="shared" si="146"/>
        <v>0</v>
      </c>
      <c r="AG135" s="2">
        <f t="shared" si="125"/>
        <v>0</v>
      </c>
      <c r="AH135" s="2">
        <f t="shared" si="147"/>
        <v>0</v>
      </c>
      <c r="AI135" s="2">
        <f t="shared" si="148"/>
        <v>0</v>
      </c>
      <c r="AJ135" s="2">
        <f t="shared" si="126"/>
        <v>0</v>
      </c>
      <c r="AK135" s="2">
        <v>5982.6</v>
      </c>
      <c r="AL135" s="2">
        <v>5982.6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1</v>
      </c>
      <c r="AW135" s="2">
        <v>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3</v>
      </c>
      <c r="BI135" s="2">
        <v>2</v>
      </c>
      <c r="BJ135" s="2" t="s">
        <v>242</v>
      </c>
      <c r="BK135" s="2"/>
      <c r="BL135" s="2"/>
      <c r="BM135" s="2">
        <v>1618</v>
      </c>
      <c r="BN135" s="2">
        <v>0</v>
      </c>
      <c r="BO135" s="2" t="s">
        <v>3</v>
      </c>
      <c r="BP135" s="2">
        <v>0</v>
      </c>
      <c r="BQ135" s="2">
        <v>201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0</v>
      </c>
      <c r="CA135" s="2">
        <v>0</v>
      </c>
      <c r="CB135" s="2" t="s">
        <v>3</v>
      </c>
      <c r="CC135" s="2"/>
      <c r="CD135" s="2"/>
      <c r="CE135" s="2">
        <v>30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708</v>
      </c>
      <c r="CO135" s="2">
        <v>0</v>
      </c>
      <c r="CP135" s="2">
        <f t="shared" si="127"/>
        <v>0</v>
      </c>
      <c r="CQ135" s="2">
        <f t="shared" si="128"/>
        <v>5982.6</v>
      </c>
      <c r="CR135" s="2">
        <f t="shared" si="149"/>
        <v>0</v>
      </c>
      <c r="CS135" s="2">
        <f t="shared" si="129"/>
        <v>0</v>
      </c>
      <c r="CT135" s="2">
        <f t="shared" si="130"/>
        <v>0</v>
      </c>
      <c r="CU135" s="2">
        <f t="shared" si="131"/>
        <v>0</v>
      </c>
      <c r="CV135" s="2">
        <f t="shared" si="132"/>
        <v>0</v>
      </c>
      <c r="CW135" s="2">
        <f t="shared" si="133"/>
        <v>0</v>
      </c>
      <c r="CX135" s="2">
        <f t="shared" si="134"/>
        <v>0</v>
      </c>
      <c r="CY135" s="2">
        <f>((S135*BZ135)/100)</f>
        <v>0</v>
      </c>
      <c r="CZ135" s="2">
        <f>((S135*CA135)/100)</f>
        <v>0</v>
      </c>
      <c r="DA135" s="2"/>
      <c r="DB135" s="2">
        <v>71</v>
      </c>
      <c r="DC135" s="2" t="s">
        <v>3</v>
      </c>
      <c r="DD135" s="2" t="s">
        <v>3</v>
      </c>
      <c r="DE135" s="2" t="s">
        <v>22</v>
      </c>
      <c r="DF135" s="2" t="s">
        <v>22</v>
      </c>
      <c r="DG135" s="2" t="s">
        <v>22</v>
      </c>
      <c r="DH135" s="2" t="s">
        <v>3</v>
      </c>
      <c r="DI135" s="2" t="s">
        <v>22</v>
      </c>
      <c r="DJ135" s="2" t="s">
        <v>22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1013</v>
      </c>
      <c r="DV135" s="2" t="s">
        <v>241</v>
      </c>
      <c r="DW135" s="2" t="s">
        <v>241</v>
      </c>
      <c r="DX135" s="2">
        <v>1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51697657</v>
      </c>
      <c r="EF135" s="2">
        <v>201</v>
      </c>
      <c r="EG135" s="2" t="s">
        <v>196</v>
      </c>
      <c r="EH135" s="2">
        <v>0</v>
      </c>
      <c r="EI135" s="2" t="s">
        <v>3</v>
      </c>
      <c r="EJ135" s="2">
        <v>2</v>
      </c>
      <c r="EK135" s="2">
        <v>1618</v>
      </c>
      <c r="EL135" s="2" t="s">
        <v>197</v>
      </c>
      <c r="EM135" s="2" t="s">
        <v>198</v>
      </c>
      <c r="EN135" s="2"/>
      <c r="EO135" s="2" t="s">
        <v>26</v>
      </c>
      <c r="EP135" s="2"/>
      <c r="EQ135" s="2">
        <v>131072</v>
      </c>
      <c r="ER135" s="2">
        <v>5982.6</v>
      </c>
      <c r="ES135" s="2">
        <v>5982.6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v>0</v>
      </c>
      <c r="FS135" s="2">
        <v>0</v>
      </c>
      <c r="FT135" s="2"/>
      <c r="FU135" s="2"/>
      <c r="FV135" s="2"/>
      <c r="FW135" s="2"/>
      <c r="FX135" s="2">
        <v>0</v>
      </c>
      <c r="FY135" s="2">
        <v>0</v>
      </c>
      <c r="FZ135" s="2"/>
      <c r="GA135" s="2" t="s">
        <v>3</v>
      </c>
      <c r="GB135" s="2"/>
      <c r="GC135" s="2"/>
      <c r="GD135" s="2">
        <v>0</v>
      </c>
      <c r="GE135" s="2"/>
      <c r="GF135" s="2">
        <v>-50986163</v>
      </c>
      <c r="GG135" s="2">
        <v>2</v>
      </c>
      <c r="GH135" s="2">
        <v>1</v>
      </c>
      <c r="GI135" s="2">
        <v>-2</v>
      </c>
      <c r="GJ135" s="2">
        <v>0</v>
      </c>
      <c r="GK135" s="2">
        <f>ROUND(R135*(R12)/100,2)</f>
        <v>0</v>
      </c>
      <c r="GL135" s="2">
        <f t="shared" si="135"/>
        <v>0</v>
      </c>
      <c r="GM135" s="2">
        <f t="shared" si="136"/>
        <v>0</v>
      </c>
      <c r="GN135" s="2">
        <f t="shared" si="137"/>
        <v>0</v>
      </c>
      <c r="GO135" s="2">
        <f t="shared" si="138"/>
        <v>0</v>
      </c>
      <c r="GP135" s="2">
        <f t="shared" si="139"/>
        <v>0</v>
      </c>
      <c r="GQ135" s="2"/>
      <c r="GR135" s="2">
        <v>0</v>
      </c>
      <c r="GS135" s="2">
        <v>0</v>
      </c>
      <c r="GT135" s="2">
        <v>0</v>
      </c>
      <c r="GU135" s="2" t="s">
        <v>3</v>
      </c>
      <c r="GV135" s="2">
        <f t="shared" si="140"/>
        <v>0</v>
      </c>
      <c r="GW135" s="2">
        <v>1</v>
      </c>
      <c r="GX135" s="2">
        <f t="shared" si="141"/>
        <v>0</v>
      </c>
      <c r="GY135" s="2"/>
      <c r="GZ135" s="2"/>
      <c r="HA135" s="2">
        <v>0</v>
      </c>
      <c r="HB135" s="2">
        <v>0</v>
      </c>
      <c r="HC135" s="2">
        <f t="shared" si="142"/>
        <v>0</v>
      </c>
      <c r="HD135" s="2"/>
      <c r="HE135" s="2" t="s">
        <v>3</v>
      </c>
      <c r="HF135" s="2" t="s">
        <v>3</v>
      </c>
      <c r="HG135" s="2"/>
      <c r="HH135" s="2"/>
      <c r="HI135" s="2"/>
      <c r="HJ135" s="2"/>
      <c r="HK135" s="2"/>
      <c r="HL135" s="2"/>
      <c r="HM135" s="2" t="s">
        <v>3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2">
      <c r="A136">
        <v>17</v>
      </c>
      <c r="B136">
        <v>1</v>
      </c>
      <c r="E136" t="s">
        <v>238</v>
      </c>
      <c r="F136" t="s">
        <v>239</v>
      </c>
      <c r="G136" t="s">
        <v>240</v>
      </c>
      <c r="H136" t="s">
        <v>241</v>
      </c>
      <c r="I136">
        <v>0</v>
      </c>
      <c r="J136">
        <v>0</v>
      </c>
      <c r="K136">
        <v>0</v>
      </c>
      <c r="O136">
        <f t="shared" si="114"/>
        <v>0</v>
      </c>
      <c r="P136">
        <f t="shared" si="115"/>
        <v>0</v>
      </c>
      <c r="Q136">
        <f t="shared" si="143"/>
        <v>0</v>
      </c>
      <c r="R136">
        <f t="shared" si="116"/>
        <v>0</v>
      </c>
      <c r="S136">
        <f t="shared" si="117"/>
        <v>0</v>
      </c>
      <c r="T136">
        <f t="shared" si="118"/>
        <v>0</v>
      </c>
      <c r="U136">
        <f t="shared" si="119"/>
        <v>0</v>
      </c>
      <c r="V136">
        <f t="shared" si="120"/>
        <v>0</v>
      </c>
      <c r="W136">
        <f t="shared" si="121"/>
        <v>0</v>
      </c>
      <c r="X136">
        <f t="shared" si="122"/>
        <v>0</v>
      </c>
      <c r="Y136">
        <f t="shared" si="123"/>
        <v>0</v>
      </c>
      <c r="AA136">
        <v>56610029</v>
      </c>
      <c r="AB136">
        <f t="shared" si="124"/>
        <v>5982.6</v>
      </c>
      <c r="AC136">
        <f t="shared" si="102"/>
        <v>5982.6</v>
      </c>
      <c r="AD136">
        <f t="shared" si="144"/>
        <v>0</v>
      </c>
      <c r="AE136">
        <f t="shared" si="145"/>
        <v>0</v>
      </c>
      <c r="AF136">
        <f t="shared" si="146"/>
        <v>0</v>
      </c>
      <c r="AG136">
        <f t="shared" si="125"/>
        <v>0</v>
      </c>
      <c r="AH136">
        <f t="shared" si="147"/>
        <v>0</v>
      </c>
      <c r="AI136">
        <f t="shared" si="148"/>
        <v>0</v>
      </c>
      <c r="AJ136">
        <f t="shared" si="126"/>
        <v>0</v>
      </c>
      <c r="AK136">
        <v>5982.6</v>
      </c>
      <c r="AL136">
        <v>5982.6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</v>
      </c>
      <c r="AW136">
        <v>1</v>
      </c>
      <c r="AZ136">
        <v>1</v>
      </c>
      <c r="BA136">
        <v>1</v>
      </c>
      <c r="BB136">
        <v>1</v>
      </c>
      <c r="BC136">
        <v>5.95</v>
      </c>
      <c r="BD136" t="s">
        <v>3</v>
      </c>
      <c r="BE136" t="s">
        <v>3</v>
      </c>
      <c r="BF136" t="s">
        <v>3</v>
      </c>
      <c r="BG136" t="s">
        <v>3</v>
      </c>
      <c r="BH136">
        <v>3</v>
      </c>
      <c r="BI136">
        <v>2</v>
      </c>
      <c r="BJ136" t="s">
        <v>242</v>
      </c>
      <c r="BM136">
        <v>1618</v>
      </c>
      <c r="BN136">
        <v>0</v>
      </c>
      <c r="BO136" t="s">
        <v>239</v>
      </c>
      <c r="BP136">
        <v>1</v>
      </c>
      <c r="BQ136">
        <v>201</v>
      </c>
      <c r="BR136">
        <v>0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 t="s">
        <v>3</v>
      </c>
      <c r="BZ136">
        <v>0</v>
      </c>
      <c r="CA136">
        <v>0</v>
      </c>
      <c r="CB136" t="s">
        <v>3</v>
      </c>
      <c r="CE136">
        <v>30</v>
      </c>
      <c r="CF136">
        <v>0</v>
      </c>
      <c r="CG136">
        <v>0</v>
      </c>
      <c r="CM136">
        <v>0</v>
      </c>
      <c r="CN136" t="s">
        <v>708</v>
      </c>
      <c r="CO136">
        <v>0</v>
      </c>
      <c r="CP136">
        <f t="shared" si="127"/>
        <v>0</v>
      </c>
      <c r="CQ136">
        <f t="shared" si="128"/>
        <v>35596.47</v>
      </c>
      <c r="CR136">
        <f t="shared" si="149"/>
        <v>0</v>
      </c>
      <c r="CS136">
        <f t="shared" si="129"/>
        <v>0</v>
      </c>
      <c r="CT136">
        <f t="shared" si="130"/>
        <v>0</v>
      </c>
      <c r="CU136">
        <f t="shared" si="131"/>
        <v>0</v>
      </c>
      <c r="CV136">
        <f t="shared" si="132"/>
        <v>0</v>
      </c>
      <c r="CW136">
        <f t="shared" si="133"/>
        <v>0</v>
      </c>
      <c r="CX136">
        <f t="shared" si="134"/>
        <v>0</v>
      </c>
      <c r="CY136">
        <f>S136*(BZ136/100)</f>
        <v>0</v>
      </c>
      <c r="CZ136">
        <f>S136*(CA136/100)</f>
        <v>0</v>
      </c>
      <c r="DB136">
        <v>72</v>
      </c>
      <c r="DC136" t="s">
        <v>3</v>
      </c>
      <c r="DD136" t="s">
        <v>3</v>
      </c>
      <c r="DE136" t="s">
        <v>22</v>
      </c>
      <c r="DF136" t="s">
        <v>22</v>
      </c>
      <c r="DG136" t="s">
        <v>22</v>
      </c>
      <c r="DH136" t="s">
        <v>3</v>
      </c>
      <c r="DI136" t="s">
        <v>22</v>
      </c>
      <c r="DJ136" t="s">
        <v>22</v>
      </c>
      <c r="DK136" t="s">
        <v>3</v>
      </c>
      <c r="DL136" t="s">
        <v>3</v>
      </c>
      <c r="DM136" t="s">
        <v>3</v>
      </c>
      <c r="DN136">
        <v>0</v>
      </c>
      <c r="DO136">
        <v>0</v>
      </c>
      <c r="DP136">
        <v>1</v>
      </c>
      <c r="DQ136">
        <v>1</v>
      </c>
      <c r="DU136">
        <v>1013</v>
      </c>
      <c r="DV136" t="s">
        <v>241</v>
      </c>
      <c r="DW136" t="s">
        <v>241</v>
      </c>
      <c r="DX136">
        <v>1</v>
      </c>
      <c r="DZ136" t="s">
        <v>3</v>
      </c>
      <c r="EA136" t="s">
        <v>3</v>
      </c>
      <c r="EB136" t="s">
        <v>3</v>
      </c>
      <c r="EC136" t="s">
        <v>3</v>
      </c>
      <c r="EE136">
        <v>51697657</v>
      </c>
      <c r="EF136">
        <v>201</v>
      </c>
      <c r="EG136" t="s">
        <v>196</v>
      </c>
      <c r="EH136">
        <v>0</v>
      </c>
      <c r="EI136" t="s">
        <v>3</v>
      </c>
      <c r="EJ136">
        <v>2</v>
      </c>
      <c r="EK136">
        <v>1618</v>
      </c>
      <c r="EL136" t="s">
        <v>197</v>
      </c>
      <c r="EM136" t="s">
        <v>198</v>
      </c>
      <c r="EO136" t="s">
        <v>26</v>
      </c>
      <c r="EQ136">
        <v>131072</v>
      </c>
      <c r="ER136">
        <v>5982.6</v>
      </c>
      <c r="ES136">
        <v>5982.6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FQ136">
        <v>0</v>
      </c>
      <c r="FR136">
        <v>0</v>
      </c>
      <c r="FS136">
        <v>0</v>
      </c>
      <c r="FX136">
        <v>0</v>
      </c>
      <c r="FY136">
        <v>0</v>
      </c>
      <c r="GA136" t="s">
        <v>3</v>
      </c>
      <c r="GD136">
        <v>0</v>
      </c>
      <c r="GF136">
        <v>-50986163</v>
      </c>
      <c r="GG136">
        <v>2</v>
      </c>
      <c r="GH136">
        <v>1</v>
      </c>
      <c r="GI136">
        <v>2</v>
      </c>
      <c r="GJ136">
        <v>0</v>
      </c>
      <c r="GK136">
        <f>ROUND(R136*(S12)/100,2)</f>
        <v>0</v>
      </c>
      <c r="GL136">
        <f t="shared" si="135"/>
        <v>0</v>
      </c>
      <c r="GM136">
        <f t="shared" si="136"/>
        <v>0</v>
      </c>
      <c r="GN136">
        <f t="shared" si="137"/>
        <v>0</v>
      </c>
      <c r="GO136">
        <f t="shared" si="138"/>
        <v>0</v>
      </c>
      <c r="GP136">
        <f t="shared" si="139"/>
        <v>0</v>
      </c>
      <c r="GR136">
        <v>0</v>
      </c>
      <c r="GS136">
        <v>3</v>
      </c>
      <c r="GT136">
        <v>0</v>
      </c>
      <c r="GU136" t="s">
        <v>3</v>
      </c>
      <c r="GV136">
        <f t="shared" si="140"/>
        <v>0</v>
      </c>
      <c r="GW136">
        <v>1</v>
      </c>
      <c r="GX136">
        <f t="shared" si="141"/>
        <v>0</v>
      </c>
      <c r="HA136">
        <v>0</v>
      </c>
      <c r="HB136">
        <v>0</v>
      </c>
      <c r="HC136">
        <f t="shared" si="142"/>
        <v>0</v>
      </c>
      <c r="HE136" t="s">
        <v>3</v>
      </c>
      <c r="HF136" t="s">
        <v>3</v>
      </c>
      <c r="HM136" t="s">
        <v>3</v>
      </c>
      <c r="HN136" t="s">
        <v>3</v>
      </c>
      <c r="HO136" t="s">
        <v>3</v>
      </c>
      <c r="HP136" t="s">
        <v>3</v>
      </c>
      <c r="HQ136" t="s">
        <v>3</v>
      </c>
      <c r="HS136">
        <v>0</v>
      </c>
      <c r="IK136">
        <v>0</v>
      </c>
    </row>
    <row r="137" spans="1:255" x14ac:dyDescent="0.2">
      <c r="A137" s="2">
        <v>17</v>
      </c>
      <c r="B137" s="2">
        <v>1</v>
      </c>
      <c r="C137" s="2"/>
      <c r="D137" s="2">
        <f>ROW(EtalonRes!A289)</f>
        <v>289</v>
      </c>
      <c r="E137" s="2" t="s">
        <v>243</v>
      </c>
      <c r="F137" s="2" t="s">
        <v>244</v>
      </c>
      <c r="G137" s="2" t="s">
        <v>713</v>
      </c>
      <c r="H137" s="2" t="s">
        <v>245</v>
      </c>
      <c r="I137" s="2">
        <v>0</v>
      </c>
      <c r="J137" s="2">
        <v>0</v>
      </c>
      <c r="K137" s="2">
        <v>0</v>
      </c>
      <c r="L137" s="2"/>
      <c r="M137" s="2"/>
      <c r="N137" s="2"/>
      <c r="O137" s="2">
        <f t="shared" si="114"/>
        <v>0</v>
      </c>
      <c r="P137" s="2">
        <f t="shared" si="115"/>
        <v>0</v>
      </c>
      <c r="Q137" s="2">
        <f t="shared" si="143"/>
        <v>0</v>
      </c>
      <c r="R137" s="2">
        <f t="shared" si="116"/>
        <v>0</v>
      </c>
      <c r="S137" s="2">
        <f t="shared" si="117"/>
        <v>0</v>
      </c>
      <c r="T137" s="2">
        <f t="shared" si="118"/>
        <v>0</v>
      </c>
      <c r="U137" s="2">
        <f t="shared" si="119"/>
        <v>0</v>
      </c>
      <c r="V137" s="2">
        <f t="shared" si="120"/>
        <v>0</v>
      </c>
      <c r="W137" s="2">
        <f t="shared" si="121"/>
        <v>0</v>
      </c>
      <c r="X137" s="2">
        <f t="shared" si="122"/>
        <v>0</v>
      </c>
      <c r="Y137" s="2">
        <f t="shared" si="123"/>
        <v>0</v>
      </c>
      <c r="Z137" s="2"/>
      <c r="AA137" s="2">
        <v>56622490</v>
      </c>
      <c r="AB137" s="2">
        <f t="shared" si="124"/>
        <v>214.79750000000001</v>
      </c>
      <c r="AC137" s="2">
        <f t="shared" si="102"/>
        <v>27.53</v>
      </c>
      <c r="AD137" s="2">
        <f t="shared" si="144"/>
        <v>1.9319999999999999</v>
      </c>
      <c r="AE137" s="2">
        <f t="shared" si="145"/>
        <v>0.27300000000000002</v>
      </c>
      <c r="AF137" s="2">
        <f t="shared" si="146"/>
        <v>185.3355</v>
      </c>
      <c r="AG137" s="2">
        <f t="shared" si="125"/>
        <v>0</v>
      </c>
      <c r="AH137" s="2">
        <f t="shared" si="147"/>
        <v>15.6975</v>
      </c>
      <c r="AI137" s="2">
        <f t="shared" si="148"/>
        <v>0</v>
      </c>
      <c r="AJ137" s="2">
        <f t="shared" si="126"/>
        <v>0</v>
      </c>
      <c r="AK137" s="2">
        <v>205.88</v>
      </c>
      <c r="AL137" s="2">
        <v>27.53</v>
      </c>
      <c r="AM137" s="2">
        <v>1.84</v>
      </c>
      <c r="AN137" s="2">
        <v>0.26</v>
      </c>
      <c r="AO137" s="2">
        <v>176.51</v>
      </c>
      <c r="AP137" s="2">
        <v>0</v>
      </c>
      <c r="AQ137" s="2">
        <v>14.95</v>
      </c>
      <c r="AR137" s="2">
        <v>0</v>
      </c>
      <c r="AS137" s="2">
        <v>0</v>
      </c>
      <c r="AT137" s="2">
        <v>112</v>
      </c>
      <c r="AU137" s="2">
        <v>70</v>
      </c>
      <c r="AV137" s="2">
        <v>1.0469999999999999</v>
      </c>
      <c r="AW137" s="2">
        <v>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0</v>
      </c>
      <c r="BI137" s="2">
        <v>2</v>
      </c>
      <c r="BJ137" s="2" t="s">
        <v>246</v>
      </c>
      <c r="BK137" s="2"/>
      <c r="BL137" s="2"/>
      <c r="BM137" s="2">
        <v>2170</v>
      </c>
      <c r="BN137" s="2">
        <v>0</v>
      </c>
      <c r="BO137" s="2" t="s">
        <v>3</v>
      </c>
      <c r="BP137" s="2">
        <v>0</v>
      </c>
      <c r="BQ137" s="2">
        <v>40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112</v>
      </c>
      <c r="CA137" s="2">
        <v>70</v>
      </c>
      <c r="CB137" s="2" t="s">
        <v>3</v>
      </c>
      <c r="CC137" s="2"/>
      <c r="CD137" s="2"/>
      <c r="CE137" s="2">
        <v>30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708</v>
      </c>
      <c r="CO137" s="2">
        <v>0</v>
      </c>
      <c r="CP137" s="2">
        <f t="shared" si="127"/>
        <v>0</v>
      </c>
      <c r="CQ137" s="2">
        <f t="shared" si="128"/>
        <v>27.53</v>
      </c>
      <c r="CR137" s="2">
        <f t="shared" si="149"/>
        <v>2.02</v>
      </c>
      <c r="CS137" s="2">
        <f t="shared" si="129"/>
        <v>0.28999999999999998</v>
      </c>
      <c r="CT137" s="2">
        <f t="shared" si="130"/>
        <v>194.05</v>
      </c>
      <c r="CU137" s="2">
        <f t="shared" si="131"/>
        <v>0</v>
      </c>
      <c r="CV137" s="2">
        <f t="shared" si="132"/>
        <v>16.4352825</v>
      </c>
      <c r="CW137" s="2">
        <f t="shared" si="133"/>
        <v>0</v>
      </c>
      <c r="CX137" s="2">
        <f t="shared" si="134"/>
        <v>0</v>
      </c>
      <c r="CY137" s="2">
        <f>((S137*BZ137)/100)</f>
        <v>0</v>
      </c>
      <c r="CZ137" s="2">
        <f>((S137*CA137)/100)</f>
        <v>0</v>
      </c>
      <c r="DA137" s="2"/>
      <c r="DB137" s="2">
        <v>73</v>
      </c>
      <c r="DC137" s="2" t="s">
        <v>3</v>
      </c>
      <c r="DD137" s="2" t="s">
        <v>3</v>
      </c>
      <c r="DE137" s="2" t="s">
        <v>22</v>
      </c>
      <c r="DF137" s="2" t="s">
        <v>22</v>
      </c>
      <c r="DG137" s="2" t="s">
        <v>22</v>
      </c>
      <c r="DH137" s="2" t="s">
        <v>3</v>
      </c>
      <c r="DI137" s="2" t="s">
        <v>22</v>
      </c>
      <c r="DJ137" s="2" t="s">
        <v>22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1013</v>
      </c>
      <c r="DV137" s="2" t="s">
        <v>245</v>
      </c>
      <c r="DW137" s="2" t="s">
        <v>245</v>
      </c>
      <c r="DX137" s="2">
        <v>1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51698215</v>
      </c>
      <c r="EF137" s="2">
        <v>40</v>
      </c>
      <c r="EG137" s="2" t="s">
        <v>165</v>
      </c>
      <c r="EH137" s="2">
        <v>0</v>
      </c>
      <c r="EI137" s="2" t="s">
        <v>3</v>
      </c>
      <c r="EJ137" s="2">
        <v>2</v>
      </c>
      <c r="EK137" s="2">
        <v>2170</v>
      </c>
      <c r="EL137" s="2" t="s">
        <v>247</v>
      </c>
      <c r="EM137" s="2" t="s">
        <v>248</v>
      </c>
      <c r="EN137" s="2"/>
      <c r="EO137" s="2" t="s">
        <v>26</v>
      </c>
      <c r="EP137" s="2"/>
      <c r="EQ137" s="2">
        <v>131072</v>
      </c>
      <c r="ER137" s="2">
        <v>205.88</v>
      </c>
      <c r="ES137" s="2">
        <v>27.53</v>
      </c>
      <c r="ET137" s="2">
        <v>1.84</v>
      </c>
      <c r="EU137" s="2">
        <v>0.26</v>
      </c>
      <c r="EV137" s="2">
        <v>176.51</v>
      </c>
      <c r="EW137" s="2">
        <v>14.95</v>
      </c>
      <c r="EX137" s="2">
        <v>0</v>
      </c>
      <c r="EY137" s="2">
        <v>0</v>
      </c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v>0</v>
      </c>
      <c r="FS137" s="2">
        <v>0</v>
      </c>
      <c r="FT137" s="2"/>
      <c r="FU137" s="2"/>
      <c r="FV137" s="2"/>
      <c r="FW137" s="2"/>
      <c r="FX137" s="2">
        <v>112</v>
      </c>
      <c r="FY137" s="2">
        <v>70</v>
      </c>
      <c r="FZ137" s="2"/>
      <c r="GA137" s="2" t="s">
        <v>3</v>
      </c>
      <c r="GB137" s="2"/>
      <c r="GC137" s="2"/>
      <c r="GD137" s="2">
        <v>0</v>
      </c>
      <c r="GE137" s="2"/>
      <c r="GF137" s="2">
        <v>-849657583</v>
      </c>
      <c r="GG137" s="2">
        <v>2</v>
      </c>
      <c r="GH137" s="2">
        <v>1</v>
      </c>
      <c r="GI137" s="2">
        <v>-2</v>
      </c>
      <c r="GJ137" s="2">
        <v>0</v>
      </c>
      <c r="GK137" s="2">
        <f>ROUND(R137*(R12)/100,2)</f>
        <v>0</v>
      </c>
      <c r="GL137" s="2">
        <f t="shared" si="135"/>
        <v>0</v>
      </c>
      <c r="GM137" s="2">
        <f t="shared" si="136"/>
        <v>0</v>
      </c>
      <c r="GN137" s="2">
        <f t="shared" si="137"/>
        <v>0</v>
      </c>
      <c r="GO137" s="2">
        <f t="shared" si="138"/>
        <v>0</v>
      </c>
      <c r="GP137" s="2">
        <f t="shared" si="139"/>
        <v>0</v>
      </c>
      <c r="GQ137" s="2"/>
      <c r="GR137" s="2">
        <v>0</v>
      </c>
      <c r="GS137" s="2">
        <v>0</v>
      </c>
      <c r="GT137" s="2">
        <v>0</v>
      </c>
      <c r="GU137" s="2" t="s">
        <v>3</v>
      </c>
      <c r="GV137" s="2">
        <f t="shared" si="140"/>
        <v>0</v>
      </c>
      <c r="GW137" s="2">
        <v>1</v>
      </c>
      <c r="GX137" s="2">
        <f t="shared" si="141"/>
        <v>0</v>
      </c>
      <c r="GY137" s="2"/>
      <c r="GZ137" s="2"/>
      <c r="HA137" s="2">
        <v>0</v>
      </c>
      <c r="HB137" s="2">
        <v>0</v>
      </c>
      <c r="HC137" s="2">
        <f t="shared" si="142"/>
        <v>0</v>
      </c>
      <c r="HD137" s="2"/>
      <c r="HE137" s="2" t="s">
        <v>3</v>
      </c>
      <c r="HF137" s="2" t="s">
        <v>3</v>
      </c>
      <c r="HG137" s="2"/>
      <c r="HH137" s="2"/>
      <c r="HI137" s="2"/>
      <c r="HJ137" s="2"/>
      <c r="HK137" s="2"/>
      <c r="HL137" s="2"/>
      <c r="HM137" s="2" t="s">
        <v>3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2">
      <c r="A138">
        <v>17</v>
      </c>
      <c r="B138">
        <v>1</v>
      </c>
      <c r="D138">
        <f>ROW(EtalonRes!A294)</f>
        <v>294</v>
      </c>
      <c r="E138" t="s">
        <v>243</v>
      </c>
      <c r="F138" t="s">
        <v>244</v>
      </c>
      <c r="G138" t="s">
        <v>713</v>
      </c>
      <c r="H138" t="s">
        <v>245</v>
      </c>
      <c r="I138">
        <v>0</v>
      </c>
      <c r="J138">
        <v>0</v>
      </c>
      <c r="K138">
        <v>0</v>
      </c>
      <c r="O138">
        <f t="shared" si="114"/>
        <v>0</v>
      </c>
      <c r="P138">
        <f t="shared" si="115"/>
        <v>0</v>
      </c>
      <c r="Q138">
        <f t="shared" si="143"/>
        <v>0</v>
      </c>
      <c r="R138">
        <f t="shared" si="116"/>
        <v>0</v>
      </c>
      <c r="S138">
        <f t="shared" si="117"/>
        <v>0</v>
      </c>
      <c r="T138">
        <f t="shared" si="118"/>
        <v>0</v>
      </c>
      <c r="U138">
        <f t="shared" si="119"/>
        <v>0</v>
      </c>
      <c r="V138">
        <f t="shared" si="120"/>
        <v>0</v>
      </c>
      <c r="W138">
        <f t="shared" si="121"/>
        <v>0</v>
      </c>
      <c r="X138">
        <f t="shared" si="122"/>
        <v>0</v>
      </c>
      <c r="Y138">
        <f t="shared" si="123"/>
        <v>0</v>
      </c>
      <c r="AA138">
        <v>56610029</v>
      </c>
      <c r="AB138">
        <f t="shared" si="124"/>
        <v>214.79750000000001</v>
      </c>
      <c r="AC138">
        <f t="shared" si="102"/>
        <v>27.53</v>
      </c>
      <c r="AD138">
        <f t="shared" si="144"/>
        <v>1.9319999999999999</v>
      </c>
      <c r="AE138">
        <f t="shared" si="145"/>
        <v>0.27300000000000002</v>
      </c>
      <c r="AF138">
        <f t="shared" si="146"/>
        <v>185.3355</v>
      </c>
      <c r="AG138">
        <f t="shared" si="125"/>
        <v>0</v>
      </c>
      <c r="AH138">
        <f t="shared" si="147"/>
        <v>15.6975</v>
      </c>
      <c r="AI138">
        <f t="shared" si="148"/>
        <v>0</v>
      </c>
      <c r="AJ138">
        <f t="shared" si="126"/>
        <v>0</v>
      </c>
      <c r="AK138">
        <v>205.88</v>
      </c>
      <c r="AL138">
        <v>27.53</v>
      </c>
      <c r="AM138">
        <v>1.84</v>
      </c>
      <c r="AN138">
        <v>0.26</v>
      </c>
      <c r="AO138">
        <v>176.51</v>
      </c>
      <c r="AP138">
        <v>0</v>
      </c>
      <c r="AQ138">
        <v>14.95</v>
      </c>
      <c r="AR138">
        <v>0</v>
      </c>
      <c r="AS138">
        <v>0</v>
      </c>
      <c r="AT138">
        <v>92</v>
      </c>
      <c r="AU138">
        <v>43</v>
      </c>
      <c r="AV138">
        <v>1.0469999999999999</v>
      </c>
      <c r="AW138">
        <v>1</v>
      </c>
      <c r="AZ138">
        <v>1</v>
      </c>
      <c r="BA138">
        <v>34.51</v>
      </c>
      <c r="BB138">
        <v>12.57</v>
      </c>
      <c r="BC138">
        <v>10.15</v>
      </c>
      <c r="BD138" t="s">
        <v>3</v>
      </c>
      <c r="BE138" t="s">
        <v>3</v>
      </c>
      <c r="BF138" t="s">
        <v>3</v>
      </c>
      <c r="BG138" t="s">
        <v>3</v>
      </c>
      <c r="BH138">
        <v>0</v>
      </c>
      <c r="BI138">
        <v>2</v>
      </c>
      <c r="BJ138" t="s">
        <v>246</v>
      </c>
      <c r="BM138">
        <v>2170</v>
      </c>
      <c r="BN138">
        <v>0</v>
      </c>
      <c r="BO138" t="s">
        <v>244</v>
      </c>
      <c r="BP138">
        <v>1</v>
      </c>
      <c r="BQ138">
        <v>40</v>
      </c>
      <c r="BR138">
        <v>0</v>
      </c>
      <c r="BS138">
        <v>34.51</v>
      </c>
      <c r="BT138">
        <v>1</v>
      </c>
      <c r="BU138">
        <v>1</v>
      </c>
      <c r="BV138">
        <v>1</v>
      </c>
      <c r="BW138">
        <v>1</v>
      </c>
      <c r="BX138">
        <v>1</v>
      </c>
      <c r="BY138" t="s">
        <v>3</v>
      </c>
      <c r="BZ138">
        <v>92</v>
      </c>
      <c r="CA138">
        <v>43</v>
      </c>
      <c r="CB138" t="s">
        <v>3</v>
      </c>
      <c r="CE138">
        <v>30</v>
      </c>
      <c r="CF138">
        <v>0</v>
      </c>
      <c r="CG138">
        <v>0</v>
      </c>
      <c r="CM138">
        <v>0</v>
      </c>
      <c r="CN138" t="s">
        <v>708</v>
      </c>
      <c r="CO138">
        <v>0</v>
      </c>
      <c r="CP138">
        <f t="shared" si="127"/>
        <v>0</v>
      </c>
      <c r="CQ138">
        <f t="shared" si="128"/>
        <v>279.43</v>
      </c>
      <c r="CR138">
        <f t="shared" si="149"/>
        <v>25.39</v>
      </c>
      <c r="CS138">
        <f t="shared" si="129"/>
        <v>10.01</v>
      </c>
      <c r="CT138">
        <f t="shared" si="130"/>
        <v>6696.67</v>
      </c>
      <c r="CU138">
        <f t="shared" si="131"/>
        <v>0</v>
      </c>
      <c r="CV138">
        <f t="shared" si="132"/>
        <v>16.4352825</v>
      </c>
      <c r="CW138">
        <f t="shared" si="133"/>
        <v>0</v>
      </c>
      <c r="CX138">
        <f t="shared" si="134"/>
        <v>0</v>
      </c>
      <c r="CY138">
        <f>S138*(BZ138/100)</f>
        <v>0</v>
      </c>
      <c r="CZ138">
        <f>S138*(CA138/100)</f>
        <v>0</v>
      </c>
      <c r="DB138">
        <v>74</v>
      </c>
      <c r="DC138" t="s">
        <v>3</v>
      </c>
      <c r="DD138" t="s">
        <v>3</v>
      </c>
      <c r="DE138" t="s">
        <v>22</v>
      </c>
      <c r="DF138" t="s">
        <v>22</v>
      </c>
      <c r="DG138" t="s">
        <v>22</v>
      </c>
      <c r="DH138" t="s">
        <v>3</v>
      </c>
      <c r="DI138" t="s">
        <v>22</v>
      </c>
      <c r="DJ138" t="s">
        <v>22</v>
      </c>
      <c r="DK138" t="s">
        <v>3</v>
      </c>
      <c r="DL138" t="s">
        <v>3</v>
      </c>
      <c r="DM138" t="s">
        <v>3</v>
      </c>
      <c r="DN138">
        <v>112</v>
      </c>
      <c r="DO138">
        <v>70</v>
      </c>
      <c r="DP138">
        <v>1.0469999999999999</v>
      </c>
      <c r="DQ138">
        <v>1</v>
      </c>
      <c r="DU138">
        <v>1013</v>
      </c>
      <c r="DV138" t="s">
        <v>245</v>
      </c>
      <c r="DW138" t="s">
        <v>245</v>
      </c>
      <c r="DX138">
        <v>1</v>
      </c>
      <c r="DZ138" t="s">
        <v>3</v>
      </c>
      <c r="EA138" t="s">
        <v>3</v>
      </c>
      <c r="EB138" t="s">
        <v>3</v>
      </c>
      <c r="EC138" t="s">
        <v>3</v>
      </c>
      <c r="EE138">
        <v>51698215</v>
      </c>
      <c r="EF138">
        <v>40</v>
      </c>
      <c r="EG138" t="s">
        <v>165</v>
      </c>
      <c r="EH138">
        <v>0</v>
      </c>
      <c r="EI138" t="s">
        <v>3</v>
      </c>
      <c r="EJ138">
        <v>2</v>
      </c>
      <c r="EK138">
        <v>2170</v>
      </c>
      <c r="EL138" t="s">
        <v>247</v>
      </c>
      <c r="EM138" t="s">
        <v>248</v>
      </c>
      <c r="EO138" t="s">
        <v>26</v>
      </c>
      <c r="EQ138">
        <v>131072</v>
      </c>
      <c r="ER138">
        <v>205.88</v>
      </c>
      <c r="ES138">
        <v>27.53</v>
      </c>
      <c r="ET138">
        <v>1.84</v>
      </c>
      <c r="EU138">
        <v>0.26</v>
      </c>
      <c r="EV138">
        <v>176.51</v>
      </c>
      <c r="EW138">
        <v>14.95</v>
      </c>
      <c r="EX138">
        <v>0</v>
      </c>
      <c r="EY138">
        <v>0</v>
      </c>
      <c r="FQ138">
        <v>0</v>
      </c>
      <c r="FR138">
        <v>0</v>
      </c>
      <c r="FS138">
        <v>0</v>
      </c>
      <c r="FX138">
        <v>112</v>
      </c>
      <c r="FY138">
        <v>70</v>
      </c>
      <c r="GA138" t="s">
        <v>3</v>
      </c>
      <c r="GD138">
        <v>0</v>
      </c>
      <c r="GF138">
        <v>-849657583</v>
      </c>
      <c r="GG138">
        <v>2</v>
      </c>
      <c r="GH138">
        <v>1</v>
      </c>
      <c r="GI138">
        <v>2</v>
      </c>
      <c r="GJ138">
        <v>0</v>
      </c>
      <c r="GK138">
        <f>ROUND(R138*(S12)/100,2)</f>
        <v>0</v>
      </c>
      <c r="GL138">
        <f t="shared" si="135"/>
        <v>0</v>
      </c>
      <c r="GM138">
        <f t="shared" si="136"/>
        <v>0</v>
      </c>
      <c r="GN138">
        <f t="shared" si="137"/>
        <v>0</v>
      </c>
      <c r="GO138">
        <f t="shared" si="138"/>
        <v>0</v>
      </c>
      <c r="GP138">
        <f t="shared" si="139"/>
        <v>0</v>
      </c>
      <c r="GR138">
        <v>0</v>
      </c>
      <c r="GS138">
        <v>3</v>
      </c>
      <c r="GT138">
        <v>0</v>
      </c>
      <c r="GU138" t="s">
        <v>3</v>
      </c>
      <c r="GV138">
        <f t="shared" si="140"/>
        <v>0</v>
      </c>
      <c r="GW138">
        <v>1</v>
      </c>
      <c r="GX138">
        <f t="shared" si="141"/>
        <v>0</v>
      </c>
      <c r="HA138">
        <v>0</v>
      </c>
      <c r="HB138">
        <v>0</v>
      </c>
      <c r="HC138">
        <f t="shared" si="142"/>
        <v>0</v>
      </c>
      <c r="HE138" t="s">
        <v>3</v>
      </c>
      <c r="HF138" t="s">
        <v>3</v>
      </c>
      <c r="HM138" t="s">
        <v>3</v>
      </c>
      <c r="HN138" t="s">
        <v>3</v>
      </c>
      <c r="HO138" t="s">
        <v>3</v>
      </c>
      <c r="HP138" t="s">
        <v>3</v>
      </c>
      <c r="HQ138" t="s">
        <v>3</v>
      </c>
      <c r="HS138">
        <v>0</v>
      </c>
      <c r="IK138">
        <v>0</v>
      </c>
    </row>
    <row r="139" spans="1:255" x14ac:dyDescent="0.2">
      <c r="A139" s="2">
        <v>17</v>
      </c>
      <c r="B139" s="2">
        <v>1</v>
      </c>
      <c r="C139" s="2"/>
      <c r="D139" s="2"/>
      <c r="E139" s="2" t="s">
        <v>249</v>
      </c>
      <c r="F139" s="2" t="s">
        <v>250</v>
      </c>
      <c r="G139" s="2" t="s">
        <v>714</v>
      </c>
      <c r="H139" s="2" t="s">
        <v>241</v>
      </c>
      <c r="I139" s="2">
        <v>0</v>
      </c>
      <c r="J139" s="2">
        <v>0</v>
      </c>
      <c r="K139" s="2">
        <v>0</v>
      </c>
      <c r="L139" s="2"/>
      <c r="M139" s="2"/>
      <c r="N139" s="2"/>
      <c r="O139" s="2">
        <f t="shared" si="114"/>
        <v>0</v>
      </c>
      <c r="P139" s="2">
        <f t="shared" si="115"/>
        <v>0</v>
      </c>
      <c r="Q139" s="2">
        <f t="shared" si="143"/>
        <v>0</v>
      </c>
      <c r="R139" s="2">
        <f t="shared" si="116"/>
        <v>0</v>
      </c>
      <c r="S139" s="2">
        <f t="shared" si="117"/>
        <v>0</v>
      </c>
      <c r="T139" s="2">
        <f t="shared" si="118"/>
        <v>0</v>
      </c>
      <c r="U139" s="2">
        <f t="shared" si="119"/>
        <v>0</v>
      </c>
      <c r="V139" s="2">
        <f t="shared" si="120"/>
        <v>0</v>
      </c>
      <c r="W139" s="2">
        <f t="shared" si="121"/>
        <v>0</v>
      </c>
      <c r="X139" s="2">
        <f t="shared" si="122"/>
        <v>0</v>
      </c>
      <c r="Y139" s="2">
        <f t="shared" si="123"/>
        <v>0</v>
      </c>
      <c r="Z139" s="2"/>
      <c r="AA139" s="2">
        <v>56622490</v>
      </c>
      <c r="AB139" s="2">
        <f t="shared" si="124"/>
        <v>10482.629999999999</v>
      </c>
      <c r="AC139" s="2">
        <f t="shared" si="102"/>
        <v>10482.629999999999</v>
      </c>
      <c r="AD139" s="2">
        <f t="shared" si="144"/>
        <v>0</v>
      </c>
      <c r="AE139" s="2">
        <f t="shared" si="145"/>
        <v>0</v>
      </c>
      <c r="AF139" s="2">
        <f t="shared" si="146"/>
        <v>0</v>
      </c>
      <c r="AG139" s="2">
        <f t="shared" si="125"/>
        <v>0</v>
      </c>
      <c r="AH139" s="2">
        <f t="shared" si="147"/>
        <v>0</v>
      </c>
      <c r="AI139" s="2">
        <f t="shared" si="148"/>
        <v>0</v>
      </c>
      <c r="AJ139" s="2">
        <f t="shared" si="126"/>
        <v>0</v>
      </c>
      <c r="AK139" s="2">
        <v>10482.629999999999</v>
      </c>
      <c r="AL139" s="2">
        <v>10482.629999999999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1</v>
      </c>
      <c r="AW139" s="2">
        <v>1</v>
      </c>
      <c r="AX139" s="2"/>
      <c r="AY139" s="2"/>
      <c r="AZ139" s="2">
        <v>1</v>
      </c>
      <c r="BA139" s="2">
        <v>1</v>
      </c>
      <c r="BB139" s="2">
        <v>1</v>
      </c>
      <c r="BC139" s="2">
        <v>1</v>
      </c>
      <c r="BD139" s="2" t="s">
        <v>3</v>
      </c>
      <c r="BE139" s="2" t="s">
        <v>3</v>
      </c>
      <c r="BF139" s="2" t="s">
        <v>3</v>
      </c>
      <c r="BG139" s="2" t="s">
        <v>3</v>
      </c>
      <c r="BH139" s="2">
        <v>3</v>
      </c>
      <c r="BI139" s="2">
        <v>2</v>
      </c>
      <c r="BJ139" s="2" t="s">
        <v>251</v>
      </c>
      <c r="BK139" s="2"/>
      <c r="BL139" s="2"/>
      <c r="BM139" s="2">
        <v>1618</v>
      </c>
      <c r="BN139" s="2">
        <v>0</v>
      </c>
      <c r="BO139" s="2" t="s">
        <v>3</v>
      </c>
      <c r="BP139" s="2">
        <v>0</v>
      </c>
      <c r="BQ139" s="2">
        <v>201</v>
      </c>
      <c r="BR139" s="2">
        <v>0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 t="s">
        <v>3</v>
      </c>
      <c r="BZ139" s="2">
        <v>0</v>
      </c>
      <c r="CA139" s="2">
        <v>0</v>
      </c>
      <c r="CB139" s="2" t="s">
        <v>3</v>
      </c>
      <c r="CC139" s="2"/>
      <c r="CD139" s="2"/>
      <c r="CE139" s="2">
        <v>30</v>
      </c>
      <c r="CF139" s="2">
        <v>0</v>
      </c>
      <c r="CG139" s="2">
        <v>0</v>
      </c>
      <c r="CH139" s="2"/>
      <c r="CI139" s="2"/>
      <c r="CJ139" s="2"/>
      <c r="CK139" s="2"/>
      <c r="CL139" s="2"/>
      <c r="CM139" s="2">
        <v>0</v>
      </c>
      <c r="CN139" s="2" t="s">
        <v>708</v>
      </c>
      <c r="CO139" s="2">
        <v>0</v>
      </c>
      <c r="CP139" s="2">
        <f t="shared" si="127"/>
        <v>0</v>
      </c>
      <c r="CQ139" s="2">
        <f t="shared" si="128"/>
        <v>10482.629999999999</v>
      </c>
      <c r="CR139" s="2">
        <f t="shared" si="149"/>
        <v>0</v>
      </c>
      <c r="CS139" s="2">
        <f t="shared" si="129"/>
        <v>0</v>
      </c>
      <c r="CT139" s="2">
        <f t="shared" si="130"/>
        <v>0</v>
      </c>
      <c r="CU139" s="2">
        <f t="shared" si="131"/>
        <v>0</v>
      </c>
      <c r="CV139" s="2">
        <f t="shared" si="132"/>
        <v>0</v>
      </c>
      <c r="CW139" s="2">
        <f t="shared" si="133"/>
        <v>0</v>
      </c>
      <c r="CX139" s="2">
        <f t="shared" si="134"/>
        <v>0</v>
      </c>
      <c r="CY139" s="2">
        <f>((S139*BZ139)/100)</f>
        <v>0</v>
      </c>
      <c r="CZ139" s="2">
        <f>((S139*CA139)/100)</f>
        <v>0</v>
      </c>
      <c r="DA139" s="2"/>
      <c r="DB139" s="2">
        <v>75</v>
      </c>
      <c r="DC139" s="2" t="s">
        <v>3</v>
      </c>
      <c r="DD139" s="2" t="s">
        <v>3</v>
      </c>
      <c r="DE139" s="2" t="s">
        <v>22</v>
      </c>
      <c r="DF139" s="2" t="s">
        <v>22</v>
      </c>
      <c r="DG139" s="2" t="s">
        <v>22</v>
      </c>
      <c r="DH139" s="2" t="s">
        <v>3</v>
      </c>
      <c r="DI139" s="2" t="s">
        <v>22</v>
      </c>
      <c r="DJ139" s="2" t="s">
        <v>22</v>
      </c>
      <c r="DK139" s="2" t="s">
        <v>3</v>
      </c>
      <c r="DL139" s="2" t="s">
        <v>3</v>
      </c>
      <c r="DM139" s="2" t="s">
        <v>3</v>
      </c>
      <c r="DN139" s="2">
        <v>0</v>
      </c>
      <c r="DO139" s="2">
        <v>0</v>
      </c>
      <c r="DP139" s="2">
        <v>1</v>
      </c>
      <c r="DQ139" s="2">
        <v>1</v>
      </c>
      <c r="DR139" s="2"/>
      <c r="DS139" s="2"/>
      <c r="DT139" s="2"/>
      <c r="DU139" s="2">
        <v>1013</v>
      </c>
      <c r="DV139" s="2" t="s">
        <v>241</v>
      </c>
      <c r="DW139" s="2" t="s">
        <v>241</v>
      </c>
      <c r="DX139" s="2">
        <v>1</v>
      </c>
      <c r="DY139" s="2"/>
      <c r="DZ139" s="2" t="s">
        <v>3</v>
      </c>
      <c r="EA139" s="2" t="s">
        <v>3</v>
      </c>
      <c r="EB139" s="2" t="s">
        <v>3</v>
      </c>
      <c r="EC139" s="2" t="s">
        <v>3</v>
      </c>
      <c r="ED139" s="2"/>
      <c r="EE139" s="2">
        <v>51697657</v>
      </c>
      <c r="EF139" s="2">
        <v>201</v>
      </c>
      <c r="EG139" s="2" t="s">
        <v>196</v>
      </c>
      <c r="EH139" s="2">
        <v>0</v>
      </c>
      <c r="EI139" s="2" t="s">
        <v>3</v>
      </c>
      <c r="EJ139" s="2">
        <v>2</v>
      </c>
      <c r="EK139" s="2">
        <v>1618</v>
      </c>
      <c r="EL139" s="2" t="s">
        <v>197</v>
      </c>
      <c r="EM139" s="2" t="s">
        <v>198</v>
      </c>
      <c r="EN139" s="2"/>
      <c r="EO139" s="2" t="s">
        <v>26</v>
      </c>
      <c r="EP139" s="2"/>
      <c r="EQ139" s="2">
        <v>131072</v>
      </c>
      <c r="ER139" s="2">
        <v>10482.629999999999</v>
      </c>
      <c r="ES139" s="2">
        <v>10482.629999999999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>
        <v>0</v>
      </c>
      <c r="FR139" s="2">
        <v>0</v>
      </c>
      <c r="FS139" s="2">
        <v>0</v>
      </c>
      <c r="FT139" s="2"/>
      <c r="FU139" s="2"/>
      <c r="FV139" s="2"/>
      <c r="FW139" s="2"/>
      <c r="FX139" s="2">
        <v>0</v>
      </c>
      <c r="FY139" s="2">
        <v>0</v>
      </c>
      <c r="FZ139" s="2"/>
      <c r="GA139" s="2" t="s">
        <v>3</v>
      </c>
      <c r="GB139" s="2"/>
      <c r="GC139" s="2"/>
      <c r="GD139" s="2">
        <v>0</v>
      </c>
      <c r="GE139" s="2"/>
      <c r="GF139" s="2">
        <v>23011460</v>
      </c>
      <c r="GG139" s="2">
        <v>2</v>
      </c>
      <c r="GH139" s="2">
        <v>1</v>
      </c>
      <c r="GI139" s="2">
        <v>-2</v>
      </c>
      <c r="GJ139" s="2">
        <v>0</v>
      </c>
      <c r="GK139" s="2">
        <f>ROUND(R139*(R12)/100,2)</f>
        <v>0</v>
      </c>
      <c r="GL139" s="2">
        <f t="shared" si="135"/>
        <v>0</v>
      </c>
      <c r="GM139" s="2">
        <f t="shared" si="136"/>
        <v>0</v>
      </c>
      <c r="GN139" s="2">
        <f t="shared" si="137"/>
        <v>0</v>
      </c>
      <c r="GO139" s="2">
        <f t="shared" si="138"/>
        <v>0</v>
      </c>
      <c r="GP139" s="2">
        <f t="shared" si="139"/>
        <v>0</v>
      </c>
      <c r="GQ139" s="2"/>
      <c r="GR139" s="2">
        <v>0</v>
      </c>
      <c r="GS139" s="2">
        <v>0</v>
      </c>
      <c r="GT139" s="2">
        <v>0</v>
      </c>
      <c r="GU139" s="2" t="s">
        <v>3</v>
      </c>
      <c r="GV139" s="2">
        <f t="shared" si="140"/>
        <v>0</v>
      </c>
      <c r="GW139" s="2">
        <v>1</v>
      </c>
      <c r="GX139" s="2">
        <f t="shared" si="141"/>
        <v>0</v>
      </c>
      <c r="GY139" s="2"/>
      <c r="GZ139" s="2"/>
      <c r="HA139" s="2">
        <v>0</v>
      </c>
      <c r="HB139" s="2">
        <v>0</v>
      </c>
      <c r="HC139" s="2">
        <f t="shared" si="142"/>
        <v>0</v>
      </c>
      <c r="HD139" s="2"/>
      <c r="HE139" s="2" t="s">
        <v>3</v>
      </c>
      <c r="HF139" s="2" t="s">
        <v>3</v>
      </c>
      <c r="HG139" s="2"/>
      <c r="HH139" s="2"/>
      <c r="HI139" s="2"/>
      <c r="HJ139" s="2"/>
      <c r="HK139" s="2"/>
      <c r="HL139" s="2"/>
      <c r="HM139" s="2" t="s">
        <v>3</v>
      </c>
      <c r="HN139" s="2" t="s">
        <v>3</v>
      </c>
      <c r="HO139" s="2" t="s">
        <v>3</v>
      </c>
      <c r="HP139" s="2" t="s">
        <v>3</v>
      </c>
      <c r="HQ139" s="2" t="s">
        <v>3</v>
      </c>
      <c r="HR139" s="2"/>
      <c r="HS139" s="2">
        <v>0</v>
      </c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>
        <v>0</v>
      </c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x14ac:dyDescent="0.2">
      <c r="A140">
        <v>17</v>
      </c>
      <c r="B140">
        <v>1</v>
      </c>
      <c r="E140" t="s">
        <v>249</v>
      </c>
      <c r="F140" t="s">
        <v>250</v>
      </c>
      <c r="G140" t="s">
        <v>714</v>
      </c>
      <c r="H140" t="s">
        <v>241</v>
      </c>
      <c r="I140">
        <v>0</v>
      </c>
      <c r="J140">
        <v>0</v>
      </c>
      <c r="K140">
        <v>0</v>
      </c>
      <c r="O140">
        <f t="shared" si="114"/>
        <v>0</v>
      </c>
      <c r="P140">
        <f t="shared" si="115"/>
        <v>0</v>
      </c>
      <c r="Q140">
        <f t="shared" si="143"/>
        <v>0</v>
      </c>
      <c r="R140">
        <f t="shared" si="116"/>
        <v>0</v>
      </c>
      <c r="S140">
        <f t="shared" si="117"/>
        <v>0</v>
      </c>
      <c r="T140">
        <f t="shared" si="118"/>
        <v>0</v>
      </c>
      <c r="U140">
        <f t="shared" si="119"/>
        <v>0</v>
      </c>
      <c r="V140">
        <f t="shared" si="120"/>
        <v>0</v>
      </c>
      <c r="W140">
        <f t="shared" si="121"/>
        <v>0</v>
      </c>
      <c r="X140">
        <f t="shared" si="122"/>
        <v>0</v>
      </c>
      <c r="Y140">
        <f t="shared" si="123"/>
        <v>0</v>
      </c>
      <c r="AA140">
        <v>56610029</v>
      </c>
      <c r="AB140">
        <f t="shared" si="124"/>
        <v>10482.629999999999</v>
      </c>
      <c r="AC140">
        <f t="shared" si="102"/>
        <v>10482.629999999999</v>
      </c>
      <c r="AD140">
        <f t="shared" si="144"/>
        <v>0</v>
      </c>
      <c r="AE140">
        <f t="shared" si="145"/>
        <v>0</v>
      </c>
      <c r="AF140">
        <f t="shared" si="146"/>
        <v>0</v>
      </c>
      <c r="AG140">
        <f t="shared" si="125"/>
        <v>0</v>
      </c>
      <c r="AH140">
        <f t="shared" si="147"/>
        <v>0</v>
      </c>
      <c r="AI140">
        <f t="shared" si="148"/>
        <v>0</v>
      </c>
      <c r="AJ140">
        <f t="shared" si="126"/>
        <v>0</v>
      </c>
      <c r="AK140">
        <v>10482.629999999999</v>
      </c>
      <c r="AL140">
        <v>10482.629999999999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</v>
      </c>
      <c r="AW140">
        <v>1</v>
      </c>
      <c r="AZ140">
        <v>1</v>
      </c>
      <c r="BA140">
        <v>1</v>
      </c>
      <c r="BB140">
        <v>1</v>
      </c>
      <c r="BC140">
        <v>6.33</v>
      </c>
      <c r="BD140" t="s">
        <v>3</v>
      </c>
      <c r="BE140" t="s">
        <v>3</v>
      </c>
      <c r="BF140" t="s">
        <v>3</v>
      </c>
      <c r="BG140" t="s">
        <v>3</v>
      </c>
      <c r="BH140">
        <v>3</v>
      </c>
      <c r="BI140">
        <v>2</v>
      </c>
      <c r="BJ140" t="s">
        <v>251</v>
      </c>
      <c r="BM140">
        <v>1618</v>
      </c>
      <c r="BN140">
        <v>0</v>
      </c>
      <c r="BO140" t="s">
        <v>250</v>
      </c>
      <c r="BP140">
        <v>1</v>
      </c>
      <c r="BQ140">
        <v>201</v>
      </c>
      <c r="BR140">
        <v>0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 t="s">
        <v>3</v>
      </c>
      <c r="BZ140">
        <v>0</v>
      </c>
      <c r="CA140">
        <v>0</v>
      </c>
      <c r="CB140" t="s">
        <v>3</v>
      </c>
      <c r="CE140">
        <v>30</v>
      </c>
      <c r="CF140">
        <v>0</v>
      </c>
      <c r="CG140">
        <v>0</v>
      </c>
      <c r="CM140">
        <v>0</v>
      </c>
      <c r="CN140" t="s">
        <v>708</v>
      </c>
      <c r="CO140">
        <v>0</v>
      </c>
      <c r="CP140">
        <f t="shared" si="127"/>
        <v>0</v>
      </c>
      <c r="CQ140">
        <f t="shared" si="128"/>
        <v>66355.05</v>
      </c>
      <c r="CR140">
        <f t="shared" si="149"/>
        <v>0</v>
      </c>
      <c r="CS140">
        <f t="shared" si="129"/>
        <v>0</v>
      </c>
      <c r="CT140">
        <f t="shared" si="130"/>
        <v>0</v>
      </c>
      <c r="CU140">
        <f t="shared" si="131"/>
        <v>0</v>
      </c>
      <c r="CV140">
        <f t="shared" si="132"/>
        <v>0</v>
      </c>
      <c r="CW140">
        <f t="shared" si="133"/>
        <v>0</v>
      </c>
      <c r="CX140">
        <f t="shared" si="134"/>
        <v>0</v>
      </c>
      <c r="CY140">
        <f>S140*(BZ140/100)</f>
        <v>0</v>
      </c>
      <c r="CZ140">
        <f>S140*(CA140/100)</f>
        <v>0</v>
      </c>
      <c r="DB140">
        <v>76</v>
      </c>
      <c r="DC140" t="s">
        <v>3</v>
      </c>
      <c r="DD140" t="s">
        <v>3</v>
      </c>
      <c r="DE140" t="s">
        <v>22</v>
      </c>
      <c r="DF140" t="s">
        <v>22</v>
      </c>
      <c r="DG140" t="s">
        <v>22</v>
      </c>
      <c r="DH140" t="s">
        <v>3</v>
      </c>
      <c r="DI140" t="s">
        <v>22</v>
      </c>
      <c r="DJ140" t="s">
        <v>22</v>
      </c>
      <c r="DK140" t="s">
        <v>3</v>
      </c>
      <c r="DL140" t="s">
        <v>3</v>
      </c>
      <c r="DM140" t="s">
        <v>3</v>
      </c>
      <c r="DN140">
        <v>0</v>
      </c>
      <c r="DO140">
        <v>0</v>
      </c>
      <c r="DP140">
        <v>1</v>
      </c>
      <c r="DQ140">
        <v>1</v>
      </c>
      <c r="DU140">
        <v>1013</v>
      </c>
      <c r="DV140" t="s">
        <v>241</v>
      </c>
      <c r="DW140" t="s">
        <v>241</v>
      </c>
      <c r="DX140">
        <v>1</v>
      </c>
      <c r="DZ140" t="s">
        <v>3</v>
      </c>
      <c r="EA140" t="s">
        <v>3</v>
      </c>
      <c r="EB140" t="s">
        <v>3</v>
      </c>
      <c r="EC140" t="s">
        <v>3</v>
      </c>
      <c r="EE140">
        <v>51697657</v>
      </c>
      <c r="EF140">
        <v>201</v>
      </c>
      <c r="EG140" t="s">
        <v>196</v>
      </c>
      <c r="EH140">
        <v>0</v>
      </c>
      <c r="EI140" t="s">
        <v>3</v>
      </c>
      <c r="EJ140">
        <v>2</v>
      </c>
      <c r="EK140">
        <v>1618</v>
      </c>
      <c r="EL140" t="s">
        <v>197</v>
      </c>
      <c r="EM140" t="s">
        <v>198</v>
      </c>
      <c r="EO140" t="s">
        <v>26</v>
      </c>
      <c r="EQ140">
        <v>131072</v>
      </c>
      <c r="ER140">
        <v>10482.629999999999</v>
      </c>
      <c r="ES140">
        <v>10482.629999999999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FQ140">
        <v>0</v>
      </c>
      <c r="FR140">
        <v>0</v>
      </c>
      <c r="FS140">
        <v>0</v>
      </c>
      <c r="FX140">
        <v>0</v>
      </c>
      <c r="FY140">
        <v>0</v>
      </c>
      <c r="GA140" t="s">
        <v>3</v>
      </c>
      <c r="GD140">
        <v>0</v>
      </c>
      <c r="GF140">
        <v>23011460</v>
      </c>
      <c r="GG140">
        <v>2</v>
      </c>
      <c r="GH140">
        <v>1</v>
      </c>
      <c r="GI140">
        <v>2</v>
      </c>
      <c r="GJ140">
        <v>0</v>
      </c>
      <c r="GK140">
        <f>ROUND(R140*(S12)/100,2)</f>
        <v>0</v>
      </c>
      <c r="GL140">
        <f t="shared" si="135"/>
        <v>0</v>
      </c>
      <c r="GM140">
        <f t="shared" si="136"/>
        <v>0</v>
      </c>
      <c r="GN140">
        <f t="shared" si="137"/>
        <v>0</v>
      </c>
      <c r="GO140">
        <f t="shared" si="138"/>
        <v>0</v>
      </c>
      <c r="GP140">
        <f t="shared" si="139"/>
        <v>0</v>
      </c>
      <c r="GR140">
        <v>0</v>
      </c>
      <c r="GS140">
        <v>3</v>
      </c>
      <c r="GT140">
        <v>0</v>
      </c>
      <c r="GU140" t="s">
        <v>3</v>
      </c>
      <c r="GV140">
        <f t="shared" si="140"/>
        <v>0</v>
      </c>
      <c r="GW140">
        <v>1</v>
      </c>
      <c r="GX140">
        <f t="shared" si="141"/>
        <v>0</v>
      </c>
      <c r="HA140">
        <v>0</v>
      </c>
      <c r="HB140">
        <v>0</v>
      </c>
      <c r="HC140">
        <f t="shared" si="142"/>
        <v>0</v>
      </c>
      <c r="HE140" t="s">
        <v>3</v>
      </c>
      <c r="HF140" t="s">
        <v>3</v>
      </c>
      <c r="HM140" t="s">
        <v>3</v>
      </c>
      <c r="HN140" t="s">
        <v>3</v>
      </c>
      <c r="HO140" t="s">
        <v>3</v>
      </c>
      <c r="HP140" t="s">
        <v>3</v>
      </c>
      <c r="HQ140" t="s">
        <v>3</v>
      </c>
      <c r="HS140">
        <v>0</v>
      </c>
      <c r="IK140">
        <v>0</v>
      </c>
    </row>
    <row r="141" spans="1:255" x14ac:dyDescent="0.2">
      <c r="A141" s="2">
        <v>17</v>
      </c>
      <c r="B141" s="2">
        <v>1</v>
      </c>
      <c r="C141" s="2"/>
      <c r="D141" s="2">
        <f>ROW(EtalonRes!A303)</f>
        <v>303</v>
      </c>
      <c r="E141" s="2" t="s">
        <v>252</v>
      </c>
      <c r="F141" s="2" t="s">
        <v>253</v>
      </c>
      <c r="G141" s="2" t="s">
        <v>254</v>
      </c>
      <c r="H141" s="2" t="s">
        <v>255</v>
      </c>
      <c r="I141" s="2">
        <v>0</v>
      </c>
      <c r="J141" s="2">
        <v>0</v>
      </c>
      <c r="K141" s="2">
        <v>0</v>
      </c>
      <c r="L141" s="2"/>
      <c r="M141" s="2"/>
      <c r="N141" s="2"/>
      <c r="O141" s="2">
        <f t="shared" si="114"/>
        <v>0</v>
      </c>
      <c r="P141" s="2">
        <f t="shared" si="115"/>
        <v>0</v>
      </c>
      <c r="Q141" s="2">
        <f t="shared" si="143"/>
        <v>0</v>
      </c>
      <c r="R141" s="2">
        <f t="shared" si="116"/>
        <v>0</v>
      </c>
      <c r="S141" s="2">
        <f t="shared" si="117"/>
        <v>0</v>
      </c>
      <c r="T141" s="2">
        <f t="shared" si="118"/>
        <v>0</v>
      </c>
      <c r="U141" s="2">
        <f t="shared" si="119"/>
        <v>0</v>
      </c>
      <c r="V141" s="2">
        <f t="shared" si="120"/>
        <v>0</v>
      </c>
      <c r="W141" s="2">
        <f t="shared" si="121"/>
        <v>0</v>
      </c>
      <c r="X141" s="2">
        <f t="shared" si="122"/>
        <v>0</v>
      </c>
      <c r="Y141" s="2">
        <f t="shared" si="123"/>
        <v>0</v>
      </c>
      <c r="Z141" s="2"/>
      <c r="AA141" s="2">
        <v>56622490</v>
      </c>
      <c r="AB141" s="2">
        <f t="shared" si="124"/>
        <v>3540.5250000000001</v>
      </c>
      <c r="AC141" s="2">
        <f t="shared" si="102"/>
        <v>535.53</v>
      </c>
      <c r="AD141" s="2">
        <f t="shared" si="144"/>
        <v>751.45349999999996</v>
      </c>
      <c r="AE141" s="2">
        <f t="shared" si="145"/>
        <v>64.847999999999999</v>
      </c>
      <c r="AF141" s="2">
        <f t="shared" si="146"/>
        <v>2253.5414999999998</v>
      </c>
      <c r="AG141" s="2">
        <f t="shared" si="125"/>
        <v>0</v>
      </c>
      <c r="AH141" s="2">
        <f t="shared" si="147"/>
        <v>163.67400000000001</v>
      </c>
      <c r="AI141" s="2">
        <f t="shared" si="148"/>
        <v>0</v>
      </c>
      <c r="AJ141" s="2">
        <f t="shared" si="126"/>
        <v>0</v>
      </c>
      <c r="AK141" s="2">
        <v>3397.43</v>
      </c>
      <c r="AL141" s="2">
        <v>535.53</v>
      </c>
      <c r="AM141" s="2">
        <v>715.67</v>
      </c>
      <c r="AN141" s="2">
        <v>61.76</v>
      </c>
      <c r="AO141" s="2">
        <v>2146.23</v>
      </c>
      <c r="AP141" s="2">
        <v>0</v>
      </c>
      <c r="AQ141" s="2">
        <v>155.88</v>
      </c>
      <c r="AR141" s="2">
        <v>0</v>
      </c>
      <c r="AS141" s="2">
        <v>0</v>
      </c>
      <c r="AT141" s="2">
        <v>112</v>
      </c>
      <c r="AU141" s="2">
        <v>70</v>
      </c>
      <c r="AV141" s="2">
        <v>1.0469999999999999</v>
      </c>
      <c r="AW141" s="2">
        <v>1</v>
      </c>
      <c r="AX141" s="2"/>
      <c r="AY141" s="2"/>
      <c r="AZ141" s="2">
        <v>1</v>
      </c>
      <c r="BA141" s="2">
        <v>1</v>
      </c>
      <c r="BB141" s="2">
        <v>1</v>
      </c>
      <c r="BC141" s="2">
        <v>1</v>
      </c>
      <c r="BD141" s="2" t="s">
        <v>3</v>
      </c>
      <c r="BE141" s="2" t="s">
        <v>3</v>
      </c>
      <c r="BF141" s="2" t="s">
        <v>3</v>
      </c>
      <c r="BG141" s="2" t="s">
        <v>3</v>
      </c>
      <c r="BH141" s="2">
        <v>0</v>
      </c>
      <c r="BI141" s="2">
        <v>2</v>
      </c>
      <c r="BJ141" s="2" t="s">
        <v>256</v>
      </c>
      <c r="BK141" s="2"/>
      <c r="BL141" s="2"/>
      <c r="BM141" s="2">
        <v>1726</v>
      </c>
      <c r="BN141" s="2">
        <v>0</v>
      </c>
      <c r="BO141" s="2" t="s">
        <v>3</v>
      </c>
      <c r="BP141" s="2">
        <v>0</v>
      </c>
      <c r="BQ141" s="2">
        <v>40</v>
      </c>
      <c r="BR141" s="2">
        <v>0</v>
      </c>
      <c r="BS141" s="2">
        <v>1</v>
      </c>
      <c r="BT141" s="2">
        <v>1</v>
      </c>
      <c r="BU141" s="2">
        <v>1</v>
      </c>
      <c r="BV141" s="2">
        <v>1</v>
      </c>
      <c r="BW141" s="2">
        <v>1</v>
      </c>
      <c r="BX141" s="2">
        <v>1</v>
      </c>
      <c r="BY141" s="2" t="s">
        <v>3</v>
      </c>
      <c r="BZ141" s="2">
        <v>112</v>
      </c>
      <c r="CA141" s="2">
        <v>70</v>
      </c>
      <c r="CB141" s="2" t="s">
        <v>3</v>
      </c>
      <c r="CC141" s="2"/>
      <c r="CD141" s="2"/>
      <c r="CE141" s="2">
        <v>30</v>
      </c>
      <c r="CF141" s="2">
        <v>0</v>
      </c>
      <c r="CG141" s="2">
        <v>0</v>
      </c>
      <c r="CH141" s="2"/>
      <c r="CI141" s="2"/>
      <c r="CJ141" s="2"/>
      <c r="CK141" s="2"/>
      <c r="CL141" s="2"/>
      <c r="CM141" s="2">
        <v>0</v>
      </c>
      <c r="CN141" s="2" t="s">
        <v>708</v>
      </c>
      <c r="CO141" s="2">
        <v>0</v>
      </c>
      <c r="CP141" s="2">
        <f t="shared" si="127"/>
        <v>0</v>
      </c>
      <c r="CQ141" s="2">
        <f t="shared" si="128"/>
        <v>535.53</v>
      </c>
      <c r="CR141" s="2">
        <f t="shared" si="149"/>
        <v>786.77</v>
      </c>
      <c r="CS141" s="2">
        <f t="shared" si="129"/>
        <v>67.900000000000006</v>
      </c>
      <c r="CT141" s="2">
        <f t="shared" si="130"/>
        <v>2359.46</v>
      </c>
      <c r="CU141" s="2">
        <f t="shared" si="131"/>
        <v>0</v>
      </c>
      <c r="CV141" s="2">
        <f t="shared" si="132"/>
        <v>171.36667800000001</v>
      </c>
      <c r="CW141" s="2">
        <f t="shared" si="133"/>
        <v>0</v>
      </c>
      <c r="CX141" s="2">
        <f t="shared" si="134"/>
        <v>0</v>
      </c>
      <c r="CY141" s="2">
        <f>((S141*BZ141)/100)</f>
        <v>0</v>
      </c>
      <c r="CZ141" s="2">
        <f>((S141*CA141)/100)</f>
        <v>0</v>
      </c>
      <c r="DA141" s="2"/>
      <c r="DB141" s="2">
        <v>77</v>
      </c>
      <c r="DC141" s="2" t="s">
        <v>3</v>
      </c>
      <c r="DD141" s="2" t="s">
        <v>3</v>
      </c>
      <c r="DE141" s="2" t="s">
        <v>22</v>
      </c>
      <c r="DF141" s="2" t="s">
        <v>22</v>
      </c>
      <c r="DG141" s="2" t="s">
        <v>22</v>
      </c>
      <c r="DH141" s="2" t="s">
        <v>3</v>
      </c>
      <c r="DI141" s="2" t="s">
        <v>22</v>
      </c>
      <c r="DJ141" s="2" t="s">
        <v>22</v>
      </c>
      <c r="DK141" s="2" t="s">
        <v>3</v>
      </c>
      <c r="DL141" s="2" t="s">
        <v>3</v>
      </c>
      <c r="DM141" s="2" t="s">
        <v>3</v>
      </c>
      <c r="DN141" s="2">
        <v>0</v>
      </c>
      <c r="DO141" s="2">
        <v>0</v>
      </c>
      <c r="DP141" s="2">
        <v>1</v>
      </c>
      <c r="DQ141" s="2">
        <v>1</v>
      </c>
      <c r="DR141" s="2"/>
      <c r="DS141" s="2"/>
      <c r="DT141" s="2"/>
      <c r="DU141" s="2">
        <v>1013</v>
      </c>
      <c r="DV141" s="2" t="s">
        <v>255</v>
      </c>
      <c r="DW141" s="2" t="s">
        <v>255</v>
      </c>
      <c r="DX141" s="2">
        <v>1</v>
      </c>
      <c r="DY141" s="2"/>
      <c r="DZ141" s="2" t="s">
        <v>3</v>
      </c>
      <c r="EA141" s="2" t="s">
        <v>3</v>
      </c>
      <c r="EB141" s="2" t="s">
        <v>3</v>
      </c>
      <c r="EC141" s="2" t="s">
        <v>3</v>
      </c>
      <c r="ED141" s="2"/>
      <c r="EE141" s="2">
        <v>51697765</v>
      </c>
      <c r="EF141" s="2">
        <v>40</v>
      </c>
      <c r="EG141" s="2" t="s">
        <v>165</v>
      </c>
      <c r="EH141" s="2">
        <v>0</v>
      </c>
      <c r="EI141" s="2" t="s">
        <v>3</v>
      </c>
      <c r="EJ141" s="2">
        <v>2</v>
      </c>
      <c r="EK141" s="2">
        <v>1726</v>
      </c>
      <c r="EL141" s="2" t="s">
        <v>236</v>
      </c>
      <c r="EM141" s="2" t="s">
        <v>237</v>
      </c>
      <c r="EN141" s="2"/>
      <c r="EO141" s="2" t="s">
        <v>26</v>
      </c>
      <c r="EP141" s="2"/>
      <c r="EQ141" s="2">
        <v>131072</v>
      </c>
      <c r="ER141" s="2">
        <v>3397.43</v>
      </c>
      <c r="ES141" s="2">
        <v>535.53</v>
      </c>
      <c r="ET141" s="2">
        <v>715.67</v>
      </c>
      <c r="EU141" s="2">
        <v>61.76</v>
      </c>
      <c r="EV141" s="2">
        <v>2146.23</v>
      </c>
      <c r="EW141" s="2">
        <v>155.88</v>
      </c>
      <c r="EX141" s="2">
        <v>0</v>
      </c>
      <c r="EY141" s="2">
        <v>0</v>
      </c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>
        <v>0</v>
      </c>
      <c r="FR141" s="2">
        <v>0</v>
      </c>
      <c r="FS141" s="2">
        <v>0</v>
      </c>
      <c r="FT141" s="2"/>
      <c r="FU141" s="2"/>
      <c r="FV141" s="2"/>
      <c r="FW141" s="2"/>
      <c r="FX141" s="2">
        <v>112</v>
      </c>
      <c r="FY141" s="2">
        <v>70</v>
      </c>
      <c r="FZ141" s="2"/>
      <c r="GA141" s="2" t="s">
        <v>3</v>
      </c>
      <c r="GB141" s="2"/>
      <c r="GC141" s="2"/>
      <c r="GD141" s="2">
        <v>0</v>
      </c>
      <c r="GE141" s="2"/>
      <c r="GF141" s="2">
        <v>957162054</v>
      </c>
      <c r="GG141" s="2">
        <v>2</v>
      </c>
      <c r="GH141" s="2">
        <v>1</v>
      </c>
      <c r="GI141" s="2">
        <v>-2</v>
      </c>
      <c r="GJ141" s="2">
        <v>0</v>
      </c>
      <c r="GK141" s="2">
        <f>ROUND(R141*(R12)/100,2)</f>
        <v>0</v>
      </c>
      <c r="GL141" s="2">
        <f t="shared" si="135"/>
        <v>0</v>
      </c>
      <c r="GM141" s="2">
        <f t="shared" si="136"/>
        <v>0</v>
      </c>
      <c r="GN141" s="2">
        <f t="shared" si="137"/>
        <v>0</v>
      </c>
      <c r="GO141" s="2">
        <f t="shared" si="138"/>
        <v>0</v>
      </c>
      <c r="GP141" s="2">
        <f t="shared" si="139"/>
        <v>0</v>
      </c>
      <c r="GQ141" s="2"/>
      <c r="GR141" s="2">
        <v>0</v>
      </c>
      <c r="GS141" s="2">
        <v>0</v>
      </c>
      <c r="GT141" s="2">
        <v>0</v>
      </c>
      <c r="GU141" s="2" t="s">
        <v>3</v>
      </c>
      <c r="GV141" s="2">
        <f t="shared" si="140"/>
        <v>0</v>
      </c>
      <c r="GW141" s="2">
        <v>1</v>
      </c>
      <c r="GX141" s="2">
        <f t="shared" si="141"/>
        <v>0</v>
      </c>
      <c r="GY141" s="2"/>
      <c r="GZ141" s="2"/>
      <c r="HA141" s="2">
        <v>0</v>
      </c>
      <c r="HB141" s="2">
        <v>0</v>
      </c>
      <c r="HC141" s="2">
        <f t="shared" si="142"/>
        <v>0</v>
      </c>
      <c r="HD141" s="2"/>
      <c r="HE141" s="2" t="s">
        <v>3</v>
      </c>
      <c r="HF141" s="2" t="s">
        <v>3</v>
      </c>
      <c r="HG141" s="2"/>
      <c r="HH141" s="2"/>
      <c r="HI141" s="2"/>
      <c r="HJ141" s="2"/>
      <c r="HK141" s="2"/>
      <c r="HL141" s="2"/>
      <c r="HM141" s="2" t="s">
        <v>3</v>
      </c>
      <c r="HN141" s="2" t="s">
        <v>3</v>
      </c>
      <c r="HO141" s="2" t="s">
        <v>3</v>
      </c>
      <c r="HP141" s="2" t="s">
        <v>3</v>
      </c>
      <c r="HQ141" s="2" t="s">
        <v>3</v>
      </c>
      <c r="HR141" s="2"/>
      <c r="HS141" s="2">
        <v>0</v>
      </c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>
        <v>0</v>
      </c>
      <c r="IL141" s="2"/>
      <c r="IM141" s="2"/>
      <c r="IN141" s="2"/>
      <c r="IO141" s="2"/>
      <c r="IP141" s="2"/>
      <c r="IQ141" s="2"/>
      <c r="IR141" s="2"/>
      <c r="IS141" s="2"/>
      <c r="IT141" s="2"/>
      <c r="IU141" s="2"/>
    </row>
    <row r="142" spans="1:255" x14ac:dyDescent="0.2">
      <c r="A142">
        <v>17</v>
      </c>
      <c r="B142">
        <v>1</v>
      </c>
      <c r="D142">
        <f>ROW(EtalonRes!A312)</f>
        <v>312</v>
      </c>
      <c r="E142" t="s">
        <v>252</v>
      </c>
      <c r="F142" t="s">
        <v>253</v>
      </c>
      <c r="G142" t="s">
        <v>254</v>
      </c>
      <c r="H142" t="s">
        <v>255</v>
      </c>
      <c r="I142">
        <v>0</v>
      </c>
      <c r="J142">
        <v>0</v>
      </c>
      <c r="K142">
        <v>0</v>
      </c>
      <c r="O142">
        <f t="shared" si="114"/>
        <v>0</v>
      </c>
      <c r="P142">
        <f t="shared" si="115"/>
        <v>0</v>
      </c>
      <c r="Q142">
        <f t="shared" si="143"/>
        <v>0</v>
      </c>
      <c r="R142">
        <f t="shared" si="116"/>
        <v>0</v>
      </c>
      <c r="S142">
        <f t="shared" si="117"/>
        <v>0</v>
      </c>
      <c r="T142">
        <f t="shared" si="118"/>
        <v>0</v>
      </c>
      <c r="U142">
        <f t="shared" si="119"/>
        <v>0</v>
      </c>
      <c r="V142">
        <f t="shared" si="120"/>
        <v>0</v>
      </c>
      <c r="W142">
        <f t="shared" si="121"/>
        <v>0</v>
      </c>
      <c r="X142">
        <f t="shared" si="122"/>
        <v>0</v>
      </c>
      <c r="Y142">
        <f t="shared" si="123"/>
        <v>0</v>
      </c>
      <c r="AA142">
        <v>56610029</v>
      </c>
      <c r="AB142">
        <f t="shared" si="124"/>
        <v>3540.5250000000001</v>
      </c>
      <c r="AC142">
        <f t="shared" si="102"/>
        <v>535.53</v>
      </c>
      <c r="AD142">
        <f t="shared" si="144"/>
        <v>751.45349999999996</v>
      </c>
      <c r="AE142">
        <f t="shared" si="145"/>
        <v>64.847999999999999</v>
      </c>
      <c r="AF142">
        <f t="shared" si="146"/>
        <v>2253.5414999999998</v>
      </c>
      <c r="AG142">
        <f t="shared" si="125"/>
        <v>0</v>
      </c>
      <c r="AH142">
        <f t="shared" si="147"/>
        <v>163.67400000000001</v>
      </c>
      <c r="AI142">
        <f t="shared" si="148"/>
        <v>0</v>
      </c>
      <c r="AJ142">
        <f t="shared" si="126"/>
        <v>0</v>
      </c>
      <c r="AK142">
        <v>3397.43</v>
      </c>
      <c r="AL142">
        <v>535.53</v>
      </c>
      <c r="AM142">
        <v>715.67</v>
      </c>
      <c r="AN142">
        <v>61.76</v>
      </c>
      <c r="AO142">
        <v>2146.23</v>
      </c>
      <c r="AP142">
        <v>0</v>
      </c>
      <c r="AQ142">
        <v>155.88</v>
      </c>
      <c r="AR142">
        <v>0</v>
      </c>
      <c r="AS142">
        <v>0</v>
      </c>
      <c r="AT142">
        <v>92</v>
      </c>
      <c r="AU142">
        <v>43</v>
      </c>
      <c r="AV142">
        <v>1.0469999999999999</v>
      </c>
      <c r="AW142">
        <v>1</v>
      </c>
      <c r="AZ142">
        <v>1</v>
      </c>
      <c r="BA142">
        <v>34.51</v>
      </c>
      <c r="BB142">
        <v>7.03</v>
      </c>
      <c r="BC142">
        <v>7.41</v>
      </c>
      <c r="BD142" t="s">
        <v>3</v>
      </c>
      <c r="BE142" t="s">
        <v>3</v>
      </c>
      <c r="BF142" t="s">
        <v>3</v>
      </c>
      <c r="BG142" t="s">
        <v>3</v>
      </c>
      <c r="BH142">
        <v>0</v>
      </c>
      <c r="BI142">
        <v>2</v>
      </c>
      <c r="BJ142" t="s">
        <v>256</v>
      </c>
      <c r="BM142">
        <v>1726</v>
      </c>
      <c r="BN142">
        <v>0</v>
      </c>
      <c r="BO142" t="s">
        <v>253</v>
      </c>
      <c r="BP142">
        <v>1</v>
      </c>
      <c r="BQ142">
        <v>40</v>
      </c>
      <c r="BR142">
        <v>0</v>
      </c>
      <c r="BS142">
        <v>34.51</v>
      </c>
      <c r="BT142">
        <v>1</v>
      </c>
      <c r="BU142">
        <v>1</v>
      </c>
      <c r="BV142">
        <v>1</v>
      </c>
      <c r="BW142">
        <v>1</v>
      </c>
      <c r="BX142">
        <v>1</v>
      </c>
      <c r="BY142" t="s">
        <v>3</v>
      </c>
      <c r="BZ142">
        <v>92</v>
      </c>
      <c r="CA142">
        <v>43</v>
      </c>
      <c r="CB142" t="s">
        <v>3</v>
      </c>
      <c r="CE142">
        <v>30</v>
      </c>
      <c r="CF142">
        <v>0</v>
      </c>
      <c r="CG142">
        <v>0</v>
      </c>
      <c r="CM142">
        <v>0</v>
      </c>
      <c r="CN142" t="s">
        <v>708</v>
      </c>
      <c r="CO142">
        <v>0</v>
      </c>
      <c r="CP142">
        <f t="shared" si="127"/>
        <v>0</v>
      </c>
      <c r="CQ142">
        <f t="shared" si="128"/>
        <v>3968.28</v>
      </c>
      <c r="CR142">
        <f t="shared" si="149"/>
        <v>5530.99</v>
      </c>
      <c r="CS142">
        <f t="shared" si="129"/>
        <v>2343.23</v>
      </c>
      <c r="CT142">
        <f t="shared" si="130"/>
        <v>81424.960000000006</v>
      </c>
      <c r="CU142">
        <f t="shared" si="131"/>
        <v>0</v>
      </c>
      <c r="CV142">
        <f t="shared" si="132"/>
        <v>171.36667800000001</v>
      </c>
      <c r="CW142">
        <f t="shared" si="133"/>
        <v>0</v>
      </c>
      <c r="CX142">
        <f t="shared" si="134"/>
        <v>0</v>
      </c>
      <c r="CY142">
        <f>S142*(BZ142/100)</f>
        <v>0</v>
      </c>
      <c r="CZ142">
        <f>S142*(CA142/100)</f>
        <v>0</v>
      </c>
      <c r="DB142">
        <v>78</v>
      </c>
      <c r="DC142" t="s">
        <v>3</v>
      </c>
      <c r="DD142" t="s">
        <v>3</v>
      </c>
      <c r="DE142" t="s">
        <v>22</v>
      </c>
      <c r="DF142" t="s">
        <v>22</v>
      </c>
      <c r="DG142" t="s">
        <v>22</v>
      </c>
      <c r="DH142" t="s">
        <v>3</v>
      </c>
      <c r="DI142" t="s">
        <v>22</v>
      </c>
      <c r="DJ142" t="s">
        <v>22</v>
      </c>
      <c r="DK142" t="s">
        <v>3</v>
      </c>
      <c r="DL142" t="s">
        <v>3</v>
      </c>
      <c r="DM142" t="s">
        <v>3</v>
      </c>
      <c r="DN142">
        <v>112</v>
      </c>
      <c r="DO142">
        <v>70</v>
      </c>
      <c r="DP142">
        <v>1.0469999999999999</v>
      </c>
      <c r="DQ142">
        <v>1</v>
      </c>
      <c r="DU142">
        <v>1013</v>
      </c>
      <c r="DV142" t="s">
        <v>255</v>
      </c>
      <c r="DW142" t="s">
        <v>255</v>
      </c>
      <c r="DX142">
        <v>1</v>
      </c>
      <c r="DZ142" t="s">
        <v>3</v>
      </c>
      <c r="EA142" t="s">
        <v>3</v>
      </c>
      <c r="EB142" t="s">
        <v>3</v>
      </c>
      <c r="EC142" t="s">
        <v>3</v>
      </c>
      <c r="EE142">
        <v>51697765</v>
      </c>
      <c r="EF142">
        <v>40</v>
      </c>
      <c r="EG142" t="s">
        <v>165</v>
      </c>
      <c r="EH142">
        <v>0</v>
      </c>
      <c r="EI142" t="s">
        <v>3</v>
      </c>
      <c r="EJ142">
        <v>2</v>
      </c>
      <c r="EK142">
        <v>1726</v>
      </c>
      <c r="EL142" t="s">
        <v>236</v>
      </c>
      <c r="EM142" t="s">
        <v>237</v>
      </c>
      <c r="EO142" t="s">
        <v>26</v>
      </c>
      <c r="EQ142">
        <v>131072</v>
      </c>
      <c r="ER142">
        <v>3397.43</v>
      </c>
      <c r="ES142">
        <v>535.53</v>
      </c>
      <c r="ET142">
        <v>715.67</v>
      </c>
      <c r="EU142">
        <v>61.76</v>
      </c>
      <c r="EV142">
        <v>2146.23</v>
      </c>
      <c r="EW142">
        <v>155.88</v>
      </c>
      <c r="EX142">
        <v>0</v>
      </c>
      <c r="EY142">
        <v>0</v>
      </c>
      <c r="FQ142">
        <v>0</v>
      </c>
      <c r="FR142">
        <v>0</v>
      </c>
      <c r="FS142">
        <v>0</v>
      </c>
      <c r="FX142">
        <v>112</v>
      </c>
      <c r="FY142">
        <v>70</v>
      </c>
      <c r="GA142" t="s">
        <v>3</v>
      </c>
      <c r="GD142">
        <v>0</v>
      </c>
      <c r="GF142">
        <v>957162054</v>
      </c>
      <c r="GG142">
        <v>2</v>
      </c>
      <c r="GH142">
        <v>1</v>
      </c>
      <c r="GI142">
        <v>2</v>
      </c>
      <c r="GJ142">
        <v>0</v>
      </c>
      <c r="GK142">
        <f>ROUND(R142*(S12)/100,2)</f>
        <v>0</v>
      </c>
      <c r="GL142">
        <f t="shared" si="135"/>
        <v>0</v>
      </c>
      <c r="GM142">
        <f t="shared" si="136"/>
        <v>0</v>
      </c>
      <c r="GN142">
        <f t="shared" si="137"/>
        <v>0</v>
      </c>
      <c r="GO142">
        <f t="shared" si="138"/>
        <v>0</v>
      </c>
      <c r="GP142">
        <f t="shared" si="139"/>
        <v>0</v>
      </c>
      <c r="GR142">
        <v>0</v>
      </c>
      <c r="GS142">
        <v>3</v>
      </c>
      <c r="GT142">
        <v>0</v>
      </c>
      <c r="GU142" t="s">
        <v>3</v>
      </c>
      <c r="GV142">
        <f t="shared" si="140"/>
        <v>0</v>
      </c>
      <c r="GW142">
        <v>1</v>
      </c>
      <c r="GX142">
        <f t="shared" si="141"/>
        <v>0</v>
      </c>
      <c r="HA142">
        <v>0</v>
      </c>
      <c r="HB142">
        <v>0</v>
      </c>
      <c r="HC142">
        <f t="shared" si="142"/>
        <v>0</v>
      </c>
      <c r="HE142" t="s">
        <v>3</v>
      </c>
      <c r="HF142" t="s">
        <v>3</v>
      </c>
      <c r="HM142" t="s">
        <v>3</v>
      </c>
      <c r="HN142" t="s">
        <v>3</v>
      </c>
      <c r="HO142" t="s">
        <v>3</v>
      </c>
      <c r="HP142" t="s">
        <v>3</v>
      </c>
      <c r="HQ142" t="s">
        <v>3</v>
      </c>
      <c r="HS142">
        <v>0</v>
      </c>
      <c r="IK142">
        <v>0</v>
      </c>
    </row>
    <row r="143" spans="1:255" x14ac:dyDescent="0.2">
      <c r="A143" s="2">
        <v>17</v>
      </c>
      <c r="B143" s="2">
        <v>1</v>
      </c>
      <c r="C143" s="2"/>
      <c r="D143" s="2">
        <f>ROW(EtalonRes!A321)</f>
        <v>321</v>
      </c>
      <c r="E143" s="2" t="s">
        <v>257</v>
      </c>
      <c r="F143" s="2" t="s">
        <v>253</v>
      </c>
      <c r="G143" s="2" t="s">
        <v>254</v>
      </c>
      <c r="H143" s="2" t="s">
        <v>255</v>
      </c>
      <c r="I143" s="2">
        <v>0</v>
      </c>
      <c r="J143" s="2">
        <v>0</v>
      </c>
      <c r="K143" s="2">
        <v>0</v>
      </c>
      <c r="L143" s="2"/>
      <c r="M143" s="2"/>
      <c r="N143" s="2"/>
      <c r="O143" s="2">
        <f t="shared" si="114"/>
        <v>0</v>
      </c>
      <c r="P143" s="2">
        <f t="shared" si="115"/>
        <v>0</v>
      </c>
      <c r="Q143" s="2">
        <f t="shared" si="143"/>
        <v>0</v>
      </c>
      <c r="R143" s="2">
        <f t="shared" si="116"/>
        <v>0</v>
      </c>
      <c r="S143" s="2">
        <f t="shared" si="117"/>
        <v>0</v>
      </c>
      <c r="T143" s="2">
        <f t="shared" si="118"/>
        <v>0</v>
      </c>
      <c r="U143" s="2">
        <f t="shared" si="119"/>
        <v>0</v>
      </c>
      <c r="V143" s="2">
        <f t="shared" si="120"/>
        <v>0</v>
      </c>
      <c r="W143" s="2">
        <f t="shared" si="121"/>
        <v>0</v>
      </c>
      <c r="X143" s="2">
        <f t="shared" si="122"/>
        <v>0</v>
      </c>
      <c r="Y143" s="2">
        <f t="shared" si="123"/>
        <v>0</v>
      </c>
      <c r="Z143" s="2"/>
      <c r="AA143" s="2">
        <v>56622490</v>
      </c>
      <c r="AB143" s="2">
        <f t="shared" si="124"/>
        <v>3540.5250000000001</v>
      </c>
      <c r="AC143" s="2">
        <f t="shared" si="102"/>
        <v>535.53</v>
      </c>
      <c r="AD143" s="2">
        <f t="shared" si="144"/>
        <v>751.45349999999996</v>
      </c>
      <c r="AE143" s="2">
        <f t="shared" si="145"/>
        <v>64.847999999999999</v>
      </c>
      <c r="AF143" s="2">
        <f t="shared" si="146"/>
        <v>2253.5414999999998</v>
      </c>
      <c r="AG143" s="2">
        <f t="shared" si="125"/>
        <v>0</v>
      </c>
      <c r="AH143" s="2">
        <f t="shared" si="147"/>
        <v>163.67400000000001</v>
      </c>
      <c r="AI143" s="2">
        <f t="shared" si="148"/>
        <v>0</v>
      </c>
      <c r="AJ143" s="2">
        <f t="shared" si="126"/>
        <v>0</v>
      </c>
      <c r="AK143" s="2">
        <v>3397.43</v>
      </c>
      <c r="AL143" s="2">
        <v>535.53</v>
      </c>
      <c r="AM143" s="2">
        <v>715.67</v>
      </c>
      <c r="AN143" s="2">
        <v>61.76</v>
      </c>
      <c r="AO143" s="2">
        <v>2146.23</v>
      </c>
      <c r="AP143" s="2">
        <v>0</v>
      </c>
      <c r="AQ143" s="2">
        <v>155.88</v>
      </c>
      <c r="AR143" s="2">
        <v>0</v>
      </c>
      <c r="AS143" s="2">
        <v>0</v>
      </c>
      <c r="AT143" s="2">
        <v>112</v>
      </c>
      <c r="AU143" s="2">
        <v>70</v>
      </c>
      <c r="AV143" s="2">
        <v>1.0469999999999999</v>
      </c>
      <c r="AW143" s="2">
        <v>1</v>
      </c>
      <c r="AX143" s="2"/>
      <c r="AY143" s="2"/>
      <c r="AZ143" s="2">
        <v>1</v>
      </c>
      <c r="BA143" s="2">
        <v>1</v>
      </c>
      <c r="BB143" s="2">
        <v>1</v>
      </c>
      <c r="BC143" s="2">
        <v>1</v>
      </c>
      <c r="BD143" s="2" t="s">
        <v>3</v>
      </c>
      <c r="BE143" s="2" t="s">
        <v>3</v>
      </c>
      <c r="BF143" s="2" t="s">
        <v>3</v>
      </c>
      <c r="BG143" s="2" t="s">
        <v>3</v>
      </c>
      <c r="BH143" s="2">
        <v>0</v>
      </c>
      <c r="BI143" s="2">
        <v>2</v>
      </c>
      <c r="BJ143" s="2" t="s">
        <v>256</v>
      </c>
      <c r="BK143" s="2"/>
      <c r="BL143" s="2"/>
      <c r="BM143" s="2">
        <v>1726</v>
      </c>
      <c r="BN143" s="2">
        <v>0</v>
      </c>
      <c r="BO143" s="2" t="s">
        <v>3</v>
      </c>
      <c r="BP143" s="2">
        <v>0</v>
      </c>
      <c r="BQ143" s="2">
        <v>40</v>
      </c>
      <c r="BR143" s="2">
        <v>0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 t="s">
        <v>3</v>
      </c>
      <c r="BZ143" s="2">
        <v>112</v>
      </c>
      <c r="CA143" s="2">
        <v>70</v>
      </c>
      <c r="CB143" s="2" t="s">
        <v>3</v>
      </c>
      <c r="CC143" s="2"/>
      <c r="CD143" s="2"/>
      <c r="CE143" s="2">
        <v>30</v>
      </c>
      <c r="CF143" s="2">
        <v>0</v>
      </c>
      <c r="CG143" s="2">
        <v>0</v>
      </c>
      <c r="CH143" s="2"/>
      <c r="CI143" s="2"/>
      <c r="CJ143" s="2"/>
      <c r="CK143" s="2"/>
      <c r="CL143" s="2"/>
      <c r="CM143" s="2">
        <v>0</v>
      </c>
      <c r="CN143" s="2" t="s">
        <v>708</v>
      </c>
      <c r="CO143" s="2">
        <v>0</v>
      </c>
      <c r="CP143" s="2">
        <f t="shared" si="127"/>
        <v>0</v>
      </c>
      <c r="CQ143" s="2">
        <f t="shared" si="128"/>
        <v>535.53</v>
      </c>
      <c r="CR143" s="2">
        <f t="shared" si="149"/>
        <v>786.77</v>
      </c>
      <c r="CS143" s="2">
        <f t="shared" si="129"/>
        <v>67.900000000000006</v>
      </c>
      <c r="CT143" s="2">
        <f t="shared" si="130"/>
        <v>2359.46</v>
      </c>
      <c r="CU143" s="2">
        <f t="shared" si="131"/>
        <v>0</v>
      </c>
      <c r="CV143" s="2">
        <f t="shared" si="132"/>
        <v>171.36667800000001</v>
      </c>
      <c r="CW143" s="2">
        <f t="shared" si="133"/>
        <v>0</v>
      </c>
      <c r="CX143" s="2">
        <f t="shared" si="134"/>
        <v>0</v>
      </c>
      <c r="CY143" s="2">
        <f>((S143*BZ143)/100)</f>
        <v>0</v>
      </c>
      <c r="CZ143" s="2">
        <f>((S143*CA143)/100)</f>
        <v>0</v>
      </c>
      <c r="DA143" s="2"/>
      <c r="DB143" s="2">
        <v>79</v>
      </c>
      <c r="DC143" s="2" t="s">
        <v>3</v>
      </c>
      <c r="DD143" s="2" t="s">
        <v>3</v>
      </c>
      <c r="DE143" s="2" t="s">
        <v>22</v>
      </c>
      <c r="DF143" s="2" t="s">
        <v>22</v>
      </c>
      <c r="DG143" s="2" t="s">
        <v>22</v>
      </c>
      <c r="DH143" s="2" t="s">
        <v>3</v>
      </c>
      <c r="DI143" s="2" t="s">
        <v>22</v>
      </c>
      <c r="DJ143" s="2" t="s">
        <v>22</v>
      </c>
      <c r="DK143" s="2" t="s">
        <v>3</v>
      </c>
      <c r="DL143" s="2" t="s">
        <v>3</v>
      </c>
      <c r="DM143" s="2" t="s">
        <v>3</v>
      </c>
      <c r="DN143" s="2">
        <v>0</v>
      </c>
      <c r="DO143" s="2">
        <v>0</v>
      </c>
      <c r="DP143" s="2">
        <v>1</v>
      </c>
      <c r="DQ143" s="2">
        <v>1</v>
      </c>
      <c r="DR143" s="2"/>
      <c r="DS143" s="2"/>
      <c r="DT143" s="2"/>
      <c r="DU143" s="2">
        <v>1013</v>
      </c>
      <c r="DV143" s="2" t="s">
        <v>255</v>
      </c>
      <c r="DW143" s="2" t="s">
        <v>255</v>
      </c>
      <c r="DX143" s="2">
        <v>1</v>
      </c>
      <c r="DY143" s="2"/>
      <c r="DZ143" s="2" t="s">
        <v>3</v>
      </c>
      <c r="EA143" s="2" t="s">
        <v>3</v>
      </c>
      <c r="EB143" s="2" t="s">
        <v>3</v>
      </c>
      <c r="EC143" s="2" t="s">
        <v>3</v>
      </c>
      <c r="ED143" s="2"/>
      <c r="EE143" s="2">
        <v>51697765</v>
      </c>
      <c r="EF143" s="2">
        <v>40</v>
      </c>
      <c r="EG143" s="2" t="s">
        <v>165</v>
      </c>
      <c r="EH143" s="2">
        <v>0</v>
      </c>
      <c r="EI143" s="2" t="s">
        <v>3</v>
      </c>
      <c r="EJ143" s="2">
        <v>2</v>
      </c>
      <c r="EK143" s="2">
        <v>1726</v>
      </c>
      <c r="EL143" s="2" t="s">
        <v>236</v>
      </c>
      <c r="EM143" s="2" t="s">
        <v>237</v>
      </c>
      <c r="EN143" s="2"/>
      <c r="EO143" s="2" t="s">
        <v>26</v>
      </c>
      <c r="EP143" s="2"/>
      <c r="EQ143" s="2">
        <v>131072</v>
      </c>
      <c r="ER143" s="2">
        <v>3397.43</v>
      </c>
      <c r="ES143" s="2">
        <v>535.53</v>
      </c>
      <c r="ET143" s="2">
        <v>715.67</v>
      </c>
      <c r="EU143" s="2">
        <v>61.76</v>
      </c>
      <c r="EV143" s="2">
        <v>2146.23</v>
      </c>
      <c r="EW143" s="2">
        <v>155.88</v>
      </c>
      <c r="EX143" s="2">
        <v>0</v>
      </c>
      <c r="EY143" s="2">
        <v>0</v>
      </c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>
        <v>0</v>
      </c>
      <c r="FR143" s="2">
        <v>0</v>
      </c>
      <c r="FS143" s="2">
        <v>0</v>
      </c>
      <c r="FT143" s="2"/>
      <c r="FU143" s="2"/>
      <c r="FV143" s="2"/>
      <c r="FW143" s="2"/>
      <c r="FX143" s="2">
        <v>112</v>
      </c>
      <c r="FY143" s="2">
        <v>70</v>
      </c>
      <c r="FZ143" s="2"/>
      <c r="GA143" s="2" t="s">
        <v>3</v>
      </c>
      <c r="GB143" s="2"/>
      <c r="GC143" s="2"/>
      <c r="GD143" s="2">
        <v>0</v>
      </c>
      <c r="GE143" s="2"/>
      <c r="GF143" s="2">
        <v>957162054</v>
      </c>
      <c r="GG143" s="2">
        <v>2</v>
      </c>
      <c r="GH143" s="2">
        <v>1</v>
      </c>
      <c r="GI143" s="2">
        <v>-2</v>
      </c>
      <c r="GJ143" s="2">
        <v>0</v>
      </c>
      <c r="GK143" s="2">
        <f>ROUND(R143*(R12)/100,2)</f>
        <v>0</v>
      </c>
      <c r="GL143" s="2">
        <f t="shared" si="135"/>
        <v>0</v>
      </c>
      <c r="GM143" s="2">
        <f t="shared" si="136"/>
        <v>0</v>
      </c>
      <c r="GN143" s="2">
        <f t="shared" si="137"/>
        <v>0</v>
      </c>
      <c r="GO143" s="2">
        <f t="shared" si="138"/>
        <v>0</v>
      </c>
      <c r="GP143" s="2">
        <f t="shared" si="139"/>
        <v>0</v>
      </c>
      <c r="GQ143" s="2"/>
      <c r="GR143" s="2">
        <v>0</v>
      </c>
      <c r="GS143" s="2">
        <v>0</v>
      </c>
      <c r="GT143" s="2">
        <v>0</v>
      </c>
      <c r="GU143" s="2" t="s">
        <v>3</v>
      </c>
      <c r="GV143" s="2">
        <f t="shared" si="140"/>
        <v>0</v>
      </c>
      <c r="GW143" s="2">
        <v>1</v>
      </c>
      <c r="GX143" s="2">
        <f t="shared" si="141"/>
        <v>0</v>
      </c>
      <c r="GY143" s="2"/>
      <c r="GZ143" s="2"/>
      <c r="HA143" s="2">
        <v>0</v>
      </c>
      <c r="HB143" s="2">
        <v>0</v>
      </c>
      <c r="HC143" s="2">
        <f t="shared" si="142"/>
        <v>0</v>
      </c>
      <c r="HD143" s="2"/>
      <c r="HE143" s="2" t="s">
        <v>3</v>
      </c>
      <c r="HF143" s="2" t="s">
        <v>3</v>
      </c>
      <c r="HG143" s="2"/>
      <c r="HH143" s="2"/>
      <c r="HI143" s="2"/>
      <c r="HJ143" s="2"/>
      <c r="HK143" s="2"/>
      <c r="HL143" s="2"/>
      <c r="HM143" s="2" t="s">
        <v>3</v>
      </c>
      <c r="HN143" s="2" t="s">
        <v>3</v>
      </c>
      <c r="HO143" s="2" t="s">
        <v>3</v>
      </c>
      <c r="HP143" s="2" t="s">
        <v>3</v>
      </c>
      <c r="HQ143" s="2" t="s">
        <v>3</v>
      </c>
      <c r="HR143" s="2"/>
      <c r="HS143" s="2">
        <v>0</v>
      </c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>
        <v>0</v>
      </c>
      <c r="IL143" s="2"/>
      <c r="IM143" s="2"/>
      <c r="IN143" s="2"/>
      <c r="IO143" s="2"/>
      <c r="IP143" s="2"/>
      <c r="IQ143" s="2"/>
      <c r="IR143" s="2"/>
      <c r="IS143" s="2"/>
      <c r="IT143" s="2"/>
      <c r="IU143" s="2"/>
    </row>
    <row r="144" spans="1:255" x14ac:dyDescent="0.2">
      <c r="A144">
        <v>17</v>
      </c>
      <c r="B144">
        <v>1</v>
      </c>
      <c r="D144">
        <f>ROW(EtalonRes!A330)</f>
        <v>330</v>
      </c>
      <c r="E144" t="s">
        <v>257</v>
      </c>
      <c r="F144" t="s">
        <v>253</v>
      </c>
      <c r="G144" t="s">
        <v>254</v>
      </c>
      <c r="H144" t="s">
        <v>255</v>
      </c>
      <c r="I144">
        <v>0</v>
      </c>
      <c r="J144">
        <v>0</v>
      </c>
      <c r="K144">
        <v>0</v>
      </c>
      <c r="O144">
        <f t="shared" si="114"/>
        <v>0</v>
      </c>
      <c r="P144">
        <f t="shared" si="115"/>
        <v>0</v>
      </c>
      <c r="Q144">
        <f t="shared" si="143"/>
        <v>0</v>
      </c>
      <c r="R144">
        <f t="shared" si="116"/>
        <v>0</v>
      </c>
      <c r="S144">
        <f t="shared" si="117"/>
        <v>0</v>
      </c>
      <c r="T144">
        <f t="shared" si="118"/>
        <v>0</v>
      </c>
      <c r="U144">
        <f t="shared" si="119"/>
        <v>0</v>
      </c>
      <c r="V144">
        <f t="shared" si="120"/>
        <v>0</v>
      </c>
      <c r="W144">
        <f t="shared" si="121"/>
        <v>0</v>
      </c>
      <c r="X144">
        <f t="shared" si="122"/>
        <v>0</v>
      </c>
      <c r="Y144">
        <f t="shared" si="123"/>
        <v>0</v>
      </c>
      <c r="AA144">
        <v>56610029</v>
      </c>
      <c r="AB144">
        <f t="shared" si="124"/>
        <v>3540.5250000000001</v>
      </c>
      <c r="AC144">
        <f t="shared" si="102"/>
        <v>535.53</v>
      </c>
      <c r="AD144">
        <f t="shared" si="144"/>
        <v>751.45349999999996</v>
      </c>
      <c r="AE144">
        <f t="shared" si="145"/>
        <v>64.847999999999999</v>
      </c>
      <c r="AF144">
        <f t="shared" si="146"/>
        <v>2253.5414999999998</v>
      </c>
      <c r="AG144">
        <f t="shared" si="125"/>
        <v>0</v>
      </c>
      <c r="AH144">
        <f t="shared" si="147"/>
        <v>163.67400000000001</v>
      </c>
      <c r="AI144">
        <f t="shared" si="148"/>
        <v>0</v>
      </c>
      <c r="AJ144">
        <f t="shared" si="126"/>
        <v>0</v>
      </c>
      <c r="AK144">
        <v>3397.43</v>
      </c>
      <c r="AL144">
        <v>535.53</v>
      </c>
      <c r="AM144">
        <v>715.67</v>
      </c>
      <c r="AN144">
        <v>61.76</v>
      </c>
      <c r="AO144">
        <v>2146.23</v>
      </c>
      <c r="AP144">
        <v>0</v>
      </c>
      <c r="AQ144">
        <v>155.88</v>
      </c>
      <c r="AR144">
        <v>0</v>
      </c>
      <c r="AS144">
        <v>0</v>
      </c>
      <c r="AT144">
        <v>92</v>
      </c>
      <c r="AU144">
        <v>43</v>
      </c>
      <c r="AV144">
        <v>1.0469999999999999</v>
      </c>
      <c r="AW144">
        <v>1</v>
      </c>
      <c r="AZ144">
        <v>1</v>
      </c>
      <c r="BA144">
        <v>34.51</v>
      </c>
      <c r="BB144">
        <v>7.03</v>
      </c>
      <c r="BC144">
        <v>7.41</v>
      </c>
      <c r="BD144" t="s">
        <v>3</v>
      </c>
      <c r="BE144" t="s">
        <v>3</v>
      </c>
      <c r="BF144" t="s">
        <v>3</v>
      </c>
      <c r="BG144" t="s">
        <v>3</v>
      </c>
      <c r="BH144">
        <v>0</v>
      </c>
      <c r="BI144">
        <v>2</v>
      </c>
      <c r="BJ144" t="s">
        <v>256</v>
      </c>
      <c r="BM144">
        <v>1726</v>
      </c>
      <c r="BN144">
        <v>0</v>
      </c>
      <c r="BO144" t="s">
        <v>253</v>
      </c>
      <c r="BP144">
        <v>1</v>
      </c>
      <c r="BQ144">
        <v>40</v>
      </c>
      <c r="BR144">
        <v>0</v>
      </c>
      <c r="BS144">
        <v>34.51</v>
      </c>
      <c r="BT144">
        <v>1</v>
      </c>
      <c r="BU144">
        <v>1</v>
      </c>
      <c r="BV144">
        <v>1</v>
      </c>
      <c r="BW144">
        <v>1</v>
      </c>
      <c r="BX144">
        <v>1</v>
      </c>
      <c r="BY144" t="s">
        <v>3</v>
      </c>
      <c r="BZ144">
        <v>92</v>
      </c>
      <c r="CA144">
        <v>43</v>
      </c>
      <c r="CB144" t="s">
        <v>3</v>
      </c>
      <c r="CE144">
        <v>30</v>
      </c>
      <c r="CF144">
        <v>0</v>
      </c>
      <c r="CG144">
        <v>0</v>
      </c>
      <c r="CM144">
        <v>0</v>
      </c>
      <c r="CN144" t="s">
        <v>708</v>
      </c>
      <c r="CO144">
        <v>0</v>
      </c>
      <c r="CP144">
        <f t="shared" si="127"/>
        <v>0</v>
      </c>
      <c r="CQ144">
        <f t="shared" si="128"/>
        <v>3968.28</v>
      </c>
      <c r="CR144">
        <f t="shared" si="149"/>
        <v>5530.99</v>
      </c>
      <c r="CS144">
        <f t="shared" si="129"/>
        <v>2343.23</v>
      </c>
      <c r="CT144">
        <f t="shared" si="130"/>
        <v>81424.960000000006</v>
      </c>
      <c r="CU144">
        <f t="shared" si="131"/>
        <v>0</v>
      </c>
      <c r="CV144">
        <f t="shared" si="132"/>
        <v>171.36667800000001</v>
      </c>
      <c r="CW144">
        <f t="shared" si="133"/>
        <v>0</v>
      </c>
      <c r="CX144">
        <f t="shared" si="134"/>
        <v>0</v>
      </c>
      <c r="CY144">
        <f>S144*(BZ144/100)</f>
        <v>0</v>
      </c>
      <c r="CZ144">
        <f>S144*(CA144/100)</f>
        <v>0</v>
      </c>
      <c r="DB144">
        <v>80</v>
      </c>
      <c r="DC144" t="s">
        <v>3</v>
      </c>
      <c r="DD144" t="s">
        <v>3</v>
      </c>
      <c r="DE144" t="s">
        <v>22</v>
      </c>
      <c r="DF144" t="s">
        <v>22</v>
      </c>
      <c r="DG144" t="s">
        <v>22</v>
      </c>
      <c r="DH144" t="s">
        <v>3</v>
      </c>
      <c r="DI144" t="s">
        <v>22</v>
      </c>
      <c r="DJ144" t="s">
        <v>22</v>
      </c>
      <c r="DK144" t="s">
        <v>3</v>
      </c>
      <c r="DL144" t="s">
        <v>3</v>
      </c>
      <c r="DM144" t="s">
        <v>3</v>
      </c>
      <c r="DN144">
        <v>112</v>
      </c>
      <c r="DO144">
        <v>70</v>
      </c>
      <c r="DP144">
        <v>1.0469999999999999</v>
      </c>
      <c r="DQ144">
        <v>1</v>
      </c>
      <c r="DU144">
        <v>1013</v>
      </c>
      <c r="DV144" t="s">
        <v>255</v>
      </c>
      <c r="DW144" t="s">
        <v>255</v>
      </c>
      <c r="DX144">
        <v>1</v>
      </c>
      <c r="DZ144" t="s">
        <v>3</v>
      </c>
      <c r="EA144" t="s">
        <v>3</v>
      </c>
      <c r="EB144" t="s">
        <v>3</v>
      </c>
      <c r="EC144" t="s">
        <v>3</v>
      </c>
      <c r="EE144">
        <v>51697765</v>
      </c>
      <c r="EF144">
        <v>40</v>
      </c>
      <c r="EG144" t="s">
        <v>165</v>
      </c>
      <c r="EH144">
        <v>0</v>
      </c>
      <c r="EI144" t="s">
        <v>3</v>
      </c>
      <c r="EJ144">
        <v>2</v>
      </c>
      <c r="EK144">
        <v>1726</v>
      </c>
      <c r="EL144" t="s">
        <v>236</v>
      </c>
      <c r="EM144" t="s">
        <v>237</v>
      </c>
      <c r="EO144" t="s">
        <v>26</v>
      </c>
      <c r="EQ144">
        <v>131072</v>
      </c>
      <c r="ER144">
        <v>3397.43</v>
      </c>
      <c r="ES144">
        <v>535.53</v>
      </c>
      <c r="ET144">
        <v>715.67</v>
      </c>
      <c r="EU144">
        <v>61.76</v>
      </c>
      <c r="EV144">
        <v>2146.23</v>
      </c>
      <c r="EW144">
        <v>155.88</v>
      </c>
      <c r="EX144">
        <v>0</v>
      </c>
      <c r="EY144">
        <v>0</v>
      </c>
      <c r="FQ144">
        <v>0</v>
      </c>
      <c r="FR144">
        <v>0</v>
      </c>
      <c r="FS144">
        <v>0</v>
      </c>
      <c r="FX144">
        <v>112</v>
      </c>
      <c r="FY144">
        <v>70</v>
      </c>
      <c r="GA144" t="s">
        <v>3</v>
      </c>
      <c r="GD144">
        <v>0</v>
      </c>
      <c r="GF144">
        <v>957162054</v>
      </c>
      <c r="GG144">
        <v>2</v>
      </c>
      <c r="GH144">
        <v>1</v>
      </c>
      <c r="GI144">
        <v>2</v>
      </c>
      <c r="GJ144">
        <v>0</v>
      </c>
      <c r="GK144">
        <f>ROUND(R144*(S12)/100,2)</f>
        <v>0</v>
      </c>
      <c r="GL144">
        <f t="shared" si="135"/>
        <v>0</v>
      </c>
      <c r="GM144">
        <f t="shared" si="136"/>
        <v>0</v>
      </c>
      <c r="GN144">
        <f t="shared" si="137"/>
        <v>0</v>
      </c>
      <c r="GO144">
        <f t="shared" si="138"/>
        <v>0</v>
      </c>
      <c r="GP144">
        <f t="shared" si="139"/>
        <v>0</v>
      </c>
      <c r="GR144">
        <v>0</v>
      </c>
      <c r="GS144">
        <v>3</v>
      </c>
      <c r="GT144">
        <v>0</v>
      </c>
      <c r="GU144" t="s">
        <v>3</v>
      </c>
      <c r="GV144">
        <f t="shared" si="140"/>
        <v>0</v>
      </c>
      <c r="GW144">
        <v>1</v>
      </c>
      <c r="GX144">
        <f t="shared" si="141"/>
        <v>0</v>
      </c>
      <c r="HA144">
        <v>0</v>
      </c>
      <c r="HB144">
        <v>0</v>
      </c>
      <c r="HC144">
        <f t="shared" si="142"/>
        <v>0</v>
      </c>
      <c r="HE144" t="s">
        <v>3</v>
      </c>
      <c r="HF144" t="s">
        <v>3</v>
      </c>
      <c r="HM144" t="s">
        <v>3</v>
      </c>
      <c r="HN144" t="s">
        <v>3</v>
      </c>
      <c r="HO144" t="s">
        <v>3</v>
      </c>
      <c r="HP144" t="s">
        <v>3</v>
      </c>
      <c r="HQ144" t="s">
        <v>3</v>
      </c>
      <c r="HS144">
        <v>0</v>
      </c>
      <c r="IK144">
        <v>0</v>
      </c>
    </row>
    <row r="145" spans="1:255" x14ac:dyDescent="0.2">
      <c r="A145" s="2">
        <v>17</v>
      </c>
      <c r="B145" s="2">
        <v>1</v>
      </c>
      <c r="C145" s="2"/>
      <c r="D145" s="2"/>
      <c r="E145" s="2" t="s">
        <v>258</v>
      </c>
      <c r="F145" s="2" t="s">
        <v>259</v>
      </c>
      <c r="G145" s="2" t="s">
        <v>260</v>
      </c>
      <c r="H145" s="2" t="s">
        <v>241</v>
      </c>
      <c r="I145" s="2">
        <f>ROUND(((I141+I143)*100)*1,9)</f>
        <v>0</v>
      </c>
      <c r="J145" s="2">
        <v>0</v>
      </c>
      <c r="K145" s="2">
        <f>ROUND(((I141+I143)*100)*1,9)</f>
        <v>0</v>
      </c>
      <c r="L145" s="2"/>
      <c r="M145" s="2"/>
      <c r="N145" s="2"/>
      <c r="O145" s="2">
        <f t="shared" si="114"/>
        <v>0</v>
      </c>
      <c r="P145" s="2">
        <f t="shared" si="115"/>
        <v>0</v>
      </c>
      <c r="Q145" s="2">
        <f t="shared" si="143"/>
        <v>0</v>
      </c>
      <c r="R145" s="2">
        <f t="shared" si="116"/>
        <v>0</v>
      </c>
      <c r="S145" s="2">
        <f t="shared" si="117"/>
        <v>0</v>
      </c>
      <c r="T145" s="2">
        <f t="shared" si="118"/>
        <v>0</v>
      </c>
      <c r="U145" s="2">
        <f t="shared" si="119"/>
        <v>0</v>
      </c>
      <c r="V145" s="2">
        <f t="shared" si="120"/>
        <v>0</v>
      </c>
      <c r="W145" s="2">
        <f t="shared" si="121"/>
        <v>0</v>
      </c>
      <c r="X145" s="2">
        <f t="shared" si="122"/>
        <v>0</v>
      </c>
      <c r="Y145" s="2">
        <f t="shared" si="123"/>
        <v>0</v>
      </c>
      <c r="Z145" s="2"/>
      <c r="AA145" s="2">
        <v>56622490</v>
      </c>
      <c r="AB145" s="2">
        <f t="shared" si="124"/>
        <v>153.63</v>
      </c>
      <c r="AC145" s="2">
        <f t="shared" si="102"/>
        <v>153.63</v>
      </c>
      <c r="AD145" s="2">
        <f t="shared" si="144"/>
        <v>0</v>
      </c>
      <c r="AE145" s="2">
        <f t="shared" si="145"/>
        <v>0</v>
      </c>
      <c r="AF145" s="2">
        <f t="shared" si="146"/>
        <v>0</v>
      </c>
      <c r="AG145" s="2">
        <f t="shared" si="125"/>
        <v>0</v>
      </c>
      <c r="AH145" s="2">
        <f t="shared" si="147"/>
        <v>0</v>
      </c>
      <c r="AI145" s="2">
        <f t="shared" si="148"/>
        <v>0</v>
      </c>
      <c r="AJ145" s="2">
        <f t="shared" si="126"/>
        <v>0</v>
      </c>
      <c r="AK145" s="2">
        <v>153.63</v>
      </c>
      <c r="AL145" s="2">
        <v>153.63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1</v>
      </c>
      <c r="AW145" s="2">
        <v>1</v>
      </c>
      <c r="AX145" s="2"/>
      <c r="AY145" s="2"/>
      <c r="AZ145" s="2">
        <v>1</v>
      </c>
      <c r="BA145" s="2">
        <v>1</v>
      </c>
      <c r="BB145" s="2">
        <v>1</v>
      </c>
      <c r="BC145" s="2">
        <v>1</v>
      </c>
      <c r="BD145" s="2" t="s">
        <v>3</v>
      </c>
      <c r="BE145" s="2" t="s">
        <v>3</v>
      </c>
      <c r="BF145" s="2" t="s">
        <v>3</v>
      </c>
      <c r="BG145" s="2" t="s">
        <v>3</v>
      </c>
      <c r="BH145" s="2">
        <v>3</v>
      </c>
      <c r="BI145" s="2">
        <v>2</v>
      </c>
      <c r="BJ145" s="2" t="s">
        <v>261</v>
      </c>
      <c r="BK145" s="2"/>
      <c r="BL145" s="2"/>
      <c r="BM145" s="2">
        <v>1618</v>
      </c>
      <c r="BN145" s="2">
        <v>0</v>
      </c>
      <c r="BO145" s="2" t="s">
        <v>3</v>
      </c>
      <c r="BP145" s="2">
        <v>0</v>
      </c>
      <c r="BQ145" s="2">
        <v>201</v>
      </c>
      <c r="BR145" s="2">
        <v>0</v>
      </c>
      <c r="BS145" s="2">
        <v>1</v>
      </c>
      <c r="BT145" s="2">
        <v>1</v>
      </c>
      <c r="BU145" s="2">
        <v>1</v>
      </c>
      <c r="BV145" s="2">
        <v>1</v>
      </c>
      <c r="BW145" s="2">
        <v>1</v>
      </c>
      <c r="BX145" s="2">
        <v>1</v>
      </c>
      <c r="BY145" s="2" t="s">
        <v>3</v>
      </c>
      <c r="BZ145" s="2">
        <v>0</v>
      </c>
      <c r="CA145" s="2">
        <v>0</v>
      </c>
      <c r="CB145" s="2" t="s">
        <v>3</v>
      </c>
      <c r="CC145" s="2"/>
      <c r="CD145" s="2"/>
      <c r="CE145" s="2">
        <v>30</v>
      </c>
      <c r="CF145" s="2">
        <v>0</v>
      </c>
      <c r="CG145" s="2">
        <v>0</v>
      </c>
      <c r="CH145" s="2"/>
      <c r="CI145" s="2"/>
      <c r="CJ145" s="2"/>
      <c r="CK145" s="2"/>
      <c r="CL145" s="2"/>
      <c r="CM145" s="2">
        <v>0</v>
      </c>
      <c r="CN145" s="2" t="s">
        <v>708</v>
      </c>
      <c r="CO145" s="2">
        <v>0</v>
      </c>
      <c r="CP145" s="2">
        <f t="shared" si="127"/>
        <v>0</v>
      </c>
      <c r="CQ145" s="2">
        <f t="shared" si="128"/>
        <v>153.63</v>
      </c>
      <c r="CR145" s="2">
        <f t="shared" si="149"/>
        <v>0</v>
      </c>
      <c r="CS145" s="2">
        <f t="shared" si="129"/>
        <v>0</v>
      </c>
      <c r="CT145" s="2">
        <f t="shared" si="130"/>
        <v>0</v>
      </c>
      <c r="CU145" s="2">
        <f t="shared" si="131"/>
        <v>0</v>
      </c>
      <c r="CV145" s="2">
        <f t="shared" si="132"/>
        <v>0</v>
      </c>
      <c r="CW145" s="2">
        <f t="shared" si="133"/>
        <v>0</v>
      </c>
      <c r="CX145" s="2">
        <f t="shared" si="134"/>
        <v>0</v>
      </c>
      <c r="CY145" s="2">
        <f>((S145*BZ145)/100)</f>
        <v>0</v>
      </c>
      <c r="CZ145" s="2">
        <f>((S145*CA145)/100)</f>
        <v>0</v>
      </c>
      <c r="DA145" s="2"/>
      <c r="DB145" s="2">
        <v>81</v>
      </c>
      <c r="DC145" s="2" t="s">
        <v>3</v>
      </c>
      <c r="DD145" s="2" t="s">
        <v>3</v>
      </c>
      <c r="DE145" s="2" t="s">
        <v>22</v>
      </c>
      <c r="DF145" s="2" t="s">
        <v>22</v>
      </c>
      <c r="DG145" s="2" t="s">
        <v>22</v>
      </c>
      <c r="DH145" s="2" t="s">
        <v>3</v>
      </c>
      <c r="DI145" s="2" t="s">
        <v>22</v>
      </c>
      <c r="DJ145" s="2" t="s">
        <v>22</v>
      </c>
      <c r="DK145" s="2" t="s">
        <v>3</v>
      </c>
      <c r="DL145" s="2" t="s">
        <v>3</v>
      </c>
      <c r="DM145" s="2" t="s">
        <v>3</v>
      </c>
      <c r="DN145" s="2">
        <v>0</v>
      </c>
      <c r="DO145" s="2">
        <v>0</v>
      </c>
      <c r="DP145" s="2">
        <v>1</v>
      </c>
      <c r="DQ145" s="2">
        <v>1</v>
      </c>
      <c r="DR145" s="2"/>
      <c r="DS145" s="2"/>
      <c r="DT145" s="2"/>
      <c r="DU145" s="2">
        <v>1013</v>
      </c>
      <c r="DV145" s="2" t="s">
        <v>241</v>
      </c>
      <c r="DW145" s="2" t="s">
        <v>241</v>
      </c>
      <c r="DX145" s="2">
        <v>1</v>
      </c>
      <c r="DY145" s="2"/>
      <c r="DZ145" s="2" t="s">
        <v>3</v>
      </c>
      <c r="EA145" s="2" t="s">
        <v>3</v>
      </c>
      <c r="EB145" s="2" t="s">
        <v>3</v>
      </c>
      <c r="EC145" s="2" t="s">
        <v>3</v>
      </c>
      <c r="ED145" s="2"/>
      <c r="EE145" s="2">
        <v>51697657</v>
      </c>
      <c r="EF145" s="2">
        <v>201</v>
      </c>
      <c r="EG145" s="2" t="s">
        <v>196</v>
      </c>
      <c r="EH145" s="2">
        <v>0</v>
      </c>
      <c r="EI145" s="2" t="s">
        <v>3</v>
      </c>
      <c r="EJ145" s="2">
        <v>2</v>
      </c>
      <c r="EK145" s="2">
        <v>1618</v>
      </c>
      <c r="EL145" s="2" t="s">
        <v>197</v>
      </c>
      <c r="EM145" s="2" t="s">
        <v>198</v>
      </c>
      <c r="EN145" s="2"/>
      <c r="EO145" s="2" t="s">
        <v>26</v>
      </c>
      <c r="EP145" s="2"/>
      <c r="EQ145" s="2">
        <v>131072</v>
      </c>
      <c r="ER145" s="2">
        <v>153.63</v>
      </c>
      <c r="ES145" s="2">
        <v>153.63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>
        <v>0</v>
      </c>
      <c r="FR145" s="2">
        <v>0</v>
      </c>
      <c r="FS145" s="2">
        <v>0</v>
      </c>
      <c r="FT145" s="2"/>
      <c r="FU145" s="2"/>
      <c r="FV145" s="2"/>
      <c r="FW145" s="2"/>
      <c r="FX145" s="2">
        <v>0</v>
      </c>
      <c r="FY145" s="2">
        <v>0</v>
      </c>
      <c r="FZ145" s="2"/>
      <c r="GA145" s="2" t="s">
        <v>3</v>
      </c>
      <c r="GB145" s="2"/>
      <c r="GC145" s="2"/>
      <c r="GD145" s="2">
        <v>0</v>
      </c>
      <c r="GE145" s="2"/>
      <c r="GF145" s="2">
        <v>1544174678</v>
      </c>
      <c r="GG145" s="2">
        <v>2</v>
      </c>
      <c r="GH145" s="2">
        <v>1</v>
      </c>
      <c r="GI145" s="2">
        <v>-2</v>
      </c>
      <c r="GJ145" s="2">
        <v>0</v>
      </c>
      <c r="GK145" s="2">
        <f>ROUND(R145*(R12)/100,2)</f>
        <v>0</v>
      </c>
      <c r="GL145" s="2">
        <f t="shared" si="135"/>
        <v>0</v>
      </c>
      <c r="GM145" s="2">
        <f t="shared" si="136"/>
        <v>0</v>
      </c>
      <c r="GN145" s="2">
        <f t="shared" si="137"/>
        <v>0</v>
      </c>
      <c r="GO145" s="2">
        <f t="shared" si="138"/>
        <v>0</v>
      </c>
      <c r="GP145" s="2">
        <f t="shared" si="139"/>
        <v>0</v>
      </c>
      <c r="GQ145" s="2"/>
      <c r="GR145" s="2">
        <v>0</v>
      </c>
      <c r="GS145" s="2">
        <v>0</v>
      </c>
      <c r="GT145" s="2">
        <v>0</v>
      </c>
      <c r="GU145" s="2" t="s">
        <v>3</v>
      </c>
      <c r="GV145" s="2">
        <f t="shared" si="140"/>
        <v>0</v>
      </c>
      <c r="GW145" s="2">
        <v>1</v>
      </c>
      <c r="GX145" s="2">
        <f t="shared" si="141"/>
        <v>0</v>
      </c>
      <c r="GY145" s="2"/>
      <c r="GZ145" s="2"/>
      <c r="HA145" s="2">
        <v>0</v>
      </c>
      <c r="HB145" s="2">
        <v>0</v>
      </c>
      <c r="HC145" s="2">
        <f t="shared" si="142"/>
        <v>0</v>
      </c>
      <c r="HD145" s="2"/>
      <c r="HE145" s="2" t="s">
        <v>3</v>
      </c>
      <c r="HF145" s="2" t="s">
        <v>3</v>
      </c>
      <c r="HG145" s="2"/>
      <c r="HH145" s="2"/>
      <c r="HI145" s="2"/>
      <c r="HJ145" s="2"/>
      <c r="HK145" s="2"/>
      <c r="HL145" s="2"/>
      <c r="HM145" s="2" t="s">
        <v>3</v>
      </c>
      <c r="HN145" s="2" t="s">
        <v>3</v>
      </c>
      <c r="HO145" s="2" t="s">
        <v>3</v>
      </c>
      <c r="HP145" s="2" t="s">
        <v>3</v>
      </c>
      <c r="HQ145" s="2" t="s">
        <v>3</v>
      </c>
      <c r="HR145" s="2"/>
      <c r="HS145" s="2">
        <v>0</v>
      </c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>
        <v>0</v>
      </c>
      <c r="IL145" s="2"/>
      <c r="IM145" s="2"/>
      <c r="IN145" s="2"/>
      <c r="IO145" s="2"/>
      <c r="IP145" s="2"/>
      <c r="IQ145" s="2"/>
      <c r="IR145" s="2"/>
      <c r="IS145" s="2"/>
      <c r="IT145" s="2"/>
      <c r="IU145" s="2"/>
    </row>
    <row r="146" spans="1:255" x14ac:dyDescent="0.2">
      <c r="A146">
        <v>17</v>
      </c>
      <c r="B146">
        <v>1</v>
      </c>
      <c r="E146" t="s">
        <v>258</v>
      </c>
      <c r="F146" t="s">
        <v>259</v>
      </c>
      <c r="G146" t="s">
        <v>260</v>
      </c>
      <c r="H146" t="s">
        <v>241</v>
      </c>
      <c r="I146">
        <f>ROUND(((I142+I144)*100)*1,9)</f>
        <v>0</v>
      </c>
      <c r="J146">
        <v>0</v>
      </c>
      <c r="K146">
        <f>ROUND(((I142+I144)*100)*1,9)</f>
        <v>0</v>
      </c>
      <c r="O146">
        <f t="shared" si="114"/>
        <v>0</v>
      </c>
      <c r="P146">
        <f t="shared" si="115"/>
        <v>0</v>
      </c>
      <c r="Q146">
        <f t="shared" si="143"/>
        <v>0</v>
      </c>
      <c r="R146">
        <f t="shared" si="116"/>
        <v>0</v>
      </c>
      <c r="S146">
        <f t="shared" si="117"/>
        <v>0</v>
      </c>
      <c r="T146">
        <f t="shared" si="118"/>
        <v>0</v>
      </c>
      <c r="U146">
        <f t="shared" si="119"/>
        <v>0</v>
      </c>
      <c r="V146">
        <f t="shared" si="120"/>
        <v>0</v>
      </c>
      <c r="W146">
        <f t="shared" si="121"/>
        <v>0</v>
      </c>
      <c r="X146">
        <f t="shared" si="122"/>
        <v>0</v>
      </c>
      <c r="Y146">
        <f t="shared" si="123"/>
        <v>0</v>
      </c>
      <c r="AA146">
        <v>56610029</v>
      </c>
      <c r="AB146">
        <f t="shared" si="124"/>
        <v>153.63</v>
      </c>
      <c r="AC146">
        <f t="shared" si="102"/>
        <v>153.63</v>
      </c>
      <c r="AD146">
        <f t="shared" si="144"/>
        <v>0</v>
      </c>
      <c r="AE146">
        <f t="shared" si="145"/>
        <v>0</v>
      </c>
      <c r="AF146">
        <f t="shared" si="146"/>
        <v>0</v>
      </c>
      <c r="AG146">
        <f t="shared" si="125"/>
        <v>0</v>
      </c>
      <c r="AH146">
        <f t="shared" si="147"/>
        <v>0</v>
      </c>
      <c r="AI146">
        <f t="shared" si="148"/>
        <v>0</v>
      </c>
      <c r="AJ146">
        <f t="shared" si="126"/>
        <v>0</v>
      </c>
      <c r="AK146">
        <v>153.63</v>
      </c>
      <c r="AL146">
        <v>153.63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1</v>
      </c>
      <c r="AZ146">
        <v>1</v>
      </c>
      <c r="BA146">
        <v>1</v>
      </c>
      <c r="BB146">
        <v>1</v>
      </c>
      <c r="BC146">
        <v>2.11</v>
      </c>
      <c r="BD146" t="s">
        <v>3</v>
      </c>
      <c r="BE146" t="s">
        <v>3</v>
      </c>
      <c r="BF146" t="s">
        <v>3</v>
      </c>
      <c r="BG146" t="s">
        <v>3</v>
      </c>
      <c r="BH146">
        <v>3</v>
      </c>
      <c r="BI146">
        <v>2</v>
      </c>
      <c r="BJ146" t="s">
        <v>261</v>
      </c>
      <c r="BM146">
        <v>1618</v>
      </c>
      <c r="BN146">
        <v>0</v>
      </c>
      <c r="BO146" t="s">
        <v>259</v>
      </c>
      <c r="BP146">
        <v>1</v>
      </c>
      <c r="BQ146">
        <v>201</v>
      </c>
      <c r="BR146">
        <v>0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 t="s">
        <v>3</v>
      </c>
      <c r="BZ146">
        <v>0</v>
      </c>
      <c r="CA146">
        <v>0</v>
      </c>
      <c r="CB146" t="s">
        <v>3</v>
      </c>
      <c r="CE146">
        <v>30</v>
      </c>
      <c r="CF146">
        <v>0</v>
      </c>
      <c r="CG146">
        <v>0</v>
      </c>
      <c r="CM146">
        <v>0</v>
      </c>
      <c r="CN146" t="s">
        <v>708</v>
      </c>
      <c r="CO146">
        <v>0</v>
      </c>
      <c r="CP146">
        <f t="shared" si="127"/>
        <v>0</v>
      </c>
      <c r="CQ146">
        <f t="shared" si="128"/>
        <v>324.16000000000003</v>
      </c>
      <c r="CR146">
        <f t="shared" si="149"/>
        <v>0</v>
      </c>
      <c r="CS146">
        <f t="shared" si="129"/>
        <v>0</v>
      </c>
      <c r="CT146">
        <f t="shared" si="130"/>
        <v>0</v>
      </c>
      <c r="CU146">
        <f t="shared" si="131"/>
        <v>0</v>
      </c>
      <c r="CV146">
        <f t="shared" si="132"/>
        <v>0</v>
      </c>
      <c r="CW146">
        <f t="shared" si="133"/>
        <v>0</v>
      </c>
      <c r="CX146">
        <f t="shared" si="134"/>
        <v>0</v>
      </c>
      <c r="CY146">
        <f>S146*(BZ146/100)</f>
        <v>0</v>
      </c>
      <c r="CZ146">
        <f>S146*(CA146/100)</f>
        <v>0</v>
      </c>
      <c r="DB146">
        <v>82</v>
      </c>
      <c r="DC146" t="s">
        <v>3</v>
      </c>
      <c r="DD146" t="s">
        <v>3</v>
      </c>
      <c r="DE146" t="s">
        <v>22</v>
      </c>
      <c r="DF146" t="s">
        <v>22</v>
      </c>
      <c r="DG146" t="s">
        <v>22</v>
      </c>
      <c r="DH146" t="s">
        <v>3</v>
      </c>
      <c r="DI146" t="s">
        <v>22</v>
      </c>
      <c r="DJ146" t="s">
        <v>22</v>
      </c>
      <c r="DK146" t="s">
        <v>3</v>
      </c>
      <c r="DL146" t="s">
        <v>3</v>
      </c>
      <c r="DM146" t="s">
        <v>3</v>
      </c>
      <c r="DN146">
        <v>0</v>
      </c>
      <c r="DO146">
        <v>0</v>
      </c>
      <c r="DP146">
        <v>1</v>
      </c>
      <c r="DQ146">
        <v>1</v>
      </c>
      <c r="DU146">
        <v>1013</v>
      </c>
      <c r="DV146" t="s">
        <v>241</v>
      </c>
      <c r="DW146" t="s">
        <v>241</v>
      </c>
      <c r="DX146">
        <v>1</v>
      </c>
      <c r="DZ146" t="s">
        <v>3</v>
      </c>
      <c r="EA146" t="s">
        <v>3</v>
      </c>
      <c r="EB146" t="s">
        <v>3</v>
      </c>
      <c r="EC146" t="s">
        <v>3</v>
      </c>
      <c r="EE146">
        <v>51697657</v>
      </c>
      <c r="EF146">
        <v>201</v>
      </c>
      <c r="EG146" t="s">
        <v>196</v>
      </c>
      <c r="EH146">
        <v>0</v>
      </c>
      <c r="EI146" t="s">
        <v>3</v>
      </c>
      <c r="EJ146">
        <v>2</v>
      </c>
      <c r="EK146">
        <v>1618</v>
      </c>
      <c r="EL146" t="s">
        <v>197</v>
      </c>
      <c r="EM146" t="s">
        <v>198</v>
      </c>
      <c r="EO146" t="s">
        <v>26</v>
      </c>
      <c r="EQ146">
        <v>131072</v>
      </c>
      <c r="ER146">
        <v>153.63</v>
      </c>
      <c r="ES146">
        <v>153.63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FQ146">
        <v>0</v>
      </c>
      <c r="FR146">
        <v>0</v>
      </c>
      <c r="FS146">
        <v>0</v>
      </c>
      <c r="FX146">
        <v>0</v>
      </c>
      <c r="FY146">
        <v>0</v>
      </c>
      <c r="GA146" t="s">
        <v>3</v>
      </c>
      <c r="GD146">
        <v>0</v>
      </c>
      <c r="GF146">
        <v>1544174678</v>
      </c>
      <c r="GG146">
        <v>2</v>
      </c>
      <c r="GH146">
        <v>1</v>
      </c>
      <c r="GI146">
        <v>2</v>
      </c>
      <c r="GJ146">
        <v>0</v>
      </c>
      <c r="GK146">
        <f>ROUND(R146*(S12)/100,2)</f>
        <v>0</v>
      </c>
      <c r="GL146">
        <f t="shared" si="135"/>
        <v>0</v>
      </c>
      <c r="GM146">
        <f t="shared" si="136"/>
        <v>0</v>
      </c>
      <c r="GN146">
        <f t="shared" si="137"/>
        <v>0</v>
      </c>
      <c r="GO146">
        <f t="shared" si="138"/>
        <v>0</v>
      </c>
      <c r="GP146">
        <f t="shared" si="139"/>
        <v>0</v>
      </c>
      <c r="GR146">
        <v>0</v>
      </c>
      <c r="GS146">
        <v>3</v>
      </c>
      <c r="GT146">
        <v>0</v>
      </c>
      <c r="GU146" t="s">
        <v>3</v>
      </c>
      <c r="GV146">
        <f t="shared" si="140"/>
        <v>0</v>
      </c>
      <c r="GW146">
        <v>1</v>
      </c>
      <c r="GX146">
        <f t="shared" si="141"/>
        <v>0</v>
      </c>
      <c r="HA146">
        <v>0</v>
      </c>
      <c r="HB146">
        <v>0</v>
      </c>
      <c r="HC146">
        <f t="shared" si="142"/>
        <v>0</v>
      </c>
      <c r="HE146" t="s">
        <v>3</v>
      </c>
      <c r="HF146" t="s">
        <v>3</v>
      </c>
      <c r="HM146" t="s">
        <v>3</v>
      </c>
      <c r="HN146" t="s">
        <v>3</v>
      </c>
      <c r="HO146" t="s">
        <v>3</v>
      </c>
      <c r="HP146" t="s">
        <v>3</v>
      </c>
      <c r="HQ146" t="s">
        <v>3</v>
      </c>
      <c r="HS146">
        <v>0</v>
      </c>
      <c r="IK146">
        <v>0</v>
      </c>
    </row>
    <row r="148" spans="1:255" x14ac:dyDescent="0.2">
      <c r="A148" s="3">
        <v>51</v>
      </c>
      <c r="B148" s="3">
        <f>B89</f>
        <v>1</v>
      </c>
      <c r="C148" s="3">
        <f>A89</f>
        <v>4</v>
      </c>
      <c r="D148" s="3">
        <f>ROW(A89)</f>
        <v>89</v>
      </c>
      <c r="E148" s="3"/>
      <c r="F148" s="3" t="str">
        <f>IF(F89&lt;&gt;"",F89,"")</f>
        <v>Новый раздел</v>
      </c>
      <c r="G148" s="3" t="str">
        <f>IF(G89&lt;&gt;"",G89,"")</f>
        <v>Монтажные работы</v>
      </c>
      <c r="H148" s="3">
        <v>0</v>
      </c>
      <c r="I148" s="3"/>
      <c r="J148" s="3"/>
      <c r="K148" s="3"/>
      <c r="L148" s="3"/>
      <c r="M148" s="3"/>
      <c r="N148" s="3"/>
      <c r="O148" s="3">
        <f t="shared" ref="O148:T148" si="150">ROUND(AB148,2)</f>
        <v>27092.85</v>
      </c>
      <c r="P148" s="3">
        <f t="shared" si="150"/>
        <v>26124.11</v>
      </c>
      <c r="Q148" s="3">
        <f t="shared" si="150"/>
        <v>400.9</v>
      </c>
      <c r="R148" s="3">
        <f t="shared" si="150"/>
        <v>56.53</v>
      </c>
      <c r="S148" s="3">
        <f t="shared" si="150"/>
        <v>567.84</v>
      </c>
      <c r="T148" s="3">
        <f t="shared" si="150"/>
        <v>0</v>
      </c>
      <c r="U148" s="3">
        <f>AH148</f>
        <v>46.373099119599999</v>
      </c>
      <c r="V148" s="3">
        <f>AI148</f>
        <v>0</v>
      </c>
      <c r="W148" s="3">
        <f>ROUND(AJ148,2)</f>
        <v>0</v>
      </c>
      <c r="X148" s="3">
        <f>ROUND(AK148,2)</f>
        <v>635.96</v>
      </c>
      <c r="Y148" s="3">
        <f>ROUND(AL148,2)</f>
        <v>397.5</v>
      </c>
      <c r="Z148" s="3"/>
      <c r="AA148" s="3"/>
      <c r="AB148" s="3">
        <f>ROUND(SUMIF(AA93:AA146,"=56622490",O93:O146),2)</f>
        <v>27092.85</v>
      </c>
      <c r="AC148" s="3">
        <f>ROUND(SUMIF(AA93:AA146,"=56622490",P93:P146),2)</f>
        <v>26124.11</v>
      </c>
      <c r="AD148" s="3">
        <f>ROUND(SUMIF(AA93:AA146,"=56622490",Q93:Q146),2)</f>
        <v>400.9</v>
      </c>
      <c r="AE148" s="3">
        <f>ROUND(SUMIF(AA93:AA146,"=56622490",R93:R146),2)</f>
        <v>56.53</v>
      </c>
      <c r="AF148" s="3">
        <f>ROUND(SUMIF(AA93:AA146,"=56622490",S93:S146),2)</f>
        <v>567.84</v>
      </c>
      <c r="AG148" s="3">
        <f>ROUND(SUMIF(AA93:AA146,"=56622490",T93:T146),2)</f>
        <v>0</v>
      </c>
      <c r="AH148" s="3">
        <f>SUMIF(AA93:AA146,"=56622490",U93:U146)</f>
        <v>46.373099119599999</v>
      </c>
      <c r="AI148" s="3">
        <f>SUMIF(AA93:AA146,"=56622490",V93:V146)</f>
        <v>0</v>
      </c>
      <c r="AJ148" s="3">
        <f>ROUND(SUMIF(AA93:AA146,"=56622490",W93:W146),2)</f>
        <v>0</v>
      </c>
      <c r="AK148" s="3">
        <f>ROUND(SUMIF(AA93:AA146,"=56622490",X93:X146),2)</f>
        <v>635.96</v>
      </c>
      <c r="AL148" s="3">
        <f>ROUND(SUMIF(AA93:AA146,"=56622490",Y93:Y146),2)</f>
        <v>397.5</v>
      </c>
      <c r="AM148" s="3"/>
      <c r="AN148" s="3"/>
      <c r="AO148" s="3">
        <f t="shared" ref="AO148:BD148" si="151">ROUND(BX148,2)</f>
        <v>0</v>
      </c>
      <c r="AP148" s="3">
        <f t="shared" si="151"/>
        <v>0</v>
      </c>
      <c r="AQ148" s="3">
        <f t="shared" si="151"/>
        <v>0</v>
      </c>
      <c r="AR148" s="3">
        <f t="shared" si="151"/>
        <v>28225.24</v>
      </c>
      <c r="AS148" s="3">
        <f t="shared" si="151"/>
        <v>443.06</v>
      </c>
      <c r="AT148" s="3">
        <f t="shared" si="151"/>
        <v>27782.18</v>
      </c>
      <c r="AU148" s="3">
        <f t="shared" si="151"/>
        <v>0</v>
      </c>
      <c r="AV148" s="3">
        <f t="shared" si="151"/>
        <v>26124.11</v>
      </c>
      <c r="AW148" s="3">
        <f t="shared" si="151"/>
        <v>26124.11</v>
      </c>
      <c r="AX148" s="3">
        <f t="shared" si="151"/>
        <v>0</v>
      </c>
      <c r="AY148" s="3">
        <f t="shared" si="151"/>
        <v>26124.11</v>
      </c>
      <c r="AZ148" s="3">
        <f t="shared" si="151"/>
        <v>0</v>
      </c>
      <c r="BA148" s="3">
        <f t="shared" si="151"/>
        <v>0</v>
      </c>
      <c r="BB148" s="3">
        <f t="shared" si="151"/>
        <v>0</v>
      </c>
      <c r="BC148" s="3">
        <f t="shared" si="151"/>
        <v>0</v>
      </c>
      <c r="BD148" s="3">
        <f t="shared" si="151"/>
        <v>0</v>
      </c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>
        <f>ROUND(SUMIF(AA93:AA146,"=56622490",FQ93:FQ146),2)</f>
        <v>0</v>
      </c>
      <c r="BY148" s="3">
        <f>ROUND(SUMIF(AA93:AA146,"=56622490",FR93:FR146),2)</f>
        <v>0</v>
      </c>
      <c r="BZ148" s="3">
        <f>ROUND(SUMIF(AA93:AA146,"=56622490",GL93:GL146),2)</f>
        <v>0</v>
      </c>
      <c r="CA148" s="3">
        <f>ROUND(SUMIF(AA93:AA146,"=56622490",GM93:GM146),2)</f>
        <v>28225.24</v>
      </c>
      <c r="CB148" s="3">
        <f>ROUND(SUMIF(AA93:AA146,"=56622490",GN93:GN146),2)</f>
        <v>443.06</v>
      </c>
      <c r="CC148" s="3">
        <f>ROUND(SUMIF(AA93:AA146,"=56622490",GO93:GO146),2)</f>
        <v>27782.18</v>
      </c>
      <c r="CD148" s="3">
        <f>ROUND(SUMIF(AA93:AA146,"=56622490",GP93:GP146),2)</f>
        <v>0</v>
      </c>
      <c r="CE148" s="3">
        <f>AC148-BX148</f>
        <v>26124.11</v>
      </c>
      <c r="CF148" s="3">
        <f>AC148-BY148</f>
        <v>26124.11</v>
      </c>
      <c r="CG148" s="3">
        <f>BX148-BZ148</f>
        <v>0</v>
      </c>
      <c r="CH148" s="3">
        <f>AC148-BX148-BY148+BZ148</f>
        <v>26124.11</v>
      </c>
      <c r="CI148" s="3">
        <f>BY148-BZ148</f>
        <v>0</v>
      </c>
      <c r="CJ148" s="3">
        <f>ROUND(SUMIF(AA93:AA146,"=56622490",GX93:GX146),2)</f>
        <v>0</v>
      </c>
      <c r="CK148" s="3">
        <f>ROUND(SUMIF(AA93:AA146,"=56622490",GY93:GY146),2)</f>
        <v>0</v>
      </c>
      <c r="CL148" s="3">
        <f>ROUND(SUMIF(AA93:AA146,"=56622490",GZ93:GZ146),2)</f>
        <v>0</v>
      </c>
      <c r="CM148" s="3">
        <f>ROUND(SUMIF(AA93:AA146,"=56622490",HD93:HD146),2)</f>
        <v>0</v>
      </c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4">
        <f t="shared" ref="DG148:DL148" si="152">ROUND(DT148,2)</f>
        <v>233095.67999999999</v>
      </c>
      <c r="DH148" s="4">
        <f t="shared" si="152"/>
        <v>208462.94</v>
      </c>
      <c r="DI148" s="4">
        <f t="shared" si="152"/>
        <v>5036.58</v>
      </c>
      <c r="DJ148" s="4">
        <f t="shared" si="152"/>
        <v>1950.85</v>
      </c>
      <c r="DK148" s="4">
        <f t="shared" si="152"/>
        <v>19596.16</v>
      </c>
      <c r="DL148" s="4">
        <f t="shared" si="152"/>
        <v>0</v>
      </c>
      <c r="DM148" s="4">
        <f>DZ148</f>
        <v>46.373099119599999</v>
      </c>
      <c r="DN148" s="4">
        <f>EA148</f>
        <v>0</v>
      </c>
      <c r="DO148" s="4">
        <f>ROUND(EB148,2)</f>
        <v>0</v>
      </c>
      <c r="DP148" s="4">
        <f>ROUND(EC148,2)</f>
        <v>18028.45</v>
      </c>
      <c r="DQ148" s="4">
        <f>ROUND(ED148,2)</f>
        <v>8426.36</v>
      </c>
      <c r="DR148" s="4"/>
      <c r="DS148" s="4"/>
      <c r="DT148" s="4">
        <f>ROUND(SUMIF(AA93:AA146,"=56610029",O93:O146),2)</f>
        <v>233095.67999999999</v>
      </c>
      <c r="DU148" s="4">
        <f>ROUND(SUMIF(AA93:AA146,"=56610029",P93:P146),2)</f>
        <v>208462.94</v>
      </c>
      <c r="DV148" s="4">
        <f>ROUND(SUMIF(AA93:AA146,"=56610029",Q93:Q146),2)</f>
        <v>5036.58</v>
      </c>
      <c r="DW148" s="4">
        <f>ROUND(SUMIF(AA93:AA146,"=56610029",R93:R146),2)</f>
        <v>1950.85</v>
      </c>
      <c r="DX148" s="4">
        <f>ROUND(SUMIF(AA93:AA146,"=56610029",S93:S146),2)</f>
        <v>19596.16</v>
      </c>
      <c r="DY148" s="4">
        <f>ROUND(SUMIF(AA93:AA146,"=56610029",T93:T146),2)</f>
        <v>0</v>
      </c>
      <c r="DZ148" s="4">
        <f>SUMIF(AA93:AA146,"=56610029",U93:U146)</f>
        <v>46.373099119599999</v>
      </c>
      <c r="EA148" s="4">
        <f>SUMIF(AA93:AA146,"=56610029",V93:V146)</f>
        <v>0</v>
      </c>
      <c r="EB148" s="4">
        <f>ROUND(SUMIF(AA93:AA146,"=56610029",W93:W146),2)</f>
        <v>0</v>
      </c>
      <c r="EC148" s="4">
        <f>ROUND(SUMIF(AA93:AA146,"=56610029",X93:X146),2)</f>
        <v>18028.45</v>
      </c>
      <c r="ED148" s="4">
        <f>ROUND(SUMIF(AA93:AA146,"=56610029",Y93:Y146),2)</f>
        <v>8426.36</v>
      </c>
      <c r="EE148" s="4"/>
      <c r="EF148" s="4"/>
      <c r="EG148" s="4">
        <f t="shared" ref="EG148:EV148" si="153">ROUND(FP148,2)</f>
        <v>0</v>
      </c>
      <c r="EH148" s="4">
        <f t="shared" si="153"/>
        <v>0</v>
      </c>
      <c r="EI148" s="4">
        <f t="shared" si="153"/>
        <v>0</v>
      </c>
      <c r="EJ148" s="4">
        <f t="shared" si="153"/>
        <v>262671.84999999998</v>
      </c>
      <c r="EK148" s="4">
        <f t="shared" si="153"/>
        <v>3407.13</v>
      </c>
      <c r="EL148" s="4">
        <f t="shared" si="153"/>
        <v>259264.72</v>
      </c>
      <c r="EM148" s="4">
        <f t="shared" si="153"/>
        <v>0</v>
      </c>
      <c r="EN148" s="4">
        <f t="shared" si="153"/>
        <v>208462.94</v>
      </c>
      <c r="EO148" s="4">
        <f t="shared" si="153"/>
        <v>208462.94</v>
      </c>
      <c r="EP148" s="4">
        <f t="shared" si="153"/>
        <v>0</v>
      </c>
      <c r="EQ148" s="4">
        <f t="shared" si="153"/>
        <v>208462.94</v>
      </c>
      <c r="ER148" s="4">
        <f t="shared" si="153"/>
        <v>0</v>
      </c>
      <c r="ES148" s="4">
        <f t="shared" si="153"/>
        <v>0</v>
      </c>
      <c r="ET148" s="4">
        <f t="shared" si="153"/>
        <v>0</v>
      </c>
      <c r="EU148" s="4">
        <f t="shared" si="153"/>
        <v>0</v>
      </c>
      <c r="EV148" s="4">
        <f t="shared" si="153"/>
        <v>0</v>
      </c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>
        <f>ROUND(SUMIF(AA93:AA146,"=56610029",FQ93:FQ146),2)</f>
        <v>0</v>
      </c>
      <c r="FQ148" s="4">
        <f>ROUND(SUMIF(AA93:AA146,"=56610029",FR93:FR146),2)</f>
        <v>0</v>
      </c>
      <c r="FR148" s="4">
        <f>ROUND(SUMIF(AA93:AA146,"=56610029",GL93:GL146),2)</f>
        <v>0</v>
      </c>
      <c r="FS148" s="4">
        <f>ROUND(SUMIF(AA93:AA146,"=56610029",GM93:GM146),2)</f>
        <v>262671.84999999998</v>
      </c>
      <c r="FT148" s="4">
        <f>ROUND(SUMIF(AA93:AA146,"=56610029",GN93:GN146),2)</f>
        <v>3407.13</v>
      </c>
      <c r="FU148" s="4">
        <f>ROUND(SUMIF(AA93:AA146,"=56610029",GO93:GO146),2)</f>
        <v>259264.72</v>
      </c>
      <c r="FV148" s="4">
        <f>ROUND(SUMIF(AA93:AA146,"=56610029",GP93:GP146),2)</f>
        <v>0</v>
      </c>
      <c r="FW148" s="4">
        <f>DU148-FP148</f>
        <v>208462.94</v>
      </c>
      <c r="FX148" s="4">
        <f>DU148-FQ148</f>
        <v>208462.94</v>
      </c>
      <c r="FY148" s="4">
        <f>FP148-FR148</f>
        <v>0</v>
      </c>
      <c r="FZ148" s="4">
        <f>DU148-FP148-FQ148+FR148</f>
        <v>208462.94</v>
      </c>
      <c r="GA148" s="4">
        <f>FQ148-FR148</f>
        <v>0</v>
      </c>
      <c r="GB148" s="4">
        <f>ROUND(SUMIF(AA93:AA146,"=56610029",GX93:GX146),2)</f>
        <v>0</v>
      </c>
      <c r="GC148" s="4">
        <f>ROUND(SUMIF(AA93:AA146,"=56610029",GY93:GY146),2)</f>
        <v>0</v>
      </c>
      <c r="GD148" s="4">
        <f>ROUND(SUMIF(AA93:AA146,"=56610029",GZ93:GZ146),2)</f>
        <v>0</v>
      </c>
      <c r="GE148" s="4">
        <f>ROUND(SUMIF(AA93:AA146,"=56610029",HD93:HD146),2)</f>
        <v>0</v>
      </c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>
        <v>0</v>
      </c>
    </row>
    <row r="150" spans="1:255" x14ac:dyDescent="0.2">
      <c r="A150" s="5">
        <v>50</v>
      </c>
      <c r="B150" s="5">
        <v>0</v>
      </c>
      <c r="C150" s="5">
        <v>0</v>
      </c>
      <c r="D150" s="5">
        <v>1</v>
      </c>
      <c r="E150" s="5">
        <v>201</v>
      </c>
      <c r="F150" s="5">
        <f>ROUND(Source!O148,O150)</f>
        <v>27092.85</v>
      </c>
      <c r="G150" s="5" t="s">
        <v>103</v>
      </c>
      <c r="H150" s="5" t="s">
        <v>104</v>
      </c>
      <c r="I150" s="5"/>
      <c r="J150" s="5"/>
      <c r="K150" s="5">
        <v>201</v>
      </c>
      <c r="L150" s="5">
        <v>1</v>
      </c>
      <c r="M150" s="5">
        <v>3</v>
      </c>
      <c r="N150" s="5" t="s">
        <v>3</v>
      </c>
      <c r="O150" s="5">
        <v>2</v>
      </c>
      <c r="P150" s="5">
        <f>ROUND(Source!DG148,O150)</f>
        <v>233095.67999999999</v>
      </c>
      <c r="Q150" s="5"/>
      <c r="R150" s="5"/>
      <c r="S150" s="5"/>
      <c r="T150" s="5"/>
      <c r="U150" s="5"/>
      <c r="V150" s="5"/>
      <c r="W150" s="5">
        <v>27092.85</v>
      </c>
      <c r="X150" s="5">
        <v>1</v>
      </c>
      <c r="Y150" s="5">
        <v>27092.85</v>
      </c>
      <c r="Z150" s="5">
        <v>233095.67999999999</v>
      </c>
      <c r="AA150" s="5">
        <v>1</v>
      </c>
      <c r="AB150" s="5">
        <v>233095.67999999999</v>
      </c>
    </row>
    <row r="151" spans="1:255" x14ac:dyDescent="0.2">
      <c r="A151" s="5">
        <v>50</v>
      </c>
      <c r="B151" s="5">
        <v>0</v>
      </c>
      <c r="C151" s="5">
        <v>0</v>
      </c>
      <c r="D151" s="5">
        <v>1</v>
      </c>
      <c r="E151" s="5">
        <v>202</v>
      </c>
      <c r="F151" s="5">
        <f>ROUND(Source!P148,O151)</f>
        <v>26124.11</v>
      </c>
      <c r="G151" s="5" t="s">
        <v>105</v>
      </c>
      <c r="H151" s="5" t="s">
        <v>106</v>
      </c>
      <c r="I151" s="5"/>
      <c r="J151" s="5"/>
      <c r="K151" s="5">
        <v>202</v>
      </c>
      <c r="L151" s="5">
        <v>2</v>
      </c>
      <c r="M151" s="5">
        <v>3</v>
      </c>
      <c r="N151" s="5" t="s">
        <v>3</v>
      </c>
      <c r="O151" s="5">
        <v>2</v>
      </c>
      <c r="P151" s="5">
        <f>ROUND(Source!DH148,O151)</f>
        <v>208462.94</v>
      </c>
      <c r="Q151" s="5"/>
      <c r="R151" s="5"/>
      <c r="S151" s="5"/>
      <c r="T151" s="5"/>
      <c r="U151" s="5"/>
      <c r="V151" s="5"/>
      <c r="W151" s="5">
        <v>26124.11</v>
      </c>
      <c r="X151" s="5">
        <v>1</v>
      </c>
      <c r="Y151" s="5">
        <v>26124.11</v>
      </c>
      <c r="Z151" s="5">
        <v>208462.94</v>
      </c>
      <c r="AA151" s="5">
        <v>1</v>
      </c>
      <c r="AB151" s="5">
        <v>208462.94</v>
      </c>
    </row>
    <row r="152" spans="1:255" x14ac:dyDescent="0.2">
      <c r="A152" s="5">
        <v>50</v>
      </c>
      <c r="B152" s="5">
        <v>0</v>
      </c>
      <c r="C152" s="5">
        <v>0</v>
      </c>
      <c r="D152" s="5">
        <v>1</v>
      </c>
      <c r="E152" s="5">
        <v>222</v>
      </c>
      <c r="F152" s="5">
        <f>ROUND(Source!AO148,O152)</f>
        <v>0</v>
      </c>
      <c r="G152" s="5" t="s">
        <v>107</v>
      </c>
      <c r="H152" s="5" t="s">
        <v>108</v>
      </c>
      <c r="I152" s="5"/>
      <c r="J152" s="5"/>
      <c r="K152" s="5">
        <v>222</v>
      </c>
      <c r="L152" s="5">
        <v>3</v>
      </c>
      <c r="M152" s="5">
        <v>3</v>
      </c>
      <c r="N152" s="5" t="s">
        <v>3</v>
      </c>
      <c r="O152" s="5">
        <v>2</v>
      </c>
      <c r="P152" s="5">
        <f>ROUND(Source!EG148,O152)</f>
        <v>0</v>
      </c>
      <c r="Q152" s="5"/>
      <c r="R152" s="5"/>
      <c r="S152" s="5"/>
      <c r="T152" s="5"/>
      <c r="U152" s="5"/>
      <c r="V152" s="5"/>
      <c r="W152" s="5">
        <v>0</v>
      </c>
      <c r="X152" s="5">
        <v>1</v>
      </c>
      <c r="Y152" s="5">
        <v>0</v>
      </c>
      <c r="Z152" s="5">
        <v>0</v>
      </c>
      <c r="AA152" s="5">
        <v>1</v>
      </c>
      <c r="AB152" s="5">
        <v>0</v>
      </c>
    </row>
    <row r="153" spans="1:255" x14ac:dyDescent="0.2">
      <c r="A153" s="5">
        <v>50</v>
      </c>
      <c r="B153" s="5">
        <v>0</v>
      </c>
      <c r="C153" s="5">
        <v>0</v>
      </c>
      <c r="D153" s="5">
        <v>1</v>
      </c>
      <c r="E153" s="5">
        <v>225</v>
      </c>
      <c r="F153" s="5">
        <f>ROUND(Source!AV148,O153)</f>
        <v>26124.11</v>
      </c>
      <c r="G153" s="5" t="s">
        <v>109</v>
      </c>
      <c r="H153" s="5" t="s">
        <v>110</v>
      </c>
      <c r="I153" s="5"/>
      <c r="J153" s="5"/>
      <c r="K153" s="5">
        <v>225</v>
      </c>
      <c r="L153" s="5">
        <v>4</v>
      </c>
      <c r="M153" s="5">
        <v>3</v>
      </c>
      <c r="N153" s="5" t="s">
        <v>3</v>
      </c>
      <c r="O153" s="5">
        <v>2</v>
      </c>
      <c r="P153" s="5">
        <f>ROUND(Source!EN148,O153)</f>
        <v>208462.94</v>
      </c>
      <c r="Q153" s="5"/>
      <c r="R153" s="5"/>
      <c r="S153" s="5"/>
      <c r="T153" s="5"/>
      <c r="U153" s="5"/>
      <c r="V153" s="5"/>
      <c r="W153" s="5">
        <v>26124.11</v>
      </c>
      <c r="X153" s="5">
        <v>1</v>
      </c>
      <c r="Y153" s="5">
        <v>26124.11</v>
      </c>
      <c r="Z153" s="5">
        <v>208462.94</v>
      </c>
      <c r="AA153" s="5">
        <v>1</v>
      </c>
      <c r="AB153" s="5">
        <v>208462.94</v>
      </c>
    </row>
    <row r="154" spans="1:255" x14ac:dyDescent="0.2">
      <c r="A154" s="5">
        <v>50</v>
      </c>
      <c r="B154" s="5">
        <v>0</v>
      </c>
      <c r="C154" s="5">
        <v>0</v>
      </c>
      <c r="D154" s="5">
        <v>1</v>
      </c>
      <c r="E154" s="5">
        <v>226</v>
      </c>
      <c r="F154" s="5">
        <f>ROUND(Source!AW148,O154)</f>
        <v>26124.11</v>
      </c>
      <c r="G154" s="5" t="s">
        <v>111</v>
      </c>
      <c r="H154" s="5" t="s">
        <v>112</v>
      </c>
      <c r="I154" s="5"/>
      <c r="J154" s="5"/>
      <c r="K154" s="5">
        <v>226</v>
      </c>
      <c r="L154" s="5">
        <v>5</v>
      </c>
      <c r="M154" s="5">
        <v>3</v>
      </c>
      <c r="N154" s="5" t="s">
        <v>3</v>
      </c>
      <c r="O154" s="5">
        <v>2</v>
      </c>
      <c r="P154" s="5">
        <f>ROUND(Source!EO148,O154)</f>
        <v>208462.94</v>
      </c>
      <c r="Q154" s="5"/>
      <c r="R154" s="5"/>
      <c r="S154" s="5"/>
      <c r="T154" s="5"/>
      <c r="U154" s="5"/>
      <c r="V154" s="5"/>
      <c r="W154" s="5">
        <v>26124.11</v>
      </c>
      <c r="X154" s="5">
        <v>1</v>
      </c>
      <c r="Y154" s="5">
        <v>26124.11</v>
      </c>
      <c r="Z154" s="5">
        <v>208462.94</v>
      </c>
      <c r="AA154" s="5">
        <v>1</v>
      </c>
      <c r="AB154" s="5">
        <v>208462.94</v>
      </c>
    </row>
    <row r="155" spans="1:255" x14ac:dyDescent="0.2">
      <c r="A155" s="5">
        <v>50</v>
      </c>
      <c r="B155" s="5">
        <v>0</v>
      </c>
      <c r="C155" s="5">
        <v>0</v>
      </c>
      <c r="D155" s="5">
        <v>1</v>
      </c>
      <c r="E155" s="5">
        <v>227</v>
      </c>
      <c r="F155" s="5">
        <f>ROUND(Source!AX148,O155)</f>
        <v>0</v>
      </c>
      <c r="G155" s="5" t="s">
        <v>113</v>
      </c>
      <c r="H155" s="5" t="s">
        <v>114</v>
      </c>
      <c r="I155" s="5"/>
      <c r="J155" s="5"/>
      <c r="K155" s="5">
        <v>227</v>
      </c>
      <c r="L155" s="5">
        <v>6</v>
      </c>
      <c r="M155" s="5">
        <v>3</v>
      </c>
      <c r="N155" s="5" t="s">
        <v>3</v>
      </c>
      <c r="O155" s="5">
        <v>2</v>
      </c>
      <c r="P155" s="5">
        <f>ROUND(Source!EP148,O155)</f>
        <v>0</v>
      </c>
      <c r="Q155" s="5"/>
      <c r="R155" s="5"/>
      <c r="S155" s="5"/>
      <c r="T155" s="5"/>
      <c r="U155" s="5"/>
      <c r="V155" s="5"/>
      <c r="W155" s="5">
        <v>0</v>
      </c>
      <c r="X155" s="5">
        <v>1</v>
      </c>
      <c r="Y155" s="5">
        <v>0</v>
      </c>
      <c r="Z155" s="5">
        <v>0</v>
      </c>
      <c r="AA155" s="5">
        <v>1</v>
      </c>
      <c r="AB155" s="5">
        <v>0</v>
      </c>
    </row>
    <row r="156" spans="1:255" x14ac:dyDescent="0.2">
      <c r="A156" s="5">
        <v>50</v>
      </c>
      <c r="B156" s="5">
        <v>0</v>
      </c>
      <c r="C156" s="5">
        <v>0</v>
      </c>
      <c r="D156" s="5">
        <v>1</v>
      </c>
      <c r="E156" s="5">
        <v>228</v>
      </c>
      <c r="F156" s="5">
        <f>ROUND(Source!AY148,O156)</f>
        <v>26124.11</v>
      </c>
      <c r="G156" s="5" t="s">
        <v>115</v>
      </c>
      <c r="H156" s="5" t="s">
        <v>116</v>
      </c>
      <c r="I156" s="5"/>
      <c r="J156" s="5"/>
      <c r="K156" s="5">
        <v>228</v>
      </c>
      <c r="L156" s="5">
        <v>7</v>
      </c>
      <c r="M156" s="5">
        <v>3</v>
      </c>
      <c r="N156" s="5" t="s">
        <v>3</v>
      </c>
      <c r="O156" s="5">
        <v>2</v>
      </c>
      <c r="P156" s="5">
        <f>ROUND(Source!EQ148,O156)</f>
        <v>208462.94</v>
      </c>
      <c r="Q156" s="5"/>
      <c r="R156" s="5"/>
      <c r="S156" s="5"/>
      <c r="T156" s="5"/>
      <c r="U156" s="5"/>
      <c r="V156" s="5"/>
      <c r="W156" s="5">
        <v>26124.11</v>
      </c>
      <c r="X156" s="5">
        <v>1</v>
      </c>
      <c r="Y156" s="5">
        <v>26124.11</v>
      </c>
      <c r="Z156" s="5">
        <v>208462.94</v>
      </c>
      <c r="AA156" s="5">
        <v>1</v>
      </c>
      <c r="AB156" s="5">
        <v>208462.94</v>
      </c>
    </row>
    <row r="157" spans="1:255" x14ac:dyDescent="0.2">
      <c r="A157" s="5">
        <v>50</v>
      </c>
      <c r="B157" s="5">
        <v>0</v>
      </c>
      <c r="C157" s="5">
        <v>0</v>
      </c>
      <c r="D157" s="5">
        <v>1</v>
      </c>
      <c r="E157" s="5">
        <v>216</v>
      </c>
      <c r="F157" s="5">
        <f>ROUND(Source!AP148,O157)</f>
        <v>0</v>
      </c>
      <c r="G157" s="5" t="s">
        <v>117</v>
      </c>
      <c r="H157" s="5" t="s">
        <v>118</v>
      </c>
      <c r="I157" s="5"/>
      <c r="J157" s="5"/>
      <c r="K157" s="5">
        <v>216</v>
      </c>
      <c r="L157" s="5">
        <v>8</v>
      </c>
      <c r="M157" s="5">
        <v>3</v>
      </c>
      <c r="N157" s="5" t="s">
        <v>3</v>
      </c>
      <c r="O157" s="5">
        <v>2</v>
      </c>
      <c r="P157" s="5">
        <f>ROUND(Source!EH148,O157)</f>
        <v>0</v>
      </c>
      <c r="Q157" s="5"/>
      <c r="R157" s="5"/>
      <c r="S157" s="5"/>
      <c r="T157" s="5"/>
      <c r="U157" s="5"/>
      <c r="V157" s="5"/>
      <c r="W157" s="5">
        <v>0</v>
      </c>
      <c r="X157" s="5">
        <v>1</v>
      </c>
      <c r="Y157" s="5">
        <v>0</v>
      </c>
      <c r="Z157" s="5">
        <v>0</v>
      </c>
      <c r="AA157" s="5">
        <v>1</v>
      </c>
      <c r="AB157" s="5">
        <v>0</v>
      </c>
    </row>
    <row r="158" spans="1:255" x14ac:dyDescent="0.2">
      <c r="A158" s="5">
        <v>50</v>
      </c>
      <c r="B158" s="5">
        <v>0</v>
      </c>
      <c r="C158" s="5">
        <v>0</v>
      </c>
      <c r="D158" s="5">
        <v>1</v>
      </c>
      <c r="E158" s="5">
        <v>223</v>
      </c>
      <c r="F158" s="5">
        <f>ROUND(Source!AQ148,O158)</f>
        <v>0</v>
      </c>
      <c r="G158" s="5" t="s">
        <v>119</v>
      </c>
      <c r="H158" s="5" t="s">
        <v>120</v>
      </c>
      <c r="I158" s="5"/>
      <c r="J158" s="5"/>
      <c r="K158" s="5">
        <v>223</v>
      </c>
      <c r="L158" s="5">
        <v>9</v>
      </c>
      <c r="M158" s="5">
        <v>3</v>
      </c>
      <c r="N158" s="5" t="s">
        <v>3</v>
      </c>
      <c r="O158" s="5">
        <v>2</v>
      </c>
      <c r="P158" s="5">
        <f>ROUND(Source!EI148,O158)</f>
        <v>0</v>
      </c>
      <c r="Q158" s="5"/>
      <c r="R158" s="5"/>
      <c r="S158" s="5"/>
      <c r="T158" s="5"/>
      <c r="U158" s="5"/>
      <c r="V158" s="5"/>
      <c r="W158" s="5">
        <v>0</v>
      </c>
      <c r="X158" s="5">
        <v>1</v>
      </c>
      <c r="Y158" s="5">
        <v>0</v>
      </c>
      <c r="Z158" s="5">
        <v>0</v>
      </c>
      <c r="AA158" s="5">
        <v>1</v>
      </c>
      <c r="AB158" s="5">
        <v>0</v>
      </c>
    </row>
    <row r="159" spans="1:255" x14ac:dyDescent="0.2">
      <c r="A159" s="5">
        <v>50</v>
      </c>
      <c r="B159" s="5">
        <v>0</v>
      </c>
      <c r="C159" s="5">
        <v>0</v>
      </c>
      <c r="D159" s="5">
        <v>1</v>
      </c>
      <c r="E159" s="5">
        <v>229</v>
      </c>
      <c r="F159" s="5">
        <f>ROUND(Source!AZ148,O159)</f>
        <v>0</v>
      </c>
      <c r="G159" s="5" t="s">
        <v>121</v>
      </c>
      <c r="H159" s="5" t="s">
        <v>122</v>
      </c>
      <c r="I159" s="5"/>
      <c r="J159" s="5"/>
      <c r="K159" s="5">
        <v>229</v>
      </c>
      <c r="L159" s="5">
        <v>10</v>
      </c>
      <c r="M159" s="5">
        <v>3</v>
      </c>
      <c r="N159" s="5" t="s">
        <v>3</v>
      </c>
      <c r="O159" s="5">
        <v>2</v>
      </c>
      <c r="P159" s="5">
        <f>ROUND(Source!ER148,O159)</f>
        <v>0</v>
      </c>
      <c r="Q159" s="5"/>
      <c r="R159" s="5"/>
      <c r="S159" s="5"/>
      <c r="T159" s="5"/>
      <c r="U159" s="5"/>
      <c r="V159" s="5"/>
      <c r="W159" s="5">
        <v>0</v>
      </c>
      <c r="X159" s="5">
        <v>1</v>
      </c>
      <c r="Y159" s="5">
        <v>0</v>
      </c>
      <c r="Z159" s="5">
        <v>0</v>
      </c>
      <c r="AA159" s="5">
        <v>1</v>
      </c>
      <c r="AB159" s="5">
        <v>0</v>
      </c>
    </row>
    <row r="160" spans="1:255" x14ac:dyDescent="0.2">
      <c r="A160" s="5">
        <v>50</v>
      </c>
      <c r="B160" s="5">
        <v>0</v>
      </c>
      <c r="C160" s="5">
        <v>0</v>
      </c>
      <c r="D160" s="5">
        <v>1</v>
      </c>
      <c r="E160" s="5">
        <v>203</v>
      </c>
      <c r="F160" s="5">
        <f>ROUND(Source!Q148,O160)</f>
        <v>400.9</v>
      </c>
      <c r="G160" s="5" t="s">
        <v>123</v>
      </c>
      <c r="H160" s="5" t="s">
        <v>124</v>
      </c>
      <c r="I160" s="5"/>
      <c r="J160" s="5"/>
      <c r="K160" s="5">
        <v>203</v>
      </c>
      <c r="L160" s="5">
        <v>11</v>
      </c>
      <c r="M160" s="5">
        <v>3</v>
      </c>
      <c r="N160" s="5" t="s">
        <v>3</v>
      </c>
      <c r="O160" s="5">
        <v>2</v>
      </c>
      <c r="P160" s="5">
        <f>ROUND(Source!DI148,O160)</f>
        <v>5036.58</v>
      </c>
      <c r="Q160" s="5"/>
      <c r="R160" s="5"/>
      <c r="S160" s="5"/>
      <c r="T160" s="5"/>
      <c r="U160" s="5"/>
      <c r="V160" s="5"/>
      <c r="W160" s="5">
        <v>400.9</v>
      </c>
      <c r="X160" s="5">
        <v>1</v>
      </c>
      <c r="Y160" s="5">
        <v>400.9</v>
      </c>
      <c r="Z160" s="5">
        <v>5036.58</v>
      </c>
      <c r="AA160" s="5">
        <v>1</v>
      </c>
      <c r="AB160" s="5">
        <v>5036.58</v>
      </c>
    </row>
    <row r="161" spans="1:28" x14ac:dyDescent="0.2">
      <c r="A161" s="5">
        <v>50</v>
      </c>
      <c r="B161" s="5">
        <v>0</v>
      </c>
      <c r="C161" s="5">
        <v>0</v>
      </c>
      <c r="D161" s="5">
        <v>1</v>
      </c>
      <c r="E161" s="5">
        <v>231</v>
      </c>
      <c r="F161" s="5">
        <f>ROUND(Source!BB148,O161)</f>
        <v>0</v>
      </c>
      <c r="G161" s="5" t="s">
        <v>125</v>
      </c>
      <c r="H161" s="5" t="s">
        <v>126</v>
      </c>
      <c r="I161" s="5"/>
      <c r="J161" s="5"/>
      <c r="K161" s="5">
        <v>231</v>
      </c>
      <c r="L161" s="5">
        <v>12</v>
      </c>
      <c r="M161" s="5">
        <v>3</v>
      </c>
      <c r="N161" s="5" t="s">
        <v>3</v>
      </c>
      <c r="O161" s="5">
        <v>2</v>
      </c>
      <c r="P161" s="5">
        <f>ROUND(Source!ET148,O161)</f>
        <v>0</v>
      </c>
      <c r="Q161" s="5"/>
      <c r="R161" s="5"/>
      <c r="S161" s="5"/>
      <c r="T161" s="5"/>
      <c r="U161" s="5"/>
      <c r="V161" s="5"/>
      <c r="W161" s="5">
        <v>0</v>
      </c>
      <c r="X161" s="5">
        <v>1</v>
      </c>
      <c r="Y161" s="5">
        <v>0</v>
      </c>
      <c r="Z161" s="5">
        <v>0</v>
      </c>
      <c r="AA161" s="5">
        <v>1</v>
      </c>
      <c r="AB161" s="5">
        <v>0</v>
      </c>
    </row>
    <row r="162" spans="1:28" x14ac:dyDescent="0.2">
      <c r="A162" s="5">
        <v>50</v>
      </c>
      <c r="B162" s="5">
        <v>0</v>
      </c>
      <c r="C162" s="5">
        <v>0</v>
      </c>
      <c r="D162" s="5">
        <v>1</v>
      </c>
      <c r="E162" s="5">
        <v>204</v>
      </c>
      <c r="F162" s="5">
        <f>ROUND(Source!R148,O162)</f>
        <v>56.53</v>
      </c>
      <c r="G162" s="5" t="s">
        <v>127</v>
      </c>
      <c r="H162" s="5" t="s">
        <v>128</v>
      </c>
      <c r="I162" s="5"/>
      <c r="J162" s="5"/>
      <c r="K162" s="5">
        <v>204</v>
      </c>
      <c r="L162" s="5">
        <v>13</v>
      </c>
      <c r="M162" s="5">
        <v>3</v>
      </c>
      <c r="N162" s="5" t="s">
        <v>3</v>
      </c>
      <c r="O162" s="5">
        <v>2</v>
      </c>
      <c r="P162" s="5">
        <f>ROUND(Source!DJ148,O162)</f>
        <v>1950.85</v>
      </c>
      <c r="Q162" s="5"/>
      <c r="R162" s="5"/>
      <c r="S162" s="5"/>
      <c r="T162" s="5"/>
      <c r="U162" s="5"/>
      <c r="V162" s="5"/>
      <c r="W162" s="5">
        <v>56.53</v>
      </c>
      <c r="X162" s="5">
        <v>1</v>
      </c>
      <c r="Y162" s="5">
        <v>56.53</v>
      </c>
      <c r="Z162" s="5">
        <v>1950.85</v>
      </c>
      <c r="AA162" s="5">
        <v>1</v>
      </c>
      <c r="AB162" s="5">
        <v>1950.85</v>
      </c>
    </row>
    <row r="163" spans="1:28" x14ac:dyDescent="0.2">
      <c r="A163" s="5">
        <v>50</v>
      </c>
      <c r="B163" s="5">
        <v>0</v>
      </c>
      <c r="C163" s="5">
        <v>0</v>
      </c>
      <c r="D163" s="5">
        <v>1</v>
      </c>
      <c r="E163" s="5">
        <v>205</v>
      </c>
      <c r="F163" s="5">
        <f>ROUND(Source!S148,O163)</f>
        <v>567.84</v>
      </c>
      <c r="G163" s="5" t="s">
        <v>129</v>
      </c>
      <c r="H163" s="5" t="s">
        <v>130</v>
      </c>
      <c r="I163" s="5"/>
      <c r="J163" s="5"/>
      <c r="K163" s="5">
        <v>205</v>
      </c>
      <c r="L163" s="5">
        <v>14</v>
      </c>
      <c r="M163" s="5">
        <v>3</v>
      </c>
      <c r="N163" s="5" t="s">
        <v>3</v>
      </c>
      <c r="O163" s="5">
        <v>2</v>
      </c>
      <c r="P163" s="5">
        <f>ROUND(Source!DK148,O163)</f>
        <v>19596.16</v>
      </c>
      <c r="Q163" s="5"/>
      <c r="R163" s="5"/>
      <c r="S163" s="5"/>
      <c r="T163" s="5"/>
      <c r="U163" s="5"/>
      <c r="V163" s="5"/>
      <c r="W163" s="5">
        <v>567.84</v>
      </c>
      <c r="X163" s="5">
        <v>1</v>
      </c>
      <c r="Y163" s="5">
        <v>567.84</v>
      </c>
      <c r="Z163" s="5">
        <v>19596.16</v>
      </c>
      <c r="AA163" s="5">
        <v>1</v>
      </c>
      <c r="AB163" s="5">
        <v>19596.16</v>
      </c>
    </row>
    <row r="164" spans="1:28" x14ac:dyDescent="0.2">
      <c r="A164" s="5">
        <v>50</v>
      </c>
      <c r="B164" s="5">
        <v>0</v>
      </c>
      <c r="C164" s="5">
        <v>0</v>
      </c>
      <c r="D164" s="5">
        <v>1</v>
      </c>
      <c r="E164" s="5">
        <v>232</v>
      </c>
      <c r="F164" s="5">
        <f>ROUND(Source!BC148,O164)</f>
        <v>0</v>
      </c>
      <c r="G164" s="5" t="s">
        <v>131</v>
      </c>
      <c r="H164" s="5" t="s">
        <v>132</v>
      </c>
      <c r="I164" s="5"/>
      <c r="J164" s="5"/>
      <c r="K164" s="5">
        <v>232</v>
      </c>
      <c r="L164" s="5">
        <v>15</v>
      </c>
      <c r="M164" s="5">
        <v>3</v>
      </c>
      <c r="N164" s="5" t="s">
        <v>3</v>
      </c>
      <c r="O164" s="5">
        <v>2</v>
      </c>
      <c r="P164" s="5">
        <f>ROUND(Source!EU148,O164)</f>
        <v>0</v>
      </c>
      <c r="Q164" s="5"/>
      <c r="R164" s="5"/>
      <c r="S164" s="5"/>
      <c r="T164" s="5"/>
      <c r="U164" s="5"/>
      <c r="V164" s="5"/>
      <c r="W164" s="5">
        <v>0</v>
      </c>
      <c r="X164" s="5">
        <v>1</v>
      </c>
      <c r="Y164" s="5">
        <v>0</v>
      </c>
      <c r="Z164" s="5">
        <v>0</v>
      </c>
      <c r="AA164" s="5">
        <v>1</v>
      </c>
      <c r="AB164" s="5">
        <v>0</v>
      </c>
    </row>
    <row r="165" spans="1:28" x14ac:dyDescent="0.2">
      <c r="A165" s="5">
        <v>50</v>
      </c>
      <c r="B165" s="5">
        <v>0</v>
      </c>
      <c r="C165" s="5">
        <v>0</v>
      </c>
      <c r="D165" s="5">
        <v>1</v>
      </c>
      <c r="E165" s="5">
        <v>214</v>
      </c>
      <c r="F165" s="5">
        <f>ROUND(Source!AS148,O165)</f>
        <v>443.06</v>
      </c>
      <c r="G165" s="5" t="s">
        <v>133</v>
      </c>
      <c r="H165" s="5" t="s">
        <v>134</v>
      </c>
      <c r="I165" s="5"/>
      <c r="J165" s="5"/>
      <c r="K165" s="5">
        <v>214</v>
      </c>
      <c r="L165" s="5">
        <v>16</v>
      </c>
      <c r="M165" s="5">
        <v>3</v>
      </c>
      <c r="N165" s="5" t="s">
        <v>3</v>
      </c>
      <c r="O165" s="5">
        <v>2</v>
      </c>
      <c r="P165" s="5">
        <f>ROUND(Source!EK148,O165)</f>
        <v>3407.13</v>
      </c>
      <c r="Q165" s="5"/>
      <c r="R165" s="5"/>
      <c r="S165" s="5"/>
      <c r="T165" s="5"/>
      <c r="U165" s="5"/>
      <c r="V165" s="5"/>
      <c r="W165" s="5">
        <v>443.06</v>
      </c>
      <c r="X165" s="5">
        <v>1</v>
      </c>
      <c r="Y165" s="5">
        <v>443.06</v>
      </c>
      <c r="Z165" s="5">
        <v>3407.13</v>
      </c>
      <c r="AA165" s="5">
        <v>1</v>
      </c>
      <c r="AB165" s="5">
        <v>3407.13</v>
      </c>
    </row>
    <row r="166" spans="1:28" x14ac:dyDescent="0.2">
      <c r="A166" s="5">
        <v>50</v>
      </c>
      <c r="B166" s="5">
        <v>0</v>
      </c>
      <c r="C166" s="5">
        <v>0</v>
      </c>
      <c r="D166" s="5">
        <v>1</v>
      </c>
      <c r="E166" s="5">
        <v>215</v>
      </c>
      <c r="F166" s="5">
        <f>ROUND(Source!AT148,O166)</f>
        <v>27782.18</v>
      </c>
      <c r="G166" s="5" t="s">
        <v>135</v>
      </c>
      <c r="H166" s="5" t="s">
        <v>136</v>
      </c>
      <c r="I166" s="5"/>
      <c r="J166" s="5"/>
      <c r="K166" s="5">
        <v>215</v>
      </c>
      <c r="L166" s="5">
        <v>17</v>
      </c>
      <c r="M166" s="5">
        <v>3</v>
      </c>
      <c r="N166" s="5" t="s">
        <v>3</v>
      </c>
      <c r="O166" s="5">
        <v>2</v>
      </c>
      <c r="P166" s="5">
        <f>ROUND(Source!EL148,O166)</f>
        <v>259264.72</v>
      </c>
      <c r="Q166" s="5"/>
      <c r="R166" s="5"/>
      <c r="S166" s="5"/>
      <c r="T166" s="5"/>
      <c r="U166" s="5"/>
      <c r="V166" s="5"/>
      <c r="W166" s="5">
        <v>27782.18</v>
      </c>
      <c r="X166" s="5">
        <v>1</v>
      </c>
      <c r="Y166" s="5">
        <v>27782.18</v>
      </c>
      <c r="Z166" s="5">
        <v>259264.72</v>
      </c>
      <c r="AA166" s="5">
        <v>1</v>
      </c>
      <c r="AB166" s="5">
        <v>259264.72</v>
      </c>
    </row>
    <row r="167" spans="1:28" x14ac:dyDescent="0.2">
      <c r="A167" s="5">
        <v>50</v>
      </c>
      <c r="B167" s="5">
        <v>0</v>
      </c>
      <c r="C167" s="5">
        <v>0</v>
      </c>
      <c r="D167" s="5">
        <v>1</v>
      </c>
      <c r="E167" s="5">
        <v>217</v>
      </c>
      <c r="F167" s="5">
        <f>ROUND(Source!AU148,O167)</f>
        <v>0</v>
      </c>
      <c r="G167" s="5" t="s">
        <v>137</v>
      </c>
      <c r="H167" s="5" t="s">
        <v>138</v>
      </c>
      <c r="I167" s="5"/>
      <c r="J167" s="5"/>
      <c r="K167" s="5">
        <v>217</v>
      </c>
      <c r="L167" s="5">
        <v>18</v>
      </c>
      <c r="M167" s="5">
        <v>3</v>
      </c>
      <c r="N167" s="5" t="s">
        <v>3</v>
      </c>
      <c r="O167" s="5">
        <v>2</v>
      </c>
      <c r="P167" s="5">
        <f>ROUND(Source!EM148,O167)</f>
        <v>0</v>
      </c>
      <c r="Q167" s="5"/>
      <c r="R167" s="5"/>
      <c r="S167" s="5"/>
      <c r="T167" s="5"/>
      <c r="U167" s="5"/>
      <c r="V167" s="5"/>
      <c r="W167" s="5">
        <v>0</v>
      </c>
      <c r="X167" s="5">
        <v>1</v>
      </c>
      <c r="Y167" s="5">
        <v>0</v>
      </c>
      <c r="Z167" s="5">
        <v>0</v>
      </c>
      <c r="AA167" s="5">
        <v>1</v>
      </c>
      <c r="AB167" s="5">
        <v>0</v>
      </c>
    </row>
    <row r="168" spans="1:28" x14ac:dyDescent="0.2">
      <c r="A168" s="5">
        <v>50</v>
      </c>
      <c r="B168" s="5">
        <v>0</v>
      </c>
      <c r="C168" s="5">
        <v>0</v>
      </c>
      <c r="D168" s="5">
        <v>1</v>
      </c>
      <c r="E168" s="5">
        <v>230</v>
      </c>
      <c r="F168" s="5">
        <f>ROUND(Source!BA148,O168)</f>
        <v>0</v>
      </c>
      <c r="G168" s="5" t="s">
        <v>139</v>
      </c>
      <c r="H168" s="5" t="s">
        <v>140</v>
      </c>
      <c r="I168" s="5"/>
      <c r="J168" s="5"/>
      <c r="K168" s="5">
        <v>230</v>
      </c>
      <c r="L168" s="5">
        <v>19</v>
      </c>
      <c r="M168" s="5">
        <v>3</v>
      </c>
      <c r="N168" s="5" t="s">
        <v>3</v>
      </c>
      <c r="O168" s="5">
        <v>2</v>
      </c>
      <c r="P168" s="5">
        <f>ROUND(Source!ES148,O168)</f>
        <v>0</v>
      </c>
      <c r="Q168" s="5"/>
      <c r="R168" s="5"/>
      <c r="S168" s="5"/>
      <c r="T168" s="5"/>
      <c r="U168" s="5"/>
      <c r="V168" s="5"/>
      <c r="W168" s="5">
        <v>0</v>
      </c>
      <c r="X168" s="5">
        <v>1</v>
      </c>
      <c r="Y168" s="5">
        <v>0</v>
      </c>
      <c r="Z168" s="5">
        <v>0</v>
      </c>
      <c r="AA168" s="5">
        <v>1</v>
      </c>
      <c r="AB168" s="5">
        <v>0</v>
      </c>
    </row>
    <row r="169" spans="1:28" x14ac:dyDescent="0.2">
      <c r="A169" s="5">
        <v>50</v>
      </c>
      <c r="B169" s="5">
        <v>0</v>
      </c>
      <c r="C169" s="5">
        <v>0</v>
      </c>
      <c r="D169" s="5">
        <v>1</v>
      </c>
      <c r="E169" s="5">
        <v>206</v>
      </c>
      <c r="F169" s="5">
        <f>ROUND(Source!T148,O169)</f>
        <v>0</v>
      </c>
      <c r="G169" s="5" t="s">
        <v>141</v>
      </c>
      <c r="H169" s="5" t="s">
        <v>142</v>
      </c>
      <c r="I169" s="5"/>
      <c r="J169" s="5"/>
      <c r="K169" s="5">
        <v>206</v>
      </c>
      <c r="L169" s="5">
        <v>20</v>
      </c>
      <c r="M169" s="5">
        <v>3</v>
      </c>
      <c r="N169" s="5" t="s">
        <v>3</v>
      </c>
      <c r="O169" s="5">
        <v>2</v>
      </c>
      <c r="P169" s="5">
        <f>ROUND(Source!DL148,O169)</f>
        <v>0</v>
      </c>
      <c r="Q169" s="5"/>
      <c r="R169" s="5"/>
      <c r="S169" s="5"/>
      <c r="T169" s="5"/>
      <c r="U169" s="5"/>
      <c r="V169" s="5"/>
      <c r="W169" s="5">
        <v>0</v>
      </c>
      <c r="X169" s="5">
        <v>1</v>
      </c>
      <c r="Y169" s="5">
        <v>0</v>
      </c>
      <c r="Z169" s="5">
        <v>0</v>
      </c>
      <c r="AA169" s="5">
        <v>1</v>
      </c>
      <c r="AB169" s="5">
        <v>0</v>
      </c>
    </row>
    <row r="170" spans="1:28" x14ac:dyDescent="0.2">
      <c r="A170" s="5">
        <v>50</v>
      </c>
      <c r="B170" s="5">
        <v>0</v>
      </c>
      <c r="C170" s="5">
        <v>0</v>
      </c>
      <c r="D170" s="5">
        <v>1</v>
      </c>
      <c r="E170" s="5">
        <v>207</v>
      </c>
      <c r="F170" s="5">
        <f>Source!U148</f>
        <v>46.373099119599999</v>
      </c>
      <c r="G170" s="5" t="s">
        <v>143</v>
      </c>
      <c r="H170" s="5" t="s">
        <v>144</v>
      </c>
      <c r="I170" s="5"/>
      <c r="J170" s="5"/>
      <c r="K170" s="5">
        <v>207</v>
      </c>
      <c r="L170" s="5">
        <v>21</v>
      </c>
      <c r="M170" s="5">
        <v>3</v>
      </c>
      <c r="N170" s="5" t="s">
        <v>3</v>
      </c>
      <c r="O170" s="5">
        <v>-1</v>
      </c>
      <c r="P170" s="5">
        <f>Source!DM148</f>
        <v>46.373099119599999</v>
      </c>
      <c r="Q170" s="5"/>
      <c r="R170" s="5"/>
      <c r="S170" s="5"/>
      <c r="T170" s="5"/>
      <c r="U170" s="5"/>
      <c r="V170" s="5"/>
      <c r="W170" s="5">
        <v>46.373099119599999</v>
      </c>
      <c r="X170" s="5">
        <v>1</v>
      </c>
      <c r="Y170" s="5">
        <v>46.373099119599999</v>
      </c>
      <c r="Z170" s="5">
        <v>46.373099119599999</v>
      </c>
      <c r="AA170" s="5">
        <v>1</v>
      </c>
      <c r="AB170" s="5">
        <v>46.373099119599999</v>
      </c>
    </row>
    <row r="171" spans="1:28" x14ac:dyDescent="0.2">
      <c r="A171" s="5">
        <v>50</v>
      </c>
      <c r="B171" s="5">
        <v>0</v>
      </c>
      <c r="C171" s="5">
        <v>0</v>
      </c>
      <c r="D171" s="5">
        <v>1</v>
      </c>
      <c r="E171" s="5">
        <v>208</v>
      </c>
      <c r="F171" s="5">
        <f>Source!V148</f>
        <v>0</v>
      </c>
      <c r="G171" s="5" t="s">
        <v>145</v>
      </c>
      <c r="H171" s="5" t="s">
        <v>146</v>
      </c>
      <c r="I171" s="5"/>
      <c r="J171" s="5"/>
      <c r="K171" s="5">
        <v>208</v>
      </c>
      <c r="L171" s="5">
        <v>22</v>
      </c>
      <c r="M171" s="5">
        <v>3</v>
      </c>
      <c r="N171" s="5" t="s">
        <v>3</v>
      </c>
      <c r="O171" s="5">
        <v>-1</v>
      </c>
      <c r="P171" s="5">
        <f>Source!DN148</f>
        <v>0</v>
      </c>
      <c r="Q171" s="5"/>
      <c r="R171" s="5"/>
      <c r="S171" s="5"/>
      <c r="T171" s="5"/>
      <c r="U171" s="5"/>
      <c r="V171" s="5"/>
      <c r="W171" s="5">
        <v>0</v>
      </c>
      <c r="X171" s="5">
        <v>1</v>
      </c>
      <c r="Y171" s="5">
        <v>0</v>
      </c>
      <c r="Z171" s="5">
        <v>0</v>
      </c>
      <c r="AA171" s="5">
        <v>1</v>
      </c>
      <c r="AB171" s="5">
        <v>0</v>
      </c>
    </row>
    <row r="172" spans="1:28" x14ac:dyDescent="0.2">
      <c r="A172" s="5">
        <v>50</v>
      </c>
      <c r="B172" s="5">
        <v>0</v>
      </c>
      <c r="C172" s="5">
        <v>0</v>
      </c>
      <c r="D172" s="5">
        <v>1</v>
      </c>
      <c r="E172" s="5">
        <v>209</v>
      </c>
      <c r="F172" s="5">
        <f>ROUND(Source!W148,O172)</f>
        <v>0</v>
      </c>
      <c r="G172" s="5" t="s">
        <v>147</v>
      </c>
      <c r="H172" s="5" t="s">
        <v>148</v>
      </c>
      <c r="I172" s="5"/>
      <c r="J172" s="5"/>
      <c r="K172" s="5">
        <v>209</v>
      </c>
      <c r="L172" s="5">
        <v>23</v>
      </c>
      <c r="M172" s="5">
        <v>3</v>
      </c>
      <c r="N172" s="5" t="s">
        <v>3</v>
      </c>
      <c r="O172" s="5">
        <v>2</v>
      </c>
      <c r="P172" s="5">
        <f>ROUND(Source!DO148,O172)</f>
        <v>0</v>
      </c>
      <c r="Q172" s="5"/>
      <c r="R172" s="5"/>
      <c r="S172" s="5"/>
      <c r="T172" s="5"/>
      <c r="U172" s="5"/>
      <c r="V172" s="5"/>
      <c r="W172" s="5">
        <v>0</v>
      </c>
      <c r="X172" s="5">
        <v>1</v>
      </c>
      <c r="Y172" s="5">
        <v>0</v>
      </c>
      <c r="Z172" s="5">
        <v>0</v>
      </c>
      <c r="AA172" s="5">
        <v>1</v>
      </c>
      <c r="AB172" s="5">
        <v>0</v>
      </c>
    </row>
    <row r="173" spans="1:28" x14ac:dyDescent="0.2">
      <c r="A173" s="5">
        <v>50</v>
      </c>
      <c r="B173" s="5">
        <v>0</v>
      </c>
      <c r="C173" s="5">
        <v>0</v>
      </c>
      <c r="D173" s="5">
        <v>1</v>
      </c>
      <c r="E173" s="5">
        <v>233</v>
      </c>
      <c r="F173" s="5">
        <f>ROUND(Source!BD148,O173)</f>
        <v>0</v>
      </c>
      <c r="G173" s="5" t="s">
        <v>149</v>
      </c>
      <c r="H173" s="5" t="s">
        <v>150</v>
      </c>
      <c r="I173" s="5"/>
      <c r="J173" s="5"/>
      <c r="K173" s="5">
        <v>233</v>
      </c>
      <c r="L173" s="5">
        <v>24</v>
      </c>
      <c r="M173" s="5">
        <v>3</v>
      </c>
      <c r="N173" s="5" t="s">
        <v>3</v>
      </c>
      <c r="O173" s="5">
        <v>2</v>
      </c>
      <c r="P173" s="5">
        <f>ROUND(Source!EV148,O173)</f>
        <v>0</v>
      </c>
      <c r="Q173" s="5"/>
      <c r="R173" s="5"/>
      <c r="S173" s="5"/>
      <c r="T173" s="5"/>
      <c r="U173" s="5"/>
      <c r="V173" s="5"/>
      <c r="W173" s="5">
        <v>0</v>
      </c>
      <c r="X173" s="5">
        <v>1</v>
      </c>
      <c r="Y173" s="5">
        <v>0</v>
      </c>
      <c r="Z173" s="5">
        <v>0</v>
      </c>
      <c r="AA173" s="5">
        <v>1</v>
      </c>
      <c r="AB173" s="5">
        <v>0</v>
      </c>
    </row>
    <row r="174" spans="1:28" x14ac:dyDescent="0.2">
      <c r="A174" s="5">
        <v>50</v>
      </c>
      <c r="B174" s="5">
        <v>0</v>
      </c>
      <c r="C174" s="5">
        <v>0</v>
      </c>
      <c r="D174" s="5">
        <v>1</v>
      </c>
      <c r="E174" s="5">
        <v>210</v>
      </c>
      <c r="F174" s="5">
        <f>ROUND(Source!X148,O174)</f>
        <v>635.96</v>
      </c>
      <c r="G174" s="5" t="s">
        <v>151</v>
      </c>
      <c r="H174" s="5" t="s">
        <v>152</v>
      </c>
      <c r="I174" s="5"/>
      <c r="J174" s="5"/>
      <c r="K174" s="5">
        <v>210</v>
      </c>
      <c r="L174" s="5">
        <v>25</v>
      </c>
      <c r="M174" s="5">
        <v>3</v>
      </c>
      <c r="N174" s="5" t="s">
        <v>3</v>
      </c>
      <c r="O174" s="5">
        <v>2</v>
      </c>
      <c r="P174" s="5">
        <f>ROUND(Source!DP148,O174)</f>
        <v>18028.45</v>
      </c>
      <c r="Q174" s="5"/>
      <c r="R174" s="5"/>
      <c r="S174" s="5"/>
      <c r="T174" s="5"/>
      <c r="U174" s="5"/>
      <c r="V174" s="5"/>
      <c r="W174" s="5">
        <v>635.96</v>
      </c>
      <c r="X174" s="5">
        <v>1</v>
      </c>
      <c r="Y174" s="5">
        <v>635.96</v>
      </c>
      <c r="Z174" s="5">
        <v>18028.45</v>
      </c>
      <c r="AA174" s="5">
        <v>1</v>
      </c>
      <c r="AB174" s="5">
        <v>18028.45</v>
      </c>
    </row>
    <row r="175" spans="1:28" x14ac:dyDescent="0.2">
      <c r="A175" s="5">
        <v>50</v>
      </c>
      <c r="B175" s="5">
        <v>0</v>
      </c>
      <c r="C175" s="5">
        <v>0</v>
      </c>
      <c r="D175" s="5">
        <v>1</v>
      </c>
      <c r="E175" s="5">
        <v>211</v>
      </c>
      <c r="F175" s="5">
        <f>ROUND(Source!Y148,O175)</f>
        <v>397.5</v>
      </c>
      <c r="G175" s="5" t="s">
        <v>153</v>
      </c>
      <c r="H175" s="5" t="s">
        <v>154</v>
      </c>
      <c r="I175" s="5"/>
      <c r="J175" s="5"/>
      <c r="K175" s="5">
        <v>211</v>
      </c>
      <c r="L175" s="5">
        <v>26</v>
      </c>
      <c r="M175" s="5">
        <v>3</v>
      </c>
      <c r="N175" s="5" t="s">
        <v>3</v>
      </c>
      <c r="O175" s="5">
        <v>2</v>
      </c>
      <c r="P175" s="5">
        <f>ROUND(Source!DQ148,O175)</f>
        <v>8426.36</v>
      </c>
      <c r="Q175" s="5"/>
      <c r="R175" s="5"/>
      <c r="S175" s="5"/>
      <c r="T175" s="5"/>
      <c r="U175" s="5"/>
      <c r="V175" s="5"/>
      <c r="W175" s="5">
        <v>397.5</v>
      </c>
      <c r="X175" s="5">
        <v>1</v>
      </c>
      <c r="Y175" s="5">
        <v>397.5</v>
      </c>
      <c r="Z175" s="5">
        <v>8426.36</v>
      </c>
      <c r="AA175" s="5">
        <v>1</v>
      </c>
      <c r="AB175" s="5">
        <v>8426.36</v>
      </c>
    </row>
    <row r="176" spans="1:28" x14ac:dyDescent="0.2">
      <c r="A176" s="5">
        <v>50</v>
      </c>
      <c r="B176" s="5">
        <v>0</v>
      </c>
      <c r="C176" s="5">
        <v>0</v>
      </c>
      <c r="D176" s="5">
        <v>1</v>
      </c>
      <c r="E176" s="5">
        <v>224</v>
      </c>
      <c r="F176" s="5">
        <f>ROUND(Source!AR148,O176)</f>
        <v>28225.24</v>
      </c>
      <c r="G176" s="5" t="s">
        <v>155</v>
      </c>
      <c r="H176" s="5" t="s">
        <v>156</v>
      </c>
      <c r="I176" s="5"/>
      <c r="J176" s="5"/>
      <c r="K176" s="5">
        <v>224</v>
      </c>
      <c r="L176" s="5">
        <v>27</v>
      </c>
      <c r="M176" s="5">
        <v>3</v>
      </c>
      <c r="N176" s="5" t="s">
        <v>3</v>
      </c>
      <c r="O176" s="5">
        <v>2</v>
      </c>
      <c r="P176" s="5">
        <f>ROUND(Source!EJ148,O176)</f>
        <v>262671.84999999998</v>
      </c>
      <c r="Q176" s="5"/>
      <c r="R176" s="5"/>
      <c r="S176" s="5"/>
      <c r="T176" s="5"/>
      <c r="U176" s="5"/>
      <c r="V176" s="5"/>
      <c r="W176" s="5">
        <v>28225.24</v>
      </c>
      <c r="X176" s="5">
        <v>1</v>
      </c>
      <c r="Y176" s="5">
        <v>28225.24</v>
      </c>
      <c r="Z176" s="5">
        <v>262671.84999999998</v>
      </c>
      <c r="AA176" s="5">
        <v>1</v>
      </c>
      <c r="AB176" s="5">
        <v>262671.84999999998</v>
      </c>
    </row>
    <row r="178" spans="1:255" x14ac:dyDescent="0.2">
      <c r="A178" s="1">
        <v>4</v>
      </c>
      <c r="B178" s="1">
        <v>1</v>
      </c>
      <c r="C178" s="1"/>
      <c r="D178" s="1">
        <f>ROW(A424)</f>
        <v>424</v>
      </c>
      <c r="E178" s="1"/>
      <c r="F178" s="1" t="s">
        <v>15</v>
      </c>
      <c r="G178" s="1" t="s">
        <v>262</v>
      </c>
      <c r="H178" s="1" t="s">
        <v>3</v>
      </c>
      <c r="I178" s="1">
        <v>0</v>
      </c>
      <c r="J178" s="1"/>
      <c r="K178" s="1">
        <v>0</v>
      </c>
      <c r="L178" s="1"/>
      <c r="M178" s="1" t="s">
        <v>3</v>
      </c>
      <c r="N178" s="1"/>
      <c r="O178" s="1"/>
      <c r="P178" s="1"/>
      <c r="Q178" s="1"/>
      <c r="R178" s="1"/>
      <c r="S178" s="1">
        <v>0</v>
      </c>
      <c r="T178" s="1">
        <v>0</v>
      </c>
      <c r="U178" s="1" t="s">
        <v>3</v>
      </c>
      <c r="V178" s="1">
        <v>0</v>
      </c>
      <c r="W178" s="1"/>
      <c r="X178" s="1"/>
      <c r="Y178" s="1"/>
      <c r="Z178" s="1"/>
      <c r="AA178" s="1"/>
      <c r="AB178" s="1" t="s">
        <v>3</v>
      </c>
      <c r="AC178" s="1" t="s">
        <v>3</v>
      </c>
      <c r="AD178" s="1" t="s">
        <v>3</v>
      </c>
      <c r="AE178" s="1" t="s">
        <v>3</v>
      </c>
      <c r="AF178" s="1" t="s">
        <v>3</v>
      </c>
      <c r="AG178" s="1" t="s">
        <v>3</v>
      </c>
      <c r="AH178" s="1"/>
      <c r="AI178" s="1"/>
      <c r="AJ178" s="1"/>
      <c r="AK178" s="1"/>
      <c r="AL178" s="1"/>
      <c r="AM178" s="1"/>
      <c r="AN178" s="1"/>
      <c r="AO178" s="1"/>
      <c r="AP178" s="1" t="s">
        <v>3</v>
      </c>
      <c r="AQ178" s="1" t="s">
        <v>3</v>
      </c>
      <c r="AR178" s="1" t="s">
        <v>3</v>
      </c>
      <c r="AS178" s="1"/>
      <c r="AT178" s="1"/>
      <c r="AU178" s="1"/>
      <c r="AV178" s="1"/>
      <c r="AW178" s="1"/>
      <c r="AX178" s="1"/>
      <c r="AY178" s="1"/>
      <c r="AZ178" s="1" t="s">
        <v>3</v>
      </c>
      <c r="BA178" s="1"/>
      <c r="BB178" s="1" t="s">
        <v>3</v>
      </c>
      <c r="BC178" s="1" t="s">
        <v>3</v>
      </c>
      <c r="BD178" s="1" t="s">
        <v>3</v>
      </c>
      <c r="BE178" s="1" t="s">
        <v>3</v>
      </c>
      <c r="BF178" s="1" t="s">
        <v>3</v>
      </c>
      <c r="BG178" s="1" t="s">
        <v>3</v>
      </c>
      <c r="BH178" s="1" t="s">
        <v>3</v>
      </c>
      <c r="BI178" s="1" t="s">
        <v>3</v>
      </c>
      <c r="BJ178" s="1" t="s">
        <v>3</v>
      </c>
      <c r="BK178" s="1" t="s">
        <v>3</v>
      </c>
      <c r="BL178" s="1" t="s">
        <v>3</v>
      </c>
      <c r="BM178" s="1" t="s">
        <v>3</v>
      </c>
      <c r="BN178" s="1" t="s">
        <v>3</v>
      </c>
      <c r="BO178" s="1" t="s">
        <v>3</v>
      </c>
      <c r="BP178" s="1" t="s">
        <v>3</v>
      </c>
      <c r="BQ178" s="1"/>
      <c r="BR178" s="1"/>
      <c r="BS178" s="1"/>
      <c r="BT178" s="1"/>
      <c r="BU178" s="1"/>
      <c r="BV178" s="1"/>
      <c r="BW178" s="1"/>
      <c r="BX178" s="1">
        <v>0</v>
      </c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>
        <v>0</v>
      </c>
    </row>
    <row r="180" spans="1:255" x14ac:dyDescent="0.2">
      <c r="A180" s="3">
        <v>52</v>
      </c>
      <c r="B180" s="3">
        <f t="shared" ref="B180:G180" si="154">B424</f>
        <v>1</v>
      </c>
      <c r="C180" s="3">
        <f t="shared" si="154"/>
        <v>4</v>
      </c>
      <c r="D180" s="3">
        <f t="shared" si="154"/>
        <v>178</v>
      </c>
      <c r="E180" s="3">
        <f t="shared" si="154"/>
        <v>0</v>
      </c>
      <c r="F180" s="3" t="str">
        <f t="shared" si="154"/>
        <v>Новый раздел</v>
      </c>
      <c r="G180" s="3" t="str">
        <f t="shared" si="154"/>
        <v>Благоустройство</v>
      </c>
      <c r="H180" s="3"/>
      <c r="I180" s="3"/>
      <c r="J180" s="3"/>
      <c r="K180" s="3"/>
      <c r="L180" s="3"/>
      <c r="M180" s="3"/>
      <c r="N180" s="3"/>
      <c r="O180" s="3">
        <f t="shared" ref="O180:AT180" si="155">O424</f>
        <v>4893.83</v>
      </c>
      <c r="P180" s="3">
        <f t="shared" si="155"/>
        <v>4041.47</v>
      </c>
      <c r="Q180" s="3">
        <f t="shared" si="155"/>
        <v>542.92999999999995</v>
      </c>
      <c r="R180" s="3">
        <f t="shared" si="155"/>
        <v>62.03</v>
      </c>
      <c r="S180" s="3">
        <f t="shared" si="155"/>
        <v>309.43</v>
      </c>
      <c r="T180" s="3">
        <f t="shared" si="155"/>
        <v>0</v>
      </c>
      <c r="U180" s="3">
        <f t="shared" si="155"/>
        <v>28.376860692600001</v>
      </c>
      <c r="V180" s="3">
        <f t="shared" si="155"/>
        <v>0</v>
      </c>
      <c r="W180" s="3">
        <f t="shared" si="155"/>
        <v>0</v>
      </c>
      <c r="X180" s="3">
        <f t="shared" si="155"/>
        <v>501.51</v>
      </c>
      <c r="Y180" s="3">
        <f t="shared" si="155"/>
        <v>291.33999999999997</v>
      </c>
      <c r="Z180" s="3">
        <f t="shared" si="155"/>
        <v>0</v>
      </c>
      <c r="AA180" s="3">
        <f t="shared" si="155"/>
        <v>0</v>
      </c>
      <c r="AB180" s="3">
        <f t="shared" si="155"/>
        <v>0</v>
      </c>
      <c r="AC180" s="3">
        <f t="shared" si="155"/>
        <v>0</v>
      </c>
      <c r="AD180" s="3">
        <f t="shared" si="155"/>
        <v>0</v>
      </c>
      <c r="AE180" s="3">
        <f t="shared" si="155"/>
        <v>0</v>
      </c>
      <c r="AF180" s="3">
        <f t="shared" si="155"/>
        <v>0</v>
      </c>
      <c r="AG180" s="3">
        <f t="shared" si="155"/>
        <v>0</v>
      </c>
      <c r="AH180" s="3">
        <f t="shared" si="155"/>
        <v>0</v>
      </c>
      <c r="AI180" s="3">
        <f t="shared" si="155"/>
        <v>0</v>
      </c>
      <c r="AJ180" s="3">
        <f t="shared" si="155"/>
        <v>0</v>
      </c>
      <c r="AK180" s="3">
        <f t="shared" si="155"/>
        <v>0</v>
      </c>
      <c r="AL180" s="3">
        <f t="shared" si="155"/>
        <v>0</v>
      </c>
      <c r="AM180" s="3">
        <f t="shared" si="155"/>
        <v>0</v>
      </c>
      <c r="AN180" s="3">
        <f t="shared" si="155"/>
        <v>0</v>
      </c>
      <c r="AO180" s="3">
        <f t="shared" si="155"/>
        <v>0</v>
      </c>
      <c r="AP180" s="3">
        <f t="shared" si="155"/>
        <v>0</v>
      </c>
      <c r="AQ180" s="3">
        <f t="shared" si="155"/>
        <v>0</v>
      </c>
      <c r="AR180" s="3">
        <f t="shared" si="155"/>
        <v>5795.26</v>
      </c>
      <c r="AS180" s="3">
        <f t="shared" si="155"/>
        <v>5795.26</v>
      </c>
      <c r="AT180" s="3">
        <f t="shared" si="155"/>
        <v>0</v>
      </c>
      <c r="AU180" s="3">
        <f t="shared" ref="AU180:BZ180" si="156">AU424</f>
        <v>0</v>
      </c>
      <c r="AV180" s="3">
        <f t="shared" si="156"/>
        <v>4041.47</v>
      </c>
      <c r="AW180" s="3">
        <f t="shared" si="156"/>
        <v>4041.47</v>
      </c>
      <c r="AX180" s="3">
        <f t="shared" si="156"/>
        <v>0</v>
      </c>
      <c r="AY180" s="3">
        <f t="shared" si="156"/>
        <v>4041.47</v>
      </c>
      <c r="AZ180" s="3">
        <f t="shared" si="156"/>
        <v>0</v>
      </c>
      <c r="BA180" s="3">
        <f t="shared" si="156"/>
        <v>0</v>
      </c>
      <c r="BB180" s="3">
        <f t="shared" si="156"/>
        <v>0</v>
      </c>
      <c r="BC180" s="3">
        <f t="shared" si="156"/>
        <v>0</v>
      </c>
      <c r="BD180" s="3">
        <f t="shared" si="156"/>
        <v>0</v>
      </c>
      <c r="BE180" s="3">
        <f t="shared" si="156"/>
        <v>0</v>
      </c>
      <c r="BF180" s="3">
        <f t="shared" si="156"/>
        <v>0</v>
      </c>
      <c r="BG180" s="3">
        <f t="shared" si="156"/>
        <v>0</v>
      </c>
      <c r="BH180" s="3">
        <f t="shared" si="156"/>
        <v>0</v>
      </c>
      <c r="BI180" s="3">
        <f t="shared" si="156"/>
        <v>0</v>
      </c>
      <c r="BJ180" s="3">
        <f t="shared" si="156"/>
        <v>0</v>
      </c>
      <c r="BK180" s="3">
        <f t="shared" si="156"/>
        <v>0</v>
      </c>
      <c r="BL180" s="3">
        <f t="shared" si="156"/>
        <v>0</v>
      </c>
      <c r="BM180" s="3">
        <f t="shared" si="156"/>
        <v>0</v>
      </c>
      <c r="BN180" s="3">
        <f t="shared" si="156"/>
        <v>0</v>
      </c>
      <c r="BO180" s="3">
        <f t="shared" si="156"/>
        <v>0</v>
      </c>
      <c r="BP180" s="3">
        <f t="shared" si="156"/>
        <v>0</v>
      </c>
      <c r="BQ180" s="3">
        <f t="shared" si="156"/>
        <v>0</v>
      </c>
      <c r="BR180" s="3">
        <f t="shared" si="156"/>
        <v>0</v>
      </c>
      <c r="BS180" s="3">
        <f t="shared" si="156"/>
        <v>0</v>
      </c>
      <c r="BT180" s="3">
        <f t="shared" si="156"/>
        <v>0</v>
      </c>
      <c r="BU180" s="3">
        <f t="shared" si="156"/>
        <v>0</v>
      </c>
      <c r="BV180" s="3">
        <f t="shared" si="156"/>
        <v>0</v>
      </c>
      <c r="BW180" s="3">
        <f t="shared" si="156"/>
        <v>0</v>
      </c>
      <c r="BX180" s="3">
        <f t="shared" si="156"/>
        <v>0</v>
      </c>
      <c r="BY180" s="3">
        <f t="shared" si="156"/>
        <v>0</v>
      </c>
      <c r="BZ180" s="3">
        <f t="shared" si="156"/>
        <v>0</v>
      </c>
      <c r="CA180" s="3">
        <f t="shared" ref="CA180:DF180" si="157">CA424</f>
        <v>0</v>
      </c>
      <c r="CB180" s="3">
        <f t="shared" si="157"/>
        <v>0</v>
      </c>
      <c r="CC180" s="3">
        <f t="shared" si="157"/>
        <v>0</v>
      </c>
      <c r="CD180" s="3">
        <f t="shared" si="157"/>
        <v>0</v>
      </c>
      <c r="CE180" s="3">
        <f t="shared" si="157"/>
        <v>0</v>
      </c>
      <c r="CF180" s="3">
        <f t="shared" si="157"/>
        <v>0</v>
      </c>
      <c r="CG180" s="3">
        <f t="shared" si="157"/>
        <v>0</v>
      </c>
      <c r="CH180" s="3">
        <f t="shared" si="157"/>
        <v>0</v>
      </c>
      <c r="CI180" s="3">
        <f t="shared" si="157"/>
        <v>0</v>
      </c>
      <c r="CJ180" s="3">
        <f t="shared" si="157"/>
        <v>0</v>
      </c>
      <c r="CK180" s="3">
        <f t="shared" si="157"/>
        <v>0</v>
      </c>
      <c r="CL180" s="3">
        <f t="shared" si="157"/>
        <v>0</v>
      </c>
      <c r="CM180" s="3">
        <f t="shared" si="157"/>
        <v>0</v>
      </c>
      <c r="CN180" s="3">
        <f t="shared" si="157"/>
        <v>0</v>
      </c>
      <c r="CO180" s="3">
        <f t="shared" si="157"/>
        <v>0</v>
      </c>
      <c r="CP180" s="3">
        <f t="shared" si="157"/>
        <v>0</v>
      </c>
      <c r="CQ180" s="3">
        <f t="shared" si="157"/>
        <v>0</v>
      </c>
      <c r="CR180" s="3">
        <f t="shared" si="157"/>
        <v>0</v>
      </c>
      <c r="CS180" s="3">
        <f t="shared" si="157"/>
        <v>0</v>
      </c>
      <c r="CT180" s="3">
        <f t="shared" si="157"/>
        <v>0</v>
      </c>
      <c r="CU180" s="3">
        <f t="shared" si="157"/>
        <v>0</v>
      </c>
      <c r="CV180" s="3">
        <f t="shared" si="157"/>
        <v>0</v>
      </c>
      <c r="CW180" s="3">
        <f t="shared" si="157"/>
        <v>0</v>
      </c>
      <c r="CX180" s="3">
        <f t="shared" si="157"/>
        <v>0</v>
      </c>
      <c r="CY180" s="3">
        <f t="shared" si="157"/>
        <v>0</v>
      </c>
      <c r="CZ180" s="3">
        <f t="shared" si="157"/>
        <v>0</v>
      </c>
      <c r="DA180" s="3">
        <f t="shared" si="157"/>
        <v>0</v>
      </c>
      <c r="DB180" s="3">
        <f t="shared" si="157"/>
        <v>0</v>
      </c>
      <c r="DC180" s="3">
        <f t="shared" si="157"/>
        <v>0</v>
      </c>
      <c r="DD180" s="3">
        <f t="shared" si="157"/>
        <v>0</v>
      </c>
      <c r="DE180" s="3">
        <f t="shared" si="157"/>
        <v>0</v>
      </c>
      <c r="DF180" s="3">
        <f t="shared" si="157"/>
        <v>0</v>
      </c>
      <c r="DG180" s="4">
        <f t="shared" ref="DG180:EL180" si="158">DG424</f>
        <v>63747.25</v>
      </c>
      <c r="DH180" s="4">
        <f t="shared" si="158"/>
        <v>46261.52</v>
      </c>
      <c r="DI180" s="4">
        <f t="shared" si="158"/>
        <v>6807.3</v>
      </c>
      <c r="DJ180" s="4">
        <f t="shared" si="158"/>
        <v>2140.66</v>
      </c>
      <c r="DK180" s="4">
        <f t="shared" si="158"/>
        <v>10678.43</v>
      </c>
      <c r="DL180" s="4">
        <f t="shared" si="158"/>
        <v>0</v>
      </c>
      <c r="DM180" s="4">
        <f t="shared" si="158"/>
        <v>28.376860692600001</v>
      </c>
      <c r="DN180" s="4">
        <f t="shared" si="158"/>
        <v>0</v>
      </c>
      <c r="DO180" s="4">
        <f t="shared" si="158"/>
        <v>0</v>
      </c>
      <c r="DP180" s="4">
        <f t="shared" si="158"/>
        <v>11245.12</v>
      </c>
      <c r="DQ180" s="4">
        <f t="shared" si="158"/>
        <v>5161.09</v>
      </c>
      <c r="DR180" s="4">
        <f t="shared" si="158"/>
        <v>0</v>
      </c>
      <c r="DS180" s="4">
        <f t="shared" si="158"/>
        <v>0</v>
      </c>
      <c r="DT180" s="4">
        <f t="shared" si="158"/>
        <v>0</v>
      </c>
      <c r="DU180" s="4">
        <f t="shared" si="158"/>
        <v>0</v>
      </c>
      <c r="DV180" s="4">
        <f t="shared" si="158"/>
        <v>0</v>
      </c>
      <c r="DW180" s="4">
        <f t="shared" si="158"/>
        <v>0</v>
      </c>
      <c r="DX180" s="4">
        <f t="shared" si="158"/>
        <v>0</v>
      </c>
      <c r="DY180" s="4">
        <f t="shared" si="158"/>
        <v>0</v>
      </c>
      <c r="DZ180" s="4">
        <f t="shared" si="158"/>
        <v>0</v>
      </c>
      <c r="EA180" s="4">
        <f t="shared" si="158"/>
        <v>0</v>
      </c>
      <c r="EB180" s="4">
        <f t="shared" si="158"/>
        <v>0</v>
      </c>
      <c r="EC180" s="4">
        <f t="shared" si="158"/>
        <v>0</v>
      </c>
      <c r="ED180" s="4">
        <f t="shared" si="158"/>
        <v>0</v>
      </c>
      <c r="EE180" s="4">
        <f t="shared" si="158"/>
        <v>0</v>
      </c>
      <c r="EF180" s="4">
        <f t="shared" si="158"/>
        <v>0</v>
      </c>
      <c r="EG180" s="4">
        <f t="shared" si="158"/>
        <v>0</v>
      </c>
      <c r="EH180" s="4">
        <f t="shared" si="158"/>
        <v>0</v>
      </c>
      <c r="EI180" s="4">
        <f t="shared" si="158"/>
        <v>0</v>
      </c>
      <c r="EJ180" s="4">
        <f t="shared" si="158"/>
        <v>83578.5</v>
      </c>
      <c r="EK180" s="4">
        <f t="shared" si="158"/>
        <v>83578.5</v>
      </c>
      <c r="EL180" s="4">
        <f t="shared" si="158"/>
        <v>0</v>
      </c>
      <c r="EM180" s="4">
        <f t="shared" ref="EM180:FR180" si="159">EM424</f>
        <v>0</v>
      </c>
      <c r="EN180" s="4">
        <f t="shared" si="159"/>
        <v>46261.52</v>
      </c>
      <c r="EO180" s="4">
        <f t="shared" si="159"/>
        <v>46261.52</v>
      </c>
      <c r="EP180" s="4">
        <f t="shared" si="159"/>
        <v>0</v>
      </c>
      <c r="EQ180" s="4">
        <f t="shared" si="159"/>
        <v>46261.52</v>
      </c>
      <c r="ER180" s="4">
        <f t="shared" si="159"/>
        <v>0</v>
      </c>
      <c r="ES180" s="4">
        <f t="shared" si="159"/>
        <v>0</v>
      </c>
      <c r="ET180" s="4">
        <f t="shared" si="159"/>
        <v>0</v>
      </c>
      <c r="EU180" s="4">
        <f t="shared" si="159"/>
        <v>0</v>
      </c>
      <c r="EV180" s="4">
        <f t="shared" si="159"/>
        <v>0</v>
      </c>
      <c r="EW180" s="4">
        <f t="shared" si="159"/>
        <v>0</v>
      </c>
      <c r="EX180" s="4">
        <f t="shared" si="159"/>
        <v>0</v>
      </c>
      <c r="EY180" s="4">
        <f t="shared" si="159"/>
        <v>0</v>
      </c>
      <c r="EZ180" s="4">
        <f t="shared" si="159"/>
        <v>0</v>
      </c>
      <c r="FA180" s="4">
        <f t="shared" si="159"/>
        <v>0</v>
      </c>
      <c r="FB180" s="4">
        <f t="shared" si="159"/>
        <v>0</v>
      </c>
      <c r="FC180" s="4">
        <f t="shared" si="159"/>
        <v>0</v>
      </c>
      <c r="FD180" s="4">
        <f t="shared" si="159"/>
        <v>0</v>
      </c>
      <c r="FE180" s="4">
        <f t="shared" si="159"/>
        <v>0</v>
      </c>
      <c r="FF180" s="4">
        <f t="shared" si="159"/>
        <v>0</v>
      </c>
      <c r="FG180" s="4">
        <f t="shared" si="159"/>
        <v>0</v>
      </c>
      <c r="FH180" s="4">
        <f t="shared" si="159"/>
        <v>0</v>
      </c>
      <c r="FI180" s="4">
        <f t="shared" si="159"/>
        <v>0</v>
      </c>
      <c r="FJ180" s="4">
        <f t="shared" si="159"/>
        <v>0</v>
      </c>
      <c r="FK180" s="4">
        <f t="shared" si="159"/>
        <v>0</v>
      </c>
      <c r="FL180" s="4">
        <f t="shared" si="159"/>
        <v>0</v>
      </c>
      <c r="FM180" s="4">
        <f t="shared" si="159"/>
        <v>0</v>
      </c>
      <c r="FN180" s="4">
        <f t="shared" si="159"/>
        <v>0</v>
      </c>
      <c r="FO180" s="4">
        <f t="shared" si="159"/>
        <v>0</v>
      </c>
      <c r="FP180" s="4">
        <f t="shared" si="159"/>
        <v>0</v>
      </c>
      <c r="FQ180" s="4">
        <f t="shared" si="159"/>
        <v>0</v>
      </c>
      <c r="FR180" s="4">
        <f t="shared" si="159"/>
        <v>0</v>
      </c>
      <c r="FS180" s="4">
        <f t="shared" ref="FS180:GX180" si="160">FS424</f>
        <v>0</v>
      </c>
      <c r="FT180" s="4">
        <f t="shared" si="160"/>
        <v>0</v>
      </c>
      <c r="FU180" s="4">
        <f t="shared" si="160"/>
        <v>0</v>
      </c>
      <c r="FV180" s="4">
        <f t="shared" si="160"/>
        <v>0</v>
      </c>
      <c r="FW180" s="4">
        <f t="shared" si="160"/>
        <v>0</v>
      </c>
      <c r="FX180" s="4">
        <f t="shared" si="160"/>
        <v>0</v>
      </c>
      <c r="FY180" s="4">
        <f t="shared" si="160"/>
        <v>0</v>
      </c>
      <c r="FZ180" s="4">
        <f t="shared" si="160"/>
        <v>0</v>
      </c>
      <c r="GA180" s="4">
        <f t="shared" si="160"/>
        <v>0</v>
      </c>
      <c r="GB180" s="4">
        <f t="shared" si="160"/>
        <v>0</v>
      </c>
      <c r="GC180" s="4">
        <f t="shared" si="160"/>
        <v>0</v>
      </c>
      <c r="GD180" s="4">
        <f t="shared" si="160"/>
        <v>0</v>
      </c>
      <c r="GE180" s="4">
        <f t="shared" si="160"/>
        <v>0</v>
      </c>
      <c r="GF180" s="4">
        <f t="shared" si="160"/>
        <v>0</v>
      </c>
      <c r="GG180" s="4">
        <f t="shared" si="160"/>
        <v>0</v>
      </c>
      <c r="GH180" s="4">
        <f t="shared" si="160"/>
        <v>0</v>
      </c>
      <c r="GI180" s="4">
        <f t="shared" si="160"/>
        <v>0</v>
      </c>
      <c r="GJ180" s="4">
        <f t="shared" si="160"/>
        <v>0</v>
      </c>
      <c r="GK180" s="4">
        <f t="shared" si="160"/>
        <v>0</v>
      </c>
      <c r="GL180" s="4">
        <f t="shared" si="160"/>
        <v>0</v>
      </c>
      <c r="GM180" s="4">
        <f t="shared" si="160"/>
        <v>0</v>
      </c>
      <c r="GN180" s="4">
        <f t="shared" si="160"/>
        <v>0</v>
      </c>
      <c r="GO180" s="4">
        <f t="shared" si="160"/>
        <v>0</v>
      </c>
      <c r="GP180" s="4">
        <f t="shared" si="160"/>
        <v>0</v>
      </c>
      <c r="GQ180" s="4">
        <f t="shared" si="160"/>
        <v>0</v>
      </c>
      <c r="GR180" s="4">
        <f t="shared" si="160"/>
        <v>0</v>
      </c>
      <c r="GS180" s="4">
        <f t="shared" si="160"/>
        <v>0</v>
      </c>
      <c r="GT180" s="4">
        <f t="shared" si="160"/>
        <v>0</v>
      </c>
      <c r="GU180" s="4">
        <f t="shared" si="160"/>
        <v>0</v>
      </c>
      <c r="GV180" s="4">
        <f t="shared" si="160"/>
        <v>0</v>
      </c>
      <c r="GW180" s="4">
        <f t="shared" si="160"/>
        <v>0</v>
      </c>
      <c r="GX180" s="4">
        <f t="shared" si="160"/>
        <v>0</v>
      </c>
    </row>
    <row r="182" spans="1:255" x14ac:dyDescent="0.2">
      <c r="A182" s="1">
        <v>5</v>
      </c>
      <c r="B182" s="1">
        <v>1</v>
      </c>
      <c r="C182" s="1"/>
      <c r="D182" s="1">
        <f>ROW(A221)</f>
        <v>221</v>
      </c>
      <c r="E182" s="1"/>
      <c r="F182" s="1" t="s">
        <v>263</v>
      </c>
      <c r="G182" s="1" t="s">
        <v>264</v>
      </c>
      <c r="H182" s="1" t="s">
        <v>3</v>
      </c>
      <c r="I182" s="1">
        <v>0</v>
      </c>
      <c r="J182" s="1"/>
      <c r="K182" s="1">
        <v>0</v>
      </c>
      <c r="L182" s="1"/>
      <c r="M182" s="1" t="s">
        <v>3</v>
      </c>
      <c r="N182" s="1"/>
      <c r="O182" s="1"/>
      <c r="P182" s="1"/>
      <c r="Q182" s="1"/>
      <c r="R182" s="1"/>
      <c r="S182" s="1">
        <v>0</v>
      </c>
      <c r="T182" s="1">
        <v>0</v>
      </c>
      <c r="U182" s="1" t="s">
        <v>3</v>
      </c>
      <c r="V182" s="1">
        <v>0</v>
      </c>
      <c r="W182" s="1"/>
      <c r="X182" s="1"/>
      <c r="Y182" s="1"/>
      <c r="Z182" s="1"/>
      <c r="AA182" s="1"/>
      <c r="AB182" s="1" t="s">
        <v>3</v>
      </c>
      <c r="AC182" s="1" t="s">
        <v>3</v>
      </c>
      <c r="AD182" s="1" t="s">
        <v>3</v>
      </c>
      <c r="AE182" s="1" t="s">
        <v>3</v>
      </c>
      <c r="AF182" s="1" t="s">
        <v>3</v>
      </c>
      <c r="AG182" s="1" t="s">
        <v>3</v>
      </c>
      <c r="AH182" s="1"/>
      <c r="AI182" s="1"/>
      <c r="AJ182" s="1"/>
      <c r="AK182" s="1"/>
      <c r="AL182" s="1"/>
      <c r="AM182" s="1"/>
      <c r="AN182" s="1"/>
      <c r="AO182" s="1"/>
      <c r="AP182" s="1" t="s">
        <v>3</v>
      </c>
      <c r="AQ182" s="1" t="s">
        <v>3</v>
      </c>
      <c r="AR182" s="1" t="s">
        <v>3</v>
      </c>
      <c r="AS182" s="1"/>
      <c r="AT182" s="1"/>
      <c r="AU182" s="1"/>
      <c r="AV182" s="1"/>
      <c r="AW182" s="1"/>
      <c r="AX182" s="1"/>
      <c r="AY182" s="1"/>
      <c r="AZ182" s="1" t="s">
        <v>3</v>
      </c>
      <c r="BA182" s="1"/>
      <c r="BB182" s="1" t="s">
        <v>3</v>
      </c>
      <c r="BC182" s="1" t="s">
        <v>3</v>
      </c>
      <c r="BD182" s="1" t="s">
        <v>3</v>
      </c>
      <c r="BE182" s="1" t="s">
        <v>3</v>
      </c>
      <c r="BF182" s="1" t="s">
        <v>3</v>
      </c>
      <c r="BG182" s="1" t="s">
        <v>3</v>
      </c>
      <c r="BH182" s="1" t="s">
        <v>3</v>
      </c>
      <c r="BI182" s="1" t="s">
        <v>3</v>
      </c>
      <c r="BJ182" s="1" t="s">
        <v>3</v>
      </c>
      <c r="BK182" s="1" t="s">
        <v>3</v>
      </c>
      <c r="BL182" s="1" t="s">
        <v>3</v>
      </c>
      <c r="BM182" s="1" t="s">
        <v>3</v>
      </c>
      <c r="BN182" s="1" t="s">
        <v>3</v>
      </c>
      <c r="BO182" s="1" t="s">
        <v>3</v>
      </c>
      <c r="BP182" s="1" t="s">
        <v>3</v>
      </c>
      <c r="BQ182" s="1"/>
      <c r="BR182" s="1"/>
      <c r="BS182" s="1"/>
      <c r="BT182" s="1"/>
      <c r="BU182" s="1"/>
      <c r="BV182" s="1"/>
      <c r="BW182" s="1"/>
      <c r="BX182" s="1">
        <v>0</v>
      </c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>
        <v>0</v>
      </c>
    </row>
    <row r="184" spans="1:255" x14ac:dyDescent="0.2">
      <c r="A184" s="3">
        <v>52</v>
      </c>
      <c r="B184" s="3">
        <f t="shared" ref="B184:G184" si="161">B221</f>
        <v>1</v>
      </c>
      <c r="C184" s="3">
        <f t="shared" si="161"/>
        <v>5</v>
      </c>
      <c r="D184" s="3">
        <f t="shared" si="161"/>
        <v>182</v>
      </c>
      <c r="E184" s="3">
        <f t="shared" si="161"/>
        <v>0</v>
      </c>
      <c r="F184" s="3" t="str">
        <f t="shared" si="161"/>
        <v>Новый подраздел</v>
      </c>
      <c r="G184" s="3" t="str">
        <f t="shared" si="161"/>
        <v>Дорога</v>
      </c>
      <c r="H184" s="3"/>
      <c r="I184" s="3"/>
      <c r="J184" s="3"/>
      <c r="K184" s="3"/>
      <c r="L184" s="3"/>
      <c r="M184" s="3"/>
      <c r="N184" s="3"/>
      <c r="O184" s="3">
        <f t="shared" ref="O184:AT184" si="162">O221</f>
        <v>3740.44</v>
      </c>
      <c r="P184" s="3">
        <f t="shared" si="162"/>
        <v>3074.6</v>
      </c>
      <c r="Q184" s="3">
        <f t="shared" si="162"/>
        <v>540.91999999999996</v>
      </c>
      <c r="R184" s="3">
        <f t="shared" si="162"/>
        <v>61.78</v>
      </c>
      <c r="S184" s="3">
        <f t="shared" si="162"/>
        <v>124.92</v>
      </c>
      <c r="T184" s="3">
        <f t="shared" si="162"/>
        <v>0</v>
      </c>
      <c r="U184" s="3">
        <f t="shared" si="162"/>
        <v>10.8763048926</v>
      </c>
      <c r="V184" s="3">
        <f t="shared" si="162"/>
        <v>0</v>
      </c>
      <c r="W184" s="3">
        <f t="shared" si="162"/>
        <v>0</v>
      </c>
      <c r="X184" s="3">
        <f t="shared" si="162"/>
        <v>156.47</v>
      </c>
      <c r="Y184" s="3">
        <f t="shared" si="162"/>
        <v>104.98</v>
      </c>
      <c r="Z184" s="3">
        <f t="shared" si="162"/>
        <v>0</v>
      </c>
      <c r="AA184" s="3">
        <f t="shared" si="162"/>
        <v>0</v>
      </c>
      <c r="AB184" s="3">
        <f t="shared" si="162"/>
        <v>3740.44</v>
      </c>
      <c r="AC184" s="3">
        <f t="shared" si="162"/>
        <v>3074.6</v>
      </c>
      <c r="AD184" s="3">
        <f t="shared" si="162"/>
        <v>540.91999999999996</v>
      </c>
      <c r="AE184" s="3">
        <f t="shared" si="162"/>
        <v>61.78</v>
      </c>
      <c r="AF184" s="3">
        <f t="shared" si="162"/>
        <v>124.92</v>
      </c>
      <c r="AG184" s="3">
        <f t="shared" si="162"/>
        <v>0</v>
      </c>
      <c r="AH184" s="3">
        <f t="shared" si="162"/>
        <v>10.8763048926</v>
      </c>
      <c r="AI184" s="3">
        <f t="shared" si="162"/>
        <v>0</v>
      </c>
      <c r="AJ184" s="3">
        <f t="shared" si="162"/>
        <v>0</v>
      </c>
      <c r="AK184" s="3">
        <f t="shared" si="162"/>
        <v>156.47</v>
      </c>
      <c r="AL184" s="3">
        <f t="shared" si="162"/>
        <v>104.98</v>
      </c>
      <c r="AM184" s="3">
        <f t="shared" si="162"/>
        <v>0</v>
      </c>
      <c r="AN184" s="3">
        <f t="shared" si="162"/>
        <v>0</v>
      </c>
      <c r="AO184" s="3">
        <f t="shared" si="162"/>
        <v>0</v>
      </c>
      <c r="AP184" s="3">
        <f t="shared" si="162"/>
        <v>0</v>
      </c>
      <c r="AQ184" s="3">
        <f t="shared" si="162"/>
        <v>0</v>
      </c>
      <c r="AR184" s="3">
        <f t="shared" si="162"/>
        <v>4110.03</v>
      </c>
      <c r="AS184" s="3">
        <f t="shared" si="162"/>
        <v>4110.03</v>
      </c>
      <c r="AT184" s="3">
        <f t="shared" si="162"/>
        <v>0</v>
      </c>
      <c r="AU184" s="3">
        <f t="shared" ref="AU184:BZ184" si="163">AU221</f>
        <v>0</v>
      </c>
      <c r="AV184" s="3">
        <f t="shared" si="163"/>
        <v>3074.6</v>
      </c>
      <c r="AW184" s="3">
        <f t="shared" si="163"/>
        <v>3074.6</v>
      </c>
      <c r="AX184" s="3">
        <f t="shared" si="163"/>
        <v>0</v>
      </c>
      <c r="AY184" s="3">
        <f t="shared" si="163"/>
        <v>3074.6</v>
      </c>
      <c r="AZ184" s="3">
        <f t="shared" si="163"/>
        <v>0</v>
      </c>
      <c r="BA184" s="3">
        <f t="shared" si="163"/>
        <v>0</v>
      </c>
      <c r="BB184" s="3">
        <f t="shared" si="163"/>
        <v>0</v>
      </c>
      <c r="BC184" s="3">
        <f t="shared" si="163"/>
        <v>0</v>
      </c>
      <c r="BD184" s="3">
        <f t="shared" si="163"/>
        <v>0</v>
      </c>
      <c r="BE184" s="3">
        <f t="shared" si="163"/>
        <v>0</v>
      </c>
      <c r="BF184" s="3">
        <f t="shared" si="163"/>
        <v>0</v>
      </c>
      <c r="BG184" s="3">
        <f t="shared" si="163"/>
        <v>0</v>
      </c>
      <c r="BH184" s="3">
        <f t="shared" si="163"/>
        <v>0</v>
      </c>
      <c r="BI184" s="3">
        <f t="shared" si="163"/>
        <v>0</v>
      </c>
      <c r="BJ184" s="3">
        <f t="shared" si="163"/>
        <v>0</v>
      </c>
      <c r="BK184" s="3">
        <f t="shared" si="163"/>
        <v>0</v>
      </c>
      <c r="BL184" s="3">
        <f t="shared" si="163"/>
        <v>0</v>
      </c>
      <c r="BM184" s="3">
        <f t="shared" si="163"/>
        <v>0</v>
      </c>
      <c r="BN184" s="3">
        <f t="shared" si="163"/>
        <v>0</v>
      </c>
      <c r="BO184" s="3">
        <f t="shared" si="163"/>
        <v>0</v>
      </c>
      <c r="BP184" s="3">
        <f t="shared" si="163"/>
        <v>0</v>
      </c>
      <c r="BQ184" s="3">
        <f t="shared" si="163"/>
        <v>0</v>
      </c>
      <c r="BR184" s="3">
        <f t="shared" si="163"/>
        <v>0</v>
      </c>
      <c r="BS184" s="3">
        <f t="shared" si="163"/>
        <v>0</v>
      </c>
      <c r="BT184" s="3">
        <f t="shared" si="163"/>
        <v>0</v>
      </c>
      <c r="BU184" s="3">
        <f t="shared" si="163"/>
        <v>0</v>
      </c>
      <c r="BV184" s="3">
        <f t="shared" si="163"/>
        <v>0</v>
      </c>
      <c r="BW184" s="3">
        <f t="shared" si="163"/>
        <v>0</v>
      </c>
      <c r="BX184" s="3">
        <f t="shared" si="163"/>
        <v>0</v>
      </c>
      <c r="BY184" s="3">
        <f t="shared" si="163"/>
        <v>0</v>
      </c>
      <c r="BZ184" s="3">
        <f t="shared" si="163"/>
        <v>0</v>
      </c>
      <c r="CA184" s="3">
        <f t="shared" ref="CA184:DF184" si="164">CA221</f>
        <v>4110.03</v>
      </c>
      <c r="CB184" s="3">
        <f t="shared" si="164"/>
        <v>4110.03</v>
      </c>
      <c r="CC184" s="3">
        <f t="shared" si="164"/>
        <v>0</v>
      </c>
      <c r="CD184" s="3">
        <f t="shared" si="164"/>
        <v>0</v>
      </c>
      <c r="CE184" s="3">
        <f t="shared" si="164"/>
        <v>3074.6</v>
      </c>
      <c r="CF184" s="3">
        <f t="shared" si="164"/>
        <v>3074.6</v>
      </c>
      <c r="CG184" s="3">
        <f t="shared" si="164"/>
        <v>0</v>
      </c>
      <c r="CH184" s="3">
        <f t="shared" si="164"/>
        <v>3074.6</v>
      </c>
      <c r="CI184" s="3">
        <f t="shared" si="164"/>
        <v>0</v>
      </c>
      <c r="CJ184" s="3">
        <f t="shared" si="164"/>
        <v>0</v>
      </c>
      <c r="CK184" s="3">
        <f t="shared" si="164"/>
        <v>0</v>
      </c>
      <c r="CL184" s="3">
        <f t="shared" si="164"/>
        <v>0</v>
      </c>
      <c r="CM184" s="3">
        <f t="shared" si="164"/>
        <v>0</v>
      </c>
      <c r="CN184" s="3">
        <f t="shared" si="164"/>
        <v>0</v>
      </c>
      <c r="CO184" s="3">
        <f t="shared" si="164"/>
        <v>0</v>
      </c>
      <c r="CP184" s="3">
        <f t="shared" si="164"/>
        <v>0</v>
      </c>
      <c r="CQ184" s="3">
        <f t="shared" si="164"/>
        <v>0</v>
      </c>
      <c r="CR184" s="3">
        <f t="shared" si="164"/>
        <v>0</v>
      </c>
      <c r="CS184" s="3">
        <f t="shared" si="164"/>
        <v>0</v>
      </c>
      <c r="CT184" s="3">
        <f t="shared" si="164"/>
        <v>0</v>
      </c>
      <c r="CU184" s="3">
        <f t="shared" si="164"/>
        <v>0</v>
      </c>
      <c r="CV184" s="3">
        <f t="shared" si="164"/>
        <v>0</v>
      </c>
      <c r="CW184" s="3">
        <f t="shared" si="164"/>
        <v>0</v>
      </c>
      <c r="CX184" s="3">
        <f t="shared" si="164"/>
        <v>0</v>
      </c>
      <c r="CY184" s="3">
        <f t="shared" si="164"/>
        <v>0</v>
      </c>
      <c r="CZ184" s="3">
        <f t="shared" si="164"/>
        <v>0</v>
      </c>
      <c r="DA184" s="3">
        <f t="shared" si="164"/>
        <v>0</v>
      </c>
      <c r="DB184" s="3">
        <f t="shared" si="164"/>
        <v>0</v>
      </c>
      <c r="DC184" s="3">
        <f t="shared" si="164"/>
        <v>0</v>
      </c>
      <c r="DD184" s="3">
        <f t="shared" si="164"/>
        <v>0</v>
      </c>
      <c r="DE184" s="3">
        <f t="shared" si="164"/>
        <v>0</v>
      </c>
      <c r="DF184" s="3">
        <f t="shared" si="164"/>
        <v>0</v>
      </c>
      <c r="DG184" s="4">
        <f t="shared" ref="DG184:EL184" si="165">DG221</f>
        <v>50950.04</v>
      </c>
      <c r="DH184" s="4">
        <f t="shared" si="165"/>
        <v>39858.300000000003</v>
      </c>
      <c r="DI184" s="4">
        <f t="shared" si="165"/>
        <v>6780.75</v>
      </c>
      <c r="DJ184" s="4">
        <f t="shared" si="165"/>
        <v>2132.0300000000002</v>
      </c>
      <c r="DK184" s="4">
        <f t="shared" si="165"/>
        <v>4310.99</v>
      </c>
      <c r="DL184" s="4">
        <f t="shared" si="165"/>
        <v>0</v>
      </c>
      <c r="DM184" s="4">
        <f t="shared" si="165"/>
        <v>10.8763048926</v>
      </c>
      <c r="DN184" s="4">
        <f t="shared" si="165"/>
        <v>0</v>
      </c>
      <c r="DO184" s="4">
        <f t="shared" si="165"/>
        <v>0</v>
      </c>
      <c r="DP184" s="4">
        <f t="shared" si="165"/>
        <v>4559.3100000000004</v>
      </c>
      <c r="DQ184" s="4">
        <f t="shared" si="165"/>
        <v>2104.73</v>
      </c>
      <c r="DR184" s="4">
        <f t="shared" si="165"/>
        <v>0</v>
      </c>
      <c r="DS184" s="4">
        <f t="shared" si="165"/>
        <v>0</v>
      </c>
      <c r="DT184" s="4">
        <f t="shared" si="165"/>
        <v>50950.04</v>
      </c>
      <c r="DU184" s="4">
        <f t="shared" si="165"/>
        <v>39858.300000000003</v>
      </c>
      <c r="DV184" s="4">
        <f t="shared" si="165"/>
        <v>6780.75</v>
      </c>
      <c r="DW184" s="4">
        <f t="shared" si="165"/>
        <v>2132.0300000000002</v>
      </c>
      <c r="DX184" s="4">
        <f t="shared" si="165"/>
        <v>4310.99</v>
      </c>
      <c r="DY184" s="4">
        <f t="shared" si="165"/>
        <v>0</v>
      </c>
      <c r="DZ184" s="4">
        <f t="shared" si="165"/>
        <v>10.8763048926</v>
      </c>
      <c r="EA184" s="4">
        <f t="shared" si="165"/>
        <v>0</v>
      </c>
      <c r="EB184" s="4">
        <f t="shared" si="165"/>
        <v>0</v>
      </c>
      <c r="EC184" s="4">
        <f t="shared" si="165"/>
        <v>4559.3100000000004</v>
      </c>
      <c r="ED184" s="4">
        <f t="shared" si="165"/>
        <v>2104.73</v>
      </c>
      <c r="EE184" s="4">
        <f t="shared" si="165"/>
        <v>0</v>
      </c>
      <c r="EF184" s="4">
        <f t="shared" si="165"/>
        <v>0</v>
      </c>
      <c r="EG184" s="4">
        <f t="shared" si="165"/>
        <v>0</v>
      </c>
      <c r="EH184" s="4">
        <f t="shared" si="165"/>
        <v>0</v>
      </c>
      <c r="EI184" s="4">
        <f t="shared" si="165"/>
        <v>0</v>
      </c>
      <c r="EJ184" s="4">
        <f t="shared" si="165"/>
        <v>61025.31</v>
      </c>
      <c r="EK184" s="4">
        <f t="shared" si="165"/>
        <v>61025.31</v>
      </c>
      <c r="EL184" s="4">
        <f t="shared" si="165"/>
        <v>0</v>
      </c>
      <c r="EM184" s="4">
        <f t="shared" ref="EM184:FR184" si="166">EM221</f>
        <v>0</v>
      </c>
      <c r="EN184" s="4">
        <f t="shared" si="166"/>
        <v>39858.300000000003</v>
      </c>
      <c r="EO184" s="4">
        <f t="shared" si="166"/>
        <v>39858.300000000003</v>
      </c>
      <c r="EP184" s="4">
        <f t="shared" si="166"/>
        <v>0</v>
      </c>
      <c r="EQ184" s="4">
        <f t="shared" si="166"/>
        <v>39858.300000000003</v>
      </c>
      <c r="ER184" s="4">
        <f t="shared" si="166"/>
        <v>0</v>
      </c>
      <c r="ES184" s="4">
        <f t="shared" si="166"/>
        <v>0</v>
      </c>
      <c r="ET184" s="4">
        <f t="shared" si="166"/>
        <v>0</v>
      </c>
      <c r="EU184" s="4">
        <f t="shared" si="166"/>
        <v>0</v>
      </c>
      <c r="EV184" s="4">
        <f t="shared" si="166"/>
        <v>0</v>
      </c>
      <c r="EW184" s="4">
        <f t="shared" si="166"/>
        <v>0</v>
      </c>
      <c r="EX184" s="4">
        <f t="shared" si="166"/>
        <v>0</v>
      </c>
      <c r="EY184" s="4">
        <f t="shared" si="166"/>
        <v>0</v>
      </c>
      <c r="EZ184" s="4">
        <f t="shared" si="166"/>
        <v>0</v>
      </c>
      <c r="FA184" s="4">
        <f t="shared" si="166"/>
        <v>0</v>
      </c>
      <c r="FB184" s="4">
        <f t="shared" si="166"/>
        <v>0</v>
      </c>
      <c r="FC184" s="4">
        <f t="shared" si="166"/>
        <v>0</v>
      </c>
      <c r="FD184" s="4">
        <f t="shared" si="166"/>
        <v>0</v>
      </c>
      <c r="FE184" s="4">
        <f t="shared" si="166"/>
        <v>0</v>
      </c>
      <c r="FF184" s="4">
        <f t="shared" si="166"/>
        <v>0</v>
      </c>
      <c r="FG184" s="4">
        <f t="shared" si="166"/>
        <v>0</v>
      </c>
      <c r="FH184" s="4">
        <f t="shared" si="166"/>
        <v>0</v>
      </c>
      <c r="FI184" s="4">
        <f t="shared" si="166"/>
        <v>0</v>
      </c>
      <c r="FJ184" s="4">
        <f t="shared" si="166"/>
        <v>0</v>
      </c>
      <c r="FK184" s="4">
        <f t="shared" si="166"/>
        <v>0</v>
      </c>
      <c r="FL184" s="4">
        <f t="shared" si="166"/>
        <v>0</v>
      </c>
      <c r="FM184" s="4">
        <f t="shared" si="166"/>
        <v>0</v>
      </c>
      <c r="FN184" s="4">
        <f t="shared" si="166"/>
        <v>0</v>
      </c>
      <c r="FO184" s="4">
        <f t="shared" si="166"/>
        <v>0</v>
      </c>
      <c r="FP184" s="4">
        <f t="shared" si="166"/>
        <v>0</v>
      </c>
      <c r="FQ184" s="4">
        <f t="shared" si="166"/>
        <v>0</v>
      </c>
      <c r="FR184" s="4">
        <f t="shared" si="166"/>
        <v>0</v>
      </c>
      <c r="FS184" s="4">
        <f t="shared" ref="FS184:GX184" si="167">FS221</f>
        <v>61025.31</v>
      </c>
      <c r="FT184" s="4">
        <f t="shared" si="167"/>
        <v>61025.31</v>
      </c>
      <c r="FU184" s="4">
        <f t="shared" si="167"/>
        <v>0</v>
      </c>
      <c r="FV184" s="4">
        <f t="shared" si="167"/>
        <v>0</v>
      </c>
      <c r="FW184" s="4">
        <f t="shared" si="167"/>
        <v>39858.300000000003</v>
      </c>
      <c r="FX184" s="4">
        <f t="shared" si="167"/>
        <v>39858.300000000003</v>
      </c>
      <c r="FY184" s="4">
        <f t="shared" si="167"/>
        <v>0</v>
      </c>
      <c r="FZ184" s="4">
        <f t="shared" si="167"/>
        <v>39858.300000000003</v>
      </c>
      <c r="GA184" s="4">
        <f t="shared" si="167"/>
        <v>0</v>
      </c>
      <c r="GB184" s="4">
        <f t="shared" si="167"/>
        <v>0</v>
      </c>
      <c r="GC184" s="4">
        <f t="shared" si="167"/>
        <v>0</v>
      </c>
      <c r="GD184" s="4">
        <f t="shared" si="167"/>
        <v>0</v>
      </c>
      <c r="GE184" s="4">
        <f t="shared" si="167"/>
        <v>0</v>
      </c>
      <c r="GF184" s="4">
        <f t="shared" si="167"/>
        <v>0</v>
      </c>
      <c r="GG184" s="4">
        <f t="shared" si="167"/>
        <v>0</v>
      </c>
      <c r="GH184" s="4">
        <f t="shared" si="167"/>
        <v>0</v>
      </c>
      <c r="GI184" s="4">
        <f t="shared" si="167"/>
        <v>0</v>
      </c>
      <c r="GJ184" s="4">
        <f t="shared" si="167"/>
        <v>0</v>
      </c>
      <c r="GK184" s="4">
        <f t="shared" si="167"/>
        <v>0</v>
      </c>
      <c r="GL184" s="4">
        <f t="shared" si="167"/>
        <v>0</v>
      </c>
      <c r="GM184" s="4">
        <f t="shared" si="167"/>
        <v>0</v>
      </c>
      <c r="GN184" s="4">
        <f t="shared" si="167"/>
        <v>0</v>
      </c>
      <c r="GO184" s="4">
        <f t="shared" si="167"/>
        <v>0</v>
      </c>
      <c r="GP184" s="4">
        <f t="shared" si="167"/>
        <v>0</v>
      </c>
      <c r="GQ184" s="4">
        <f t="shared" si="167"/>
        <v>0</v>
      </c>
      <c r="GR184" s="4">
        <f t="shared" si="167"/>
        <v>0</v>
      </c>
      <c r="GS184" s="4">
        <f t="shared" si="167"/>
        <v>0</v>
      </c>
      <c r="GT184" s="4">
        <f t="shared" si="167"/>
        <v>0</v>
      </c>
      <c r="GU184" s="4">
        <f t="shared" si="167"/>
        <v>0</v>
      </c>
      <c r="GV184" s="4">
        <f t="shared" si="167"/>
        <v>0</v>
      </c>
      <c r="GW184" s="4">
        <f t="shared" si="167"/>
        <v>0</v>
      </c>
      <c r="GX184" s="4">
        <f t="shared" si="167"/>
        <v>0</v>
      </c>
    </row>
    <row r="186" spans="1:255" x14ac:dyDescent="0.2">
      <c r="A186" s="2">
        <v>17</v>
      </c>
      <c r="B186" s="2">
        <v>1</v>
      </c>
      <c r="C186" s="2"/>
      <c r="D186" s="2">
        <f>ROW(EtalonRes!A335)</f>
        <v>335</v>
      </c>
      <c r="E186" s="2" t="s">
        <v>265</v>
      </c>
      <c r="F186" s="2" t="s">
        <v>266</v>
      </c>
      <c r="G186" s="2" t="s">
        <v>267</v>
      </c>
      <c r="H186" s="2" t="s">
        <v>268</v>
      </c>
      <c r="I186" s="2">
        <f>ROUND(((27*0.04)+(9.8*0.13))/100,9)</f>
        <v>2.3539999999999998E-2</v>
      </c>
      <c r="J186" s="2">
        <v>0</v>
      </c>
      <c r="K186" s="2">
        <f>ROUND(((27*0.04)+(9.8*0.13))/100,9)</f>
        <v>2.3539999999999998E-2</v>
      </c>
      <c r="L186" s="2"/>
      <c r="M186" s="2"/>
      <c r="N186" s="2"/>
      <c r="O186" s="2">
        <f t="shared" ref="O186:O219" si="168">ROUND(CP186,2)</f>
        <v>93.78</v>
      </c>
      <c r="P186" s="2">
        <f t="shared" ref="P186:P219" si="169">ROUND((ROUND((AC186*AW186*I186),2)*BC186),2)</f>
        <v>0</v>
      </c>
      <c r="Q186" s="2">
        <f t="shared" ref="Q186:Q193" si="170">(ROUND((ROUND((((ET186*1.05))*AV186*I186),2)*BB186),2)+ROUND((ROUND(((AE186-((EU186*1.05)))*AV186*I186),2)*BS186),2))</f>
        <v>50.1</v>
      </c>
      <c r="R186" s="2">
        <f t="shared" ref="R186:R219" si="171">ROUND((ROUND((AE186*AV186*I186),2)*BS186),2)</f>
        <v>13.02</v>
      </c>
      <c r="S186" s="2">
        <f t="shared" ref="S186:S219" si="172">ROUND((ROUND((AF186*AV186*I186),2)*BA186),2)</f>
        <v>43.68</v>
      </c>
      <c r="T186" s="2">
        <f t="shared" ref="T186:T219" si="173">ROUND(CU186*I186,2)</f>
        <v>0</v>
      </c>
      <c r="U186" s="2">
        <f t="shared" ref="U186:U219" si="174">CV186*I186</f>
        <v>4.0111983449999995</v>
      </c>
      <c r="V186" s="2">
        <f t="shared" ref="V186:V219" si="175">CW186*I186</f>
        <v>0</v>
      </c>
      <c r="W186" s="2">
        <f t="shared" ref="W186:W219" si="176">ROUND(CX186*I186,2)</f>
        <v>0</v>
      </c>
      <c r="X186" s="2">
        <f t="shared" ref="X186:X219" si="177">ROUND(CY186,2)</f>
        <v>34.94</v>
      </c>
      <c r="Y186" s="2">
        <f t="shared" ref="Y186:Y219" si="178">ROUND(CZ186,2)</f>
        <v>24.02</v>
      </c>
      <c r="Z186" s="2"/>
      <c r="AA186" s="2">
        <v>56622490</v>
      </c>
      <c r="AB186" s="2">
        <f t="shared" ref="AB186:AB219" si="179">ROUND((AC186+AD186+AF186),6)</f>
        <v>3805.0740000000001</v>
      </c>
      <c r="AC186" s="2">
        <f t="shared" ref="AC186:AC219" si="180">ROUND((ES186),6)</f>
        <v>0</v>
      </c>
      <c r="AD186" s="2">
        <f t="shared" ref="AD186:AD193" si="181">ROUND(((((ET186*1.05))-((EU186*1.05)))+AE186),6)</f>
        <v>2032.7265</v>
      </c>
      <c r="AE186" s="2">
        <f t="shared" ref="AE186:AF193" si="182">ROUND(((EU186*1.05)),6)</f>
        <v>528.1395</v>
      </c>
      <c r="AF186" s="2">
        <f t="shared" si="182"/>
        <v>1772.3475000000001</v>
      </c>
      <c r="AG186" s="2">
        <f t="shared" ref="AG186:AG219" si="183">ROUND((AP186),6)</f>
        <v>0</v>
      </c>
      <c r="AH186" s="2">
        <f t="shared" ref="AH186:AI193" si="184">((EW186*1.05))</f>
        <v>162.75</v>
      </c>
      <c r="AI186" s="2">
        <f t="shared" si="184"/>
        <v>0</v>
      </c>
      <c r="AJ186" s="2">
        <f t="shared" ref="AJ186:AJ219" si="185">(AS186)</f>
        <v>0</v>
      </c>
      <c r="AK186" s="2">
        <v>3623.88</v>
      </c>
      <c r="AL186" s="2">
        <v>0</v>
      </c>
      <c r="AM186" s="2">
        <v>1935.93</v>
      </c>
      <c r="AN186" s="2">
        <v>502.99</v>
      </c>
      <c r="AO186" s="2">
        <v>1687.95</v>
      </c>
      <c r="AP186" s="2">
        <v>0</v>
      </c>
      <c r="AQ186" s="2">
        <v>155</v>
      </c>
      <c r="AR186" s="2">
        <v>0</v>
      </c>
      <c r="AS186" s="2">
        <v>0</v>
      </c>
      <c r="AT186" s="2">
        <v>80</v>
      </c>
      <c r="AU186" s="2">
        <v>55</v>
      </c>
      <c r="AV186" s="2">
        <v>1.0469999999999999</v>
      </c>
      <c r="AW186" s="2">
        <v>1</v>
      </c>
      <c r="AX186" s="2"/>
      <c r="AY186" s="2"/>
      <c r="AZ186" s="2">
        <v>1</v>
      </c>
      <c r="BA186" s="2">
        <v>1</v>
      </c>
      <c r="BB186" s="2">
        <v>1</v>
      </c>
      <c r="BC186" s="2">
        <v>1</v>
      </c>
      <c r="BD186" s="2" t="s">
        <v>3</v>
      </c>
      <c r="BE186" s="2" t="s">
        <v>3</v>
      </c>
      <c r="BF186" s="2" t="s">
        <v>3</v>
      </c>
      <c r="BG186" s="2" t="s">
        <v>3</v>
      </c>
      <c r="BH186" s="2">
        <v>0</v>
      </c>
      <c r="BI186" s="2">
        <v>1</v>
      </c>
      <c r="BJ186" s="2" t="s">
        <v>269</v>
      </c>
      <c r="BK186" s="2"/>
      <c r="BL186" s="2"/>
      <c r="BM186" s="2">
        <v>674</v>
      </c>
      <c r="BN186" s="2">
        <v>0</v>
      </c>
      <c r="BO186" s="2" t="s">
        <v>3</v>
      </c>
      <c r="BP186" s="2">
        <v>0</v>
      </c>
      <c r="BQ186" s="2">
        <v>60</v>
      </c>
      <c r="BR186" s="2">
        <v>0</v>
      </c>
      <c r="BS186" s="2">
        <v>1</v>
      </c>
      <c r="BT186" s="2">
        <v>1</v>
      </c>
      <c r="BU186" s="2">
        <v>1</v>
      </c>
      <c r="BV186" s="2">
        <v>1</v>
      </c>
      <c r="BW186" s="2">
        <v>1</v>
      </c>
      <c r="BX186" s="2">
        <v>1</v>
      </c>
      <c r="BY186" s="2" t="s">
        <v>3</v>
      </c>
      <c r="BZ186" s="2">
        <v>80</v>
      </c>
      <c r="CA186" s="2">
        <v>55</v>
      </c>
      <c r="CB186" s="2" t="s">
        <v>3</v>
      </c>
      <c r="CC186" s="2"/>
      <c r="CD186" s="2"/>
      <c r="CE186" s="2">
        <v>30</v>
      </c>
      <c r="CF186" s="2">
        <v>0</v>
      </c>
      <c r="CG186" s="2">
        <v>0</v>
      </c>
      <c r="CH186" s="2"/>
      <c r="CI186" s="2"/>
      <c r="CJ186" s="2"/>
      <c r="CK186" s="2"/>
      <c r="CL186" s="2"/>
      <c r="CM186" s="2">
        <v>0</v>
      </c>
      <c r="CN186" s="2" t="s">
        <v>708</v>
      </c>
      <c r="CO186" s="2">
        <v>0</v>
      </c>
      <c r="CP186" s="2">
        <f t="shared" ref="CP186:CP219" si="186">(P186+Q186+S186)</f>
        <v>93.78</v>
      </c>
      <c r="CQ186" s="2">
        <f t="shared" ref="CQ186:CQ219" si="187">ROUND((ROUND((AC186*AW186*1),2)*BC186),2)</f>
        <v>0</v>
      </c>
      <c r="CR186" s="2">
        <f t="shared" ref="CR186:CR193" si="188">(ROUND((ROUND((((ET186*1.05))*AV186*1),2)*BB186),2)+ROUND((ROUND(((AE186-((EU186*1.05)))*AV186*1),2)*BS186),2))</f>
        <v>2128.2600000000002</v>
      </c>
      <c r="CS186" s="2">
        <f t="shared" ref="CS186:CS219" si="189">ROUND((ROUND((AE186*AV186*1),2)*BS186),2)</f>
        <v>552.96</v>
      </c>
      <c r="CT186" s="2">
        <f t="shared" ref="CT186:CT219" si="190">ROUND((ROUND((AF186*AV186*1),2)*BA186),2)</f>
        <v>1855.65</v>
      </c>
      <c r="CU186" s="2">
        <f t="shared" ref="CU186:CU219" si="191">AG186</f>
        <v>0</v>
      </c>
      <c r="CV186" s="2">
        <f t="shared" ref="CV186:CV219" si="192">(AH186*AV186)</f>
        <v>170.39924999999999</v>
      </c>
      <c r="CW186" s="2">
        <f t="shared" ref="CW186:CW219" si="193">AI186</f>
        <v>0</v>
      </c>
      <c r="CX186" s="2">
        <f t="shared" ref="CX186:CX219" si="194">AJ186</f>
        <v>0</v>
      </c>
      <c r="CY186" s="2">
        <f>((S186*BZ186)/100)</f>
        <v>34.944000000000003</v>
      </c>
      <c r="CZ186" s="2">
        <f>((S186*CA186)/100)</f>
        <v>24.024000000000001</v>
      </c>
      <c r="DA186" s="2"/>
      <c r="DB186" s="2">
        <v>83</v>
      </c>
      <c r="DC186" s="2" t="s">
        <v>3</v>
      </c>
      <c r="DD186" s="2" t="s">
        <v>3</v>
      </c>
      <c r="DE186" s="2" t="s">
        <v>22</v>
      </c>
      <c r="DF186" s="2" t="s">
        <v>22</v>
      </c>
      <c r="DG186" s="2" t="s">
        <v>22</v>
      </c>
      <c r="DH186" s="2" t="s">
        <v>3</v>
      </c>
      <c r="DI186" s="2" t="s">
        <v>22</v>
      </c>
      <c r="DJ186" s="2" t="s">
        <v>22</v>
      </c>
      <c r="DK186" s="2" t="s">
        <v>3</v>
      </c>
      <c r="DL186" s="2" t="s">
        <v>3</v>
      </c>
      <c r="DM186" s="2" t="s">
        <v>3</v>
      </c>
      <c r="DN186" s="2">
        <v>0</v>
      </c>
      <c r="DO186" s="2">
        <v>0</v>
      </c>
      <c r="DP186" s="2">
        <v>1</v>
      </c>
      <c r="DQ186" s="2">
        <v>1</v>
      </c>
      <c r="DR186" s="2"/>
      <c r="DS186" s="2"/>
      <c r="DT186" s="2"/>
      <c r="DU186" s="2">
        <v>1007</v>
      </c>
      <c r="DV186" s="2" t="s">
        <v>268</v>
      </c>
      <c r="DW186" s="2" t="s">
        <v>268</v>
      </c>
      <c r="DX186" s="2">
        <v>100</v>
      </c>
      <c r="DY186" s="2"/>
      <c r="DZ186" s="2" t="s">
        <v>3</v>
      </c>
      <c r="EA186" s="2" t="s">
        <v>3</v>
      </c>
      <c r="EB186" s="2" t="s">
        <v>3</v>
      </c>
      <c r="EC186" s="2" t="s">
        <v>3</v>
      </c>
      <c r="ED186" s="2"/>
      <c r="EE186" s="2">
        <v>51696713</v>
      </c>
      <c r="EF186" s="2">
        <v>60</v>
      </c>
      <c r="EG186" s="2" t="s">
        <v>270</v>
      </c>
      <c r="EH186" s="2">
        <v>0</v>
      </c>
      <c r="EI186" s="2" t="s">
        <v>3</v>
      </c>
      <c r="EJ186" s="2">
        <v>1</v>
      </c>
      <c r="EK186" s="2">
        <v>674</v>
      </c>
      <c r="EL186" s="2" t="s">
        <v>271</v>
      </c>
      <c r="EM186" s="2" t="s">
        <v>272</v>
      </c>
      <c r="EN186" s="2"/>
      <c r="EO186" s="2" t="s">
        <v>26</v>
      </c>
      <c r="EP186" s="2"/>
      <c r="EQ186" s="2">
        <v>131072</v>
      </c>
      <c r="ER186" s="2">
        <v>3623.88</v>
      </c>
      <c r="ES186" s="2">
        <v>0</v>
      </c>
      <c r="ET186" s="2">
        <v>1935.93</v>
      </c>
      <c r="EU186" s="2">
        <v>502.99</v>
      </c>
      <c r="EV186" s="2">
        <v>1687.95</v>
      </c>
      <c r="EW186" s="2">
        <v>155</v>
      </c>
      <c r="EX186" s="2">
        <v>0</v>
      </c>
      <c r="EY186" s="2">
        <v>0</v>
      </c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>
        <v>0</v>
      </c>
      <c r="FR186" s="2">
        <v>0</v>
      </c>
      <c r="FS186" s="2">
        <v>0</v>
      </c>
      <c r="FT186" s="2"/>
      <c r="FU186" s="2"/>
      <c r="FV186" s="2"/>
      <c r="FW186" s="2"/>
      <c r="FX186" s="2">
        <v>80</v>
      </c>
      <c r="FY186" s="2">
        <v>55</v>
      </c>
      <c r="FZ186" s="2"/>
      <c r="GA186" s="2" t="s">
        <v>3</v>
      </c>
      <c r="GB186" s="2"/>
      <c r="GC186" s="2"/>
      <c r="GD186" s="2">
        <v>0</v>
      </c>
      <c r="GE186" s="2"/>
      <c r="GF186" s="2">
        <v>854491468</v>
      </c>
      <c r="GG186" s="2">
        <v>2</v>
      </c>
      <c r="GH186" s="2">
        <v>1</v>
      </c>
      <c r="GI186" s="2">
        <v>-2</v>
      </c>
      <c r="GJ186" s="2">
        <v>0</v>
      </c>
      <c r="GK186" s="2">
        <f>ROUND(R186*(R12)/100,2)</f>
        <v>22.79</v>
      </c>
      <c r="GL186" s="2">
        <f t="shared" ref="GL186:GL219" si="195">ROUND(IF(AND(BH186=3,BI186=3,FS186&lt;&gt;0),P186,0),2)</f>
        <v>0</v>
      </c>
      <c r="GM186" s="2">
        <f t="shared" ref="GM186:GM219" si="196">ROUND(O186+X186+Y186+GK186,2)+GX186</f>
        <v>175.53</v>
      </c>
      <c r="GN186" s="2">
        <f t="shared" ref="GN186:GN219" si="197">IF(OR(BI186=0,BI186=1),GM186-GX186,0)</f>
        <v>175.53</v>
      </c>
      <c r="GO186" s="2">
        <f t="shared" ref="GO186:GO219" si="198">IF(BI186=2,GM186-GX186,0)</f>
        <v>0</v>
      </c>
      <c r="GP186" s="2">
        <f t="shared" ref="GP186:GP219" si="199">IF(BI186=4,GM186-GX186,0)</f>
        <v>0</v>
      </c>
      <c r="GQ186" s="2"/>
      <c r="GR186" s="2">
        <v>0</v>
      </c>
      <c r="GS186" s="2">
        <v>0</v>
      </c>
      <c r="GT186" s="2">
        <v>0</v>
      </c>
      <c r="GU186" s="2" t="s">
        <v>3</v>
      </c>
      <c r="GV186" s="2">
        <f t="shared" ref="GV186:GV219" si="200">ROUND((GT186),6)</f>
        <v>0</v>
      </c>
      <c r="GW186" s="2">
        <v>1</v>
      </c>
      <c r="GX186" s="2">
        <f t="shared" ref="GX186:GX219" si="201">ROUND(HC186*I186,2)</f>
        <v>0</v>
      </c>
      <c r="GY186" s="2"/>
      <c r="GZ186" s="2"/>
      <c r="HA186" s="2">
        <v>0</v>
      </c>
      <c r="HB186" s="2">
        <v>0</v>
      </c>
      <c r="HC186" s="2">
        <f t="shared" ref="HC186:HC219" si="202">GV186*GW186</f>
        <v>0</v>
      </c>
      <c r="HD186" s="2"/>
      <c r="HE186" s="2" t="s">
        <v>3</v>
      </c>
      <c r="HF186" s="2" t="s">
        <v>3</v>
      </c>
      <c r="HG186" s="2"/>
      <c r="HH186" s="2"/>
      <c r="HI186" s="2"/>
      <c r="HJ186" s="2"/>
      <c r="HK186" s="2"/>
      <c r="HL186" s="2"/>
      <c r="HM186" s="2" t="s">
        <v>3</v>
      </c>
      <c r="HN186" s="2" t="s">
        <v>3</v>
      </c>
      <c r="HO186" s="2" t="s">
        <v>3</v>
      </c>
      <c r="HP186" s="2" t="s">
        <v>3</v>
      </c>
      <c r="HQ186" s="2" t="s">
        <v>3</v>
      </c>
      <c r="HR186" s="2"/>
      <c r="HS186" s="2">
        <v>0</v>
      </c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>
        <v>0</v>
      </c>
      <c r="IL186" s="2"/>
      <c r="IM186" s="2"/>
      <c r="IN186" s="2"/>
      <c r="IO186" s="2"/>
      <c r="IP186" s="2"/>
      <c r="IQ186" s="2"/>
      <c r="IR186" s="2"/>
      <c r="IS186" s="2"/>
      <c r="IT186" s="2"/>
      <c r="IU186" s="2"/>
    </row>
    <row r="187" spans="1:255" x14ac:dyDescent="0.2">
      <c r="A187">
        <v>17</v>
      </c>
      <c r="B187">
        <v>1</v>
      </c>
      <c r="D187">
        <f>ROW(EtalonRes!A340)</f>
        <v>340</v>
      </c>
      <c r="E187" t="s">
        <v>265</v>
      </c>
      <c r="F187" t="s">
        <v>266</v>
      </c>
      <c r="G187" t="s">
        <v>267</v>
      </c>
      <c r="H187" t="s">
        <v>268</v>
      </c>
      <c r="I187">
        <f>ROUND(((27*0.04)+(9.8*0.13))/100,9)</f>
        <v>2.3539999999999998E-2</v>
      </c>
      <c r="J187">
        <v>0</v>
      </c>
      <c r="K187">
        <f>ROUND(((27*0.04)+(9.8*0.13))/100,9)</f>
        <v>2.3539999999999998E-2</v>
      </c>
      <c r="O187">
        <f t="shared" si="168"/>
        <v>2332.0500000000002</v>
      </c>
      <c r="P187">
        <f t="shared" si="169"/>
        <v>0</v>
      </c>
      <c r="Q187">
        <f t="shared" si="170"/>
        <v>824.65</v>
      </c>
      <c r="R187">
        <f t="shared" si="171"/>
        <v>449.32</v>
      </c>
      <c r="S187">
        <f t="shared" si="172"/>
        <v>1507.4</v>
      </c>
      <c r="T187">
        <f t="shared" si="173"/>
        <v>0</v>
      </c>
      <c r="U187">
        <f t="shared" si="174"/>
        <v>4.0111983449999995</v>
      </c>
      <c r="V187">
        <f t="shared" si="175"/>
        <v>0</v>
      </c>
      <c r="W187">
        <f t="shared" si="176"/>
        <v>0</v>
      </c>
      <c r="X187">
        <f t="shared" si="177"/>
        <v>1055.18</v>
      </c>
      <c r="Y187">
        <f t="shared" si="178"/>
        <v>618.03</v>
      </c>
      <c r="AA187">
        <v>56610029</v>
      </c>
      <c r="AB187">
        <f t="shared" si="179"/>
        <v>3805.0740000000001</v>
      </c>
      <c r="AC187">
        <f t="shared" si="180"/>
        <v>0</v>
      </c>
      <c r="AD187">
        <f t="shared" si="181"/>
        <v>2032.7265</v>
      </c>
      <c r="AE187">
        <f t="shared" si="182"/>
        <v>528.1395</v>
      </c>
      <c r="AF187">
        <f t="shared" si="182"/>
        <v>1772.3475000000001</v>
      </c>
      <c r="AG187">
        <f t="shared" si="183"/>
        <v>0</v>
      </c>
      <c r="AH187">
        <f t="shared" si="184"/>
        <v>162.75</v>
      </c>
      <c r="AI187">
        <f t="shared" si="184"/>
        <v>0</v>
      </c>
      <c r="AJ187">
        <f t="shared" si="185"/>
        <v>0</v>
      </c>
      <c r="AK187">
        <v>3623.88</v>
      </c>
      <c r="AL187">
        <v>0</v>
      </c>
      <c r="AM187">
        <v>1935.93</v>
      </c>
      <c r="AN187">
        <v>502.99</v>
      </c>
      <c r="AO187">
        <v>1687.95</v>
      </c>
      <c r="AP187">
        <v>0</v>
      </c>
      <c r="AQ187">
        <v>155</v>
      </c>
      <c r="AR187">
        <v>0</v>
      </c>
      <c r="AS187">
        <v>0</v>
      </c>
      <c r="AT187">
        <v>70</v>
      </c>
      <c r="AU187">
        <v>41</v>
      </c>
      <c r="AV187">
        <v>1.0469999999999999</v>
      </c>
      <c r="AW187">
        <v>1</v>
      </c>
      <c r="AZ187">
        <v>1</v>
      </c>
      <c r="BA187">
        <v>34.51</v>
      </c>
      <c r="BB187">
        <v>16.46</v>
      </c>
      <c r="BC187">
        <v>1</v>
      </c>
      <c r="BD187" t="s">
        <v>3</v>
      </c>
      <c r="BE187" t="s">
        <v>3</v>
      </c>
      <c r="BF187" t="s">
        <v>3</v>
      </c>
      <c r="BG187" t="s">
        <v>3</v>
      </c>
      <c r="BH187">
        <v>0</v>
      </c>
      <c r="BI187">
        <v>1</v>
      </c>
      <c r="BJ187" t="s">
        <v>269</v>
      </c>
      <c r="BM187">
        <v>674</v>
      </c>
      <c r="BN187">
        <v>0</v>
      </c>
      <c r="BO187" t="s">
        <v>266</v>
      </c>
      <c r="BP187">
        <v>1</v>
      </c>
      <c r="BQ187">
        <v>60</v>
      </c>
      <c r="BR187">
        <v>0</v>
      </c>
      <c r="BS187">
        <v>34.51</v>
      </c>
      <c r="BT187">
        <v>1</v>
      </c>
      <c r="BU187">
        <v>1</v>
      </c>
      <c r="BV187">
        <v>1</v>
      </c>
      <c r="BW187">
        <v>1</v>
      </c>
      <c r="BX187">
        <v>1</v>
      </c>
      <c r="BY187" t="s">
        <v>3</v>
      </c>
      <c r="BZ187">
        <v>70</v>
      </c>
      <c r="CA187">
        <v>41</v>
      </c>
      <c r="CB187" t="s">
        <v>3</v>
      </c>
      <c r="CE187">
        <v>30</v>
      </c>
      <c r="CF187">
        <v>0</v>
      </c>
      <c r="CG187">
        <v>0</v>
      </c>
      <c r="CM187">
        <v>0</v>
      </c>
      <c r="CN187" t="s">
        <v>708</v>
      </c>
      <c r="CO187">
        <v>0</v>
      </c>
      <c r="CP187">
        <f t="shared" si="186"/>
        <v>2332.0500000000002</v>
      </c>
      <c r="CQ187">
        <f t="shared" si="187"/>
        <v>0</v>
      </c>
      <c r="CR187">
        <f t="shared" si="188"/>
        <v>35031.160000000003</v>
      </c>
      <c r="CS187">
        <f t="shared" si="189"/>
        <v>19082.650000000001</v>
      </c>
      <c r="CT187">
        <f t="shared" si="190"/>
        <v>64038.48</v>
      </c>
      <c r="CU187">
        <f t="shared" si="191"/>
        <v>0</v>
      </c>
      <c r="CV187">
        <f t="shared" si="192"/>
        <v>170.39924999999999</v>
      </c>
      <c r="CW187">
        <f t="shared" si="193"/>
        <v>0</v>
      </c>
      <c r="CX187">
        <f t="shared" si="194"/>
        <v>0</v>
      </c>
      <c r="CY187">
        <f>S187*(BZ187/100)</f>
        <v>1055.18</v>
      </c>
      <c r="CZ187">
        <f>S187*(CA187/100)</f>
        <v>618.03399999999999</v>
      </c>
      <c r="DB187">
        <v>84</v>
      </c>
      <c r="DC187" t="s">
        <v>3</v>
      </c>
      <c r="DD187" t="s">
        <v>3</v>
      </c>
      <c r="DE187" t="s">
        <v>22</v>
      </c>
      <c r="DF187" t="s">
        <v>22</v>
      </c>
      <c r="DG187" t="s">
        <v>22</v>
      </c>
      <c r="DH187" t="s">
        <v>3</v>
      </c>
      <c r="DI187" t="s">
        <v>22</v>
      </c>
      <c r="DJ187" t="s">
        <v>22</v>
      </c>
      <c r="DK187" t="s">
        <v>3</v>
      </c>
      <c r="DL187" t="s">
        <v>3</v>
      </c>
      <c r="DM187" t="s">
        <v>3</v>
      </c>
      <c r="DN187">
        <v>80</v>
      </c>
      <c r="DO187">
        <v>55</v>
      </c>
      <c r="DP187">
        <v>1.0469999999999999</v>
      </c>
      <c r="DQ187">
        <v>1</v>
      </c>
      <c r="DU187">
        <v>1007</v>
      </c>
      <c r="DV187" t="s">
        <v>268</v>
      </c>
      <c r="DW187" t="s">
        <v>268</v>
      </c>
      <c r="DX187">
        <v>100</v>
      </c>
      <c r="DZ187" t="s">
        <v>3</v>
      </c>
      <c r="EA187" t="s">
        <v>3</v>
      </c>
      <c r="EB187" t="s">
        <v>3</v>
      </c>
      <c r="EC187" t="s">
        <v>3</v>
      </c>
      <c r="EE187">
        <v>51696713</v>
      </c>
      <c r="EF187">
        <v>60</v>
      </c>
      <c r="EG187" t="s">
        <v>270</v>
      </c>
      <c r="EH187">
        <v>0</v>
      </c>
      <c r="EI187" t="s">
        <v>3</v>
      </c>
      <c r="EJ187">
        <v>1</v>
      </c>
      <c r="EK187">
        <v>674</v>
      </c>
      <c r="EL187" t="s">
        <v>271</v>
      </c>
      <c r="EM187" t="s">
        <v>272</v>
      </c>
      <c r="EO187" t="s">
        <v>26</v>
      </c>
      <c r="EQ187">
        <v>131072</v>
      </c>
      <c r="ER187">
        <v>3623.88</v>
      </c>
      <c r="ES187">
        <v>0</v>
      </c>
      <c r="ET187">
        <v>1935.93</v>
      </c>
      <c r="EU187">
        <v>502.99</v>
      </c>
      <c r="EV187">
        <v>1687.95</v>
      </c>
      <c r="EW187">
        <v>155</v>
      </c>
      <c r="EX187">
        <v>0</v>
      </c>
      <c r="EY187">
        <v>0</v>
      </c>
      <c r="FQ187">
        <v>0</v>
      </c>
      <c r="FR187">
        <v>0</v>
      </c>
      <c r="FS187">
        <v>0</v>
      </c>
      <c r="FX187">
        <v>80</v>
      </c>
      <c r="FY187">
        <v>55</v>
      </c>
      <c r="GA187" t="s">
        <v>3</v>
      </c>
      <c r="GD187">
        <v>0</v>
      </c>
      <c r="GF187">
        <v>854491468</v>
      </c>
      <c r="GG187">
        <v>2</v>
      </c>
      <c r="GH187">
        <v>1</v>
      </c>
      <c r="GI187">
        <v>2</v>
      </c>
      <c r="GJ187">
        <v>0</v>
      </c>
      <c r="GK187">
        <f>ROUND(R187*(S12)/100,2)</f>
        <v>718.91</v>
      </c>
      <c r="GL187">
        <f t="shared" si="195"/>
        <v>0</v>
      </c>
      <c r="GM187">
        <f t="shared" si="196"/>
        <v>4724.17</v>
      </c>
      <c r="GN187">
        <f t="shared" si="197"/>
        <v>4724.17</v>
      </c>
      <c r="GO187">
        <f t="shared" si="198"/>
        <v>0</v>
      </c>
      <c r="GP187">
        <f t="shared" si="199"/>
        <v>0</v>
      </c>
      <c r="GR187">
        <v>0</v>
      </c>
      <c r="GS187">
        <v>3</v>
      </c>
      <c r="GT187">
        <v>0</v>
      </c>
      <c r="GU187" t="s">
        <v>3</v>
      </c>
      <c r="GV187">
        <f t="shared" si="200"/>
        <v>0</v>
      </c>
      <c r="GW187">
        <v>1</v>
      </c>
      <c r="GX187">
        <f t="shared" si="201"/>
        <v>0</v>
      </c>
      <c r="HA187">
        <v>0</v>
      </c>
      <c r="HB187">
        <v>0</v>
      </c>
      <c r="HC187">
        <f t="shared" si="202"/>
        <v>0</v>
      </c>
      <c r="HE187" t="s">
        <v>3</v>
      </c>
      <c r="HF187" t="s">
        <v>3</v>
      </c>
      <c r="HM187" t="s">
        <v>3</v>
      </c>
      <c r="HN187" t="s">
        <v>3</v>
      </c>
      <c r="HO187" t="s">
        <v>3</v>
      </c>
      <c r="HP187" t="s">
        <v>3</v>
      </c>
      <c r="HQ187" t="s">
        <v>3</v>
      </c>
      <c r="HS187">
        <v>0</v>
      </c>
      <c r="IK187">
        <v>0</v>
      </c>
    </row>
    <row r="188" spans="1:255" x14ac:dyDescent="0.2">
      <c r="A188" s="2">
        <v>17</v>
      </c>
      <c r="B188" s="2">
        <v>1</v>
      </c>
      <c r="C188" s="2"/>
      <c r="D188" s="2">
        <f>ROW(EtalonRes!A344)</f>
        <v>344</v>
      </c>
      <c r="E188" s="2" t="s">
        <v>273</v>
      </c>
      <c r="F188" s="2" t="s">
        <v>274</v>
      </c>
      <c r="G188" s="2" t="s">
        <v>275</v>
      </c>
      <c r="H188" s="2" t="s">
        <v>268</v>
      </c>
      <c r="I188" s="2">
        <f>ROUND(((9.8*0.17))/100,9)</f>
        <v>1.6660000000000001E-2</v>
      </c>
      <c r="J188" s="2">
        <v>0</v>
      </c>
      <c r="K188" s="2">
        <f>ROUND(((9.8*0.17))/100,9)</f>
        <v>1.6660000000000001E-2</v>
      </c>
      <c r="L188" s="2"/>
      <c r="M188" s="2"/>
      <c r="N188" s="2"/>
      <c r="O188" s="2">
        <f t="shared" si="168"/>
        <v>54.57</v>
      </c>
      <c r="P188" s="2">
        <f t="shared" si="169"/>
        <v>0</v>
      </c>
      <c r="Q188" s="2">
        <f t="shared" si="170"/>
        <v>43.13</v>
      </c>
      <c r="R188" s="2">
        <f t="shared" si="171"/>
        <v>3.22</v>
      </c>
      <c r="S188" s="2">
        <f t="shared" si="172"/>
        <v>11.44</v>
      </c>
      <c r="T188" s="2">
        <f t="shared" si="173"/>
        <v>0</v>
      </c>
      <c r="U188" s="2">
        <f t="shared" si="174"/>
        <v>0.90660096450000005</v>
      </c>
      <c r="V188" s="2">
        <f t="shared" si="175"/>
        <v>0</v>
      </c>
      <c r="W188" s="2">
        <f t="shared" si="176"/>
        <v>0</v>
      </c>
      <c r="X188" s="2">
        <f t="shared" si="177"/>
        <v>9.15</v>
      </c>
      <c r="Y188" s="2">
        <f t="shared" si="178"/>
        <v>6.29</v>
      </c>
      <c r="Z188" s="2"/>
      <c r="AA188" s="2">
        <v>56622490</v>
      </c>
      <c r="AB188" s="2">
        <f t="shared" si="179"/>
        <v>3128.7165</v>
      </c>
      <c r="AC188" s="2">
        <f t="shared" si="180"/>
        <v>0</v>
      </c>
      <c r="AD188" s="2">
        <f t="shared" si="181"/>
        <v>2472.7919999999999</v>
      </c>
      <c r="AE188" s="2">
        <f t="shared" si="182"/>
        <v>184.83150000000001</v>
      </c>
      <c r="AF188" s="2">
        <f t="shared" si="182"/>
        <v>655.92449999999997</v>
      </c>
      <c r="AG188" s="2">
        <f t="shared" si="183"/>
        <v>0</v>
      </c>
      <c r="AH188" s="2">
        <f t="shared" si="184"/>
        <v>51.975000000000001</v>
      </c>
      <c r="AI188" s="2">
        <f t="shared" si="184"/>
        <v>0</v>
      </c>
      <c r="AJ188" s="2">
        <f t="shared" si="185"/>
        <v>0</v>
      </c>
      <c r="AK188" s="2">
        <v>2979.73</v>
      </c>
      <c r="AL188" s="2">
        <v>0</v>
      </c>
      <c r="AM188" s="2">
        <v>2355.04</v>
      </c>
      <c r="AN188" s="2">
        <v>176.03</v>
      </c>
      <c r="AO188" s="2">
        <v>624.69000000000005</v>
      </c>
      <c r="AP188" s="2">
        <v>0</v>
      </c>
      <c r="AQ188" s="2">
        <v>49.5</v>
      </c>
      <c r="AR188" s="2">
        <v>0</v>
      </c>
      <c r="AS188" s="2">
        <v>0</v>
      </c>
      <c r="AT188" s="2">
        <v>80</v>
      </c>
      <c r="AU188" s="2">
        <v>55</v>
      </c>
      <c r="AV188" s="2">
        <v>1.0469999999999999</v>
      </c>
      <c r="AW188" s="2">
        <v>1</v>
      </c>
      <c r="AX188" s="2"/>
      <c r="AY188" s="2"/>
      <c r="AZ188" s="2">
        <v>1</v>
      </c>
      <c r="BA188" s="2">
        <v>1</v>
      </c>
      <c r="BB188" s="2">
        <v>1</v>
      </c>
      <c r="BC188" s="2">
        <v>1</v>
      </c>
      <c r="BD188" s="2" t="s">
        <v>3</v>
      </c>
      <c r="BE188" s="2" t="s">
        <v>3</v>
      </c>
      <c r="BF188" s="2" t="s">
        <v>3</v>
      </c>
      <c r="BG188" s="2" t="s">
        <v>3</v>
      </c>
      <c r="BH188" s="2">
        <v>0</v>
      </c>
      <c r="BI188" s="2">
        <v>1</v>
      </c>
      <c r="BJ188" s="2" t="s">
        <v>276</v>
      </c>
      <c r="BK188" s="2"/>
      <c r="BL188" s="2"/>
      <c r="BM188" s="2">
        <v>674</v>
      </c>
      <c r="BN188" s="2">
        <v>0</v>
      </c>
      <c r="BO188" s="2" t="s">
        <v>3</v>
      </c>
      <c r="BP188" s="2">
        <v>0</v>
      </c>
      <c r="BQ188" s="2">
        <v>60</v>
      </c>
      <c r="BR188" s="2">
        <v>0</v>
      </c>
      <c r="BS188" s="2">
        <v>1</v>
      </c>
      <c r="BT188" s="2">
        <v>1</v>
      </c>
      <c r="BU188" s="2">
        <v>1</v>
      </c>
      <c r="BV188" s="2">
        <v>1</v>
      </c>
      <c r="BW188" s="2">
        <v>1</v>
      </c>
      <c r="BX188" s="2">
        <v>1</v>
      </c>
      <c r="BY188" s="2" t="s">
        <v>3</v>
      </c>
      <c r="BZ188" s="2">
        <v>80</v>
      </c>
      <c r="CA188" s="2">
        <v>55</v>
      </c>
      <c r="CB188" s="2" t="s">
        <v>3</v>
      </c>
      <c r="CC188" s="2"/>
      <c r="CD188" s="2"/>
      <c r="CE188" s="2">
        <v>30</v>
      </c>
      <c r="CF188" s="2">
        <v>0</v>
      </c>
      <c r="CG188" s="2">
        <v>0</v>
      </c>
      <c r="CH188" s="2"/>
      <c r="CI188" s="2"/>
      <c r="CJ188" s="2"/>
      <c r="CK188" s="2"/>
      <c r="CL188" s="2"/>
      <c r="CM188" s="2">
        <v>0</v>
      </c>
      <c r="CN188" s="2" t="s">
        <v>708</v>
      </c>
      <c r="CO188" s="2">
        <v>0</v>
      </c>
      <c r="CP188" s="2">
        <f t="shared" si="186"/>
        <v>54.57</v>
      </c>
      <c r="CQ188" s="2">
        <f t="shared" si="187"/>
        <v>0</v>
      </c>
      <c r="CR188" s="2">
        <f t="shared" si="188"/>
        <v>2589.0100000000002</v>
      </c>
      <c r="CS188" s="2">
        <f t="shared" si="189"/>
        <v>193.52</v>
      </c>
      <c r="CT188" s="2">
        <f t="shared" si="190"/>
        <v>686.75</v>
      </c>
      <c r="CU188" s="2">
        <f t="shared" si="191"/>
        <v>0</v>
      </c>
      <c r="CV188" s="2">
        <f t="shared" si="192"/>
        <v>54.417825000000001</v>
      </c>
      <c r="CW188" s="2">
        <f t="shared" si="193"/>
        <v>0</v>
      </c>
      <c r="CX188" s="2">
        <f t="shared" si="194"/>
        <v>0</v>
      </c>
      <c r="CY188" s="2">
        <f>((S188*BZ188)/100)</f>
        <v>9.1519999999999992</v>
      </c>
      <c r="CZ188" s="2">
        <f>((S188*CA188)/100)</f>
        <v>6.2919999999999989</v>
      </c>
      <c r="DA188" s="2"/>
      <c r="DB188" s="2">
        <v>85</v>
      </c>
      <c r="DC188" s="2" t="s">
        <v>3</v>
      </c>
      <c r="DD188" s="2" t="s">
        <v>3</v>
      </c>
      <c r="DE188" s="2" t="s">
        <v>22</v>
      </c>
      <c r="DF188" s="2" t="s">
        <v>22</v>
      </c>
      <c r="DG188" s="2" t="s">
        <v>22</v>
      </c>
      <c r="DH188" s="2" t="s">
        <v>3</v>
      </c>
      <c r="DI188" s="2" t="s">
        <v>22</v>
      </c>
      <c r="DJ188" s="2" t="s">
        <v>22</v>
      </c>
      <c r="DK188" s="2" t="s">
        <v>3</v>
      </c>
      <c r="DL188" s="2" t="s">
        <v>3</v>
      </c>
      <c r="DM188" s="2" t="s">
        <v>3</v>
      </c>
      <c r="DN188" s="2">
        <v>0</v>
      </c>
      <c r="DO188" s="2">
        <v>0</v>
      </c>
      <c r="DP188" s="2">
        <v>1</v>
      </c>
      <c r="DQ188" s="2">
        <v>1</v>
      </c>
      <c r="DR188" s="2"/>
      <c r="DS188" s="2"/>
      <c r="DT188" s="2"/>
      <c r="DU188" s="2">
        <v>1007</v>
      </c>
      <c r="DV188" s="2" t="s">
        <v>268</v>
      </c>
      <c r="DW188" s="2" t="s">
        <v>268</v>
      </c>
      <c r="DX188" s="2">
        <v>100</v>
      </c>
      <c r="DY188" s="2"/>
      <c r="DZ188" s="2" t="s">
        <v>3</v>
      </c>
      <c r="EA188" s="2" t="s">
        <v>3</v>
      </c>
      <c r="EB188" s="2" t="s">
        <v>3</v>
      </c>
      <c r="EC188" s="2" t="s">
        <v>3</v>
      </c>
      <c r="ED188" s="2"/>
      <c r="EE188" s="2">
        <v>51696713</v>
      </c>
      <c r="EF188" s="2">
        <v>60</v>
      </c>
      <c r="EG188" s="2" t="s">
        <v>270</v>
      </c>
      <c r="EH188" s="2">
        <v>0</v>
      </c>
      <c r="EI188" s="2" t="s">
        <v>3</v>
      </c>
      <c r="EJ188" s="2">
        <v>1</v>
      </c>
      <c r="EK188" s="2">
        <v>674</v>
      </c>
      <c r="EL188" s="2" t="s">
        <v>271</v>
      </c>
      <c r="EM188" s="2" t="s">
        <v>272</v>
      </c>
      <c r="EN188" s="2"/>
      <c r="EO188" s="2" t="s">
        <v>26</v>
      </c>
      <c r="EP188" s="2"/>
      <c r="EQ188" s="2">
        <v>131072</v>
      </c>
      <c r="ER188" s="2">
        <v>2979.73</v>
      </c>
      <c r="ES188" s="2">
        <v>0</v>
      </c>
      <c r="ET188" s="2">
        <v>2355.04</v>
      </c>
      <c r="EU188" s="2">
        <v>176.03</v>
      </c>
      <c r="EV188" s="2">
        <v>624.69000000000005</v>
      </c>
      <c r="EW188" s="2">
        <v>49.5</v>
      </c>
      <c r="EX188" s="2">
        <v>0</v>
      </c>
      <c r="EY188" s="2">
        <v>0</v>
      </c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>
        <v>0</v>
      </c>
      <c r="FR188" s="2">
        <v>0</v>
      </c>
      <c r="FS188" s="2">
        <v>0</v>
      </c>
      <c r="FT188" s="2"/>
      <c r="FU188" s="2"/>
      <c r="FV188" s="2"/>
      <c r="FW188" s="2"/>
      <c r="FX188" s="2">
        <v>80</v>
      </c>
      <c r="FY188" s="2">
        <v>55</v>
      </c>
      <c r="FZ188" s="2"/>
      <c r="GA188" s="2" t="s">
        <v>3</v>
      </c>
      <c r="GB188" s="2"/>
      <c r="GC188" s="2"/>
      <c r="GD188" s="2">
        <v>0</v>
      </c>
      <c r="GE188" s="2"/>
      <c r="GF188" s="2">
        <v>-103070583</v>
      </c>
      <c r="GG188" s="2">
        <v>2</v>
      </c>
      <c r="GH188" s="2">
        <v>1</v>
      </c>
      <c r="GI188" s="2">
        <v>-2</v>
      </c>
      <c r="GJ188" s="2">
        <v>0</v>
      </c>
      <c r="GK188" s="2">
        <f>ROUND(R188*(R12)/100,2)</f>
        <v>5.64</v>
      </c>
      <c r="GL188" s="2">
        <f t="shared" si="195"/>
        <v>0</v>
      </c>
      <c r="GM188" s="2">
        <f t="shared" si="196"/>
        <v>75.650000000000006</v>
      </c>
      <c r="GN188" s="2">
        <f t="shared" si="197"/>
        <v>75.650000000000006</v>
      </c>
      <c r="GO188" s="2">
        <f t="shared" si="198"/>
        <v>0</v>
      </c>
      <c r="GP188" s="2">
        <f t="shared" si="199"/>
        <v>0</v>
      </c>
      <c r="GQ188" s="2"/>
      <c r="GR188" s="2">
        <v>0</v>
      </c>
      <c r="GS188" s="2">
        <v>0</v>
      </c>
      <c r="GT188" s="2">
        <v>0</v>
      </c>
      <c r="GU188" s="2" t="s">
        <v>3</v>
      </c>
      <c r="GV188" s="2">
        <f t="shared" si="200"/>
        <v>0</v>
      </c>
      <c r="GW188" s="2">
        <v>1</v>
      </c>
      <c r="GX188" s="2">
        <f t="shared" si="201"/>
        <v>0</v>
      </c>
      <c r="GY188" s="2"/>
      <c r="GZ188" s="2"/>
      <c r="HA188" s="2">
        <v>0</v>
      </c>
      <c r="HB188" s="2">
        <v>0</v>
      </c>
      <c r="HC188" s="2">
        <f t="shared" si="202"/>
        <v>0</v>
      </c>
      <c r="HD188" s="2"/>
      <c r="HE188" s="2" t="s">
        <v>3</v>
      </c>
      <c r="HF188" s="2" t="s">
        <v>3</v>
      </c>
      <c r="HG188" s="2"/>
      <c r="HH188" s="2"/>
      <c r="HI188" s="2"/>
      <c r="HJ188" s="2"/>
      <c r="HK188" s="2"/>
      <c r="HL188" s="2"/>
      <c r="HM188" s="2" t="s">
        <v>3</v>
      </c>
      <c r="HN188" s="2" t="s">
        <v>3</v>
      </c>
      <c r="HO188" s="2" t="s">
        <v>3</v>
      </c>
      <c r="HP188" s="2" t="s">
        <v>3</v>
      </c>
      <c r="HQ188" s="2" t="s">
        <v>3</v>
      </c>
      <c r="HR188" s="2"/>
      <c r="HS188" s="2">
        <v>0</v>
      </c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>
        <v>0</v>
      </c>
      <c r="IL188" s="2"/>
      <c r="IM188" s="2"/>
      <c r="IN188" s="2"/>
      <c r="IO188" s="2"/>
      <c r="IP188" s="2"/>
      <c r="IQ188" s="2"/>
      <c r="IR188" s="2"/>
      <c r="IS188" s="2"/>
      <c r="IT188" s="2"/>
      <c r="IU188" s="2"/>
    </row>
    <row r="189" spans="1:255" x14ac:dyDescent="0.2">
      <c r="A189">
        <v>17</v>
      </c>
      <c r="B189">
        <v>1</v>
      </c>
      <c r="D189">
        <f>ROW(EtalonRes!A348)</f>
        <v>348</v>
      </c>
      <c r="E189" t="s">
        <v>273</v>
      </c>
      <c r="F189" t="s">
        <v>274</v>
      </c>
      <c r="G189" t="s">
        <v>275</v>
      </c>
      <c r="H189" t="s">
        <v>268</v>
      </c>
      <c r="I189">
        <f>ROUND(((9.8*0.17))/100,9)</f>
        <v>1.6660000000000001E-2</v>
      </c>
      <c r="J189">
        <v>0</v>
      </c>
      <c r="K189">
        <f>ROUND(((9.8*0.17))/100,9)</f>
        <v>1.6660000000000001E-2</v>
      </c>
      <c r="O189">
        <f t="shared" si="168"/>
        <v>884.32</v>
      </c>
      <c r="P189">
        <f t="shared" si="169"/>
        <v>0</v>
      </c>
      <c r="Q189">
        <f t="shared" si="170"/>
        <v>489.53</v>
      </c>
      <c r="R189">
        <f t="shared" si="171"/>
        <v>111.12</v>
      </c>
      <c r="S189">
        <f t="shared" si="172"/>
        <v>394.79</v>
      </c>
      <c r="T189">
        <f t="shared" si="173"/>
        <v>0</v>
      </c>
      <c r="U189">
        <f t="shared" si="174"/>
        <v>0.90660096450000005</v>
      </c>
      <c r="V189">
        <f t="shared" si="175"/>
        <v>0</v>
      </c>
      <c r="W189">
        <f t="shared" si="176"/>
        <v>0</v>
      </c>
      <c r="X189">
        <f t="shared" si="177"/>
        <v>276.35000000000002</v>
      </c>
      <c r="Y189">
        <f t="shared" si="178"/>
        <v>161.86000000000001</v>
      </c>
      <c r="AA189">
        <v>56610029</v>
      </c>
      <c r="AB189">
        <f t="shared" si="179"/>
        <v>3128.7165</v>
      </c>
      <c r="AC189">
        <f t="shared" si="180"/>
        <v>0</v>
      </c>
      <c r="AD189">
        <f t="shared" si="181"/>
        <v>2472.7919999999999</v>
      </c>
      <c r="AE189">
        <f t="shared" si="182"/>
        <v>184.83150000000001</v>
      </c>
      <c r="AF189">
        <f t="shared" si="182"/>
        <v>655.92449999999997</v>
      </c>
      <c r="AG189">
        <f t="shared" si="183"/>
        <v>0</v>
      </c>
      <c r="AH189">
        <f t="shared" si="184"/>
        <v>51.975000000000001</v>
      </c>
      <c r="AI189">
        <f t="shared" si="184"/>
        <v>0</v>
      </c>
      <c r="AJ189">
        <f t="shared" si="185"/>
        <v>0</v>
      </c>
      <c r="AK189">
        <v>2979.73</v>
      </c>
      <c r="AL189">
        <v>0</v>
      </c>
      <c r="AM189">
        <v>2355.04</v>
      </c>
      <c r="AN189">
        <v>176.03</v>
      </c>
      <c r="AO189">
        <v>624.69000000000005</v>
      </c>
      <c r="AP189">
        <v>0</v>
      </c>
      <c r="AQ189">
        <v>49.5</v>
      </c>
      <c r="AR189">
        <v>0</v>
      </c>
      <c r="AS189">
        <v>0</v>
      </c>
      <c r="AT189">
        <v>70</v>
      </c>
      <c r="AU189">
        <v>41</v>
      </c>
      <c r="AV189">
        <v>1.0469999999999999</v>
      </c>
      <c r="AW189">
        <v>1</v>
      </c>
      <c r="AZ189">
        <v>1</v>
      </c>
      <c r="BA189">
        <v>34.51</v>
      </c>
      <c r="BB189">
        <v>11.35</v>
      </c>
      <c r="BC189">
        <v>1</v>
      </c>
      <c r="BD189" t="s">
        <v>3</v>
      </c>
      <c r="BE189" t="s">
        <v>3</v>
      </c>
      <c r="BF189" t="s">
        <v>3</v>
      </c>
      <c r="BG189" t="s">
        <v>3</v>
      </c>
      <c r="BH189">
        <v>0</v>
      </c>
      <c r="BI189">
        <v>1</v>
      </c>
      <c r="BJ189" t="s">
        <v>276</v>
      </c>
      <c r="BM189">
        <v>674</v>
      </c>
      <c r="BN189">
        <v>0</v>
      </c>
      <c r="BO189" t="s">
        <v>274</v>
      </c>
      <c r="BP189">
        <v>1</v>
      </c>
      <c r="BQ189">
        <v>60</v>
      </c>
      <c r="BR189">
        <v>0</v>
      </c>
      <c r="BS189">
        <v>34.51</v>
      </c>
      <c r="BT189">
        <v>1</v>
      </c>
      <c r="BU189">
        <v>1</v>
      </c>
      <c r="BV189">
        <v>1</v>
      </c>
      <c r="BW189">
        <v>1</v>
      </c>
      <c r="BX189">
        <v>1</v>
      </c>
      <c r="BY189" t="s">
        <v>3</v>
      </c>
      <c r="BZ189">
        <v>70</v>
      </c>
      <c r="CA189">
        <v>41</v>
      </c>
      <c r="CB189" t="s">
        <v>3</v>
      </c>
      <c r="CE189">
        <v>30</v>
      </c>
      <c r="CF189">
        <v>0</v>
      </c>
      <c r="CG189">
        <v>0</v>
      </c>
      <c r="CM189">
        <v>0</v>
      </c>
      <c r="CN189" t="s">
        <v>708</v>
      </c>
      <c r="CO189">
        <v>0</v>
      </c>
      <c r="CP189">
        <f t="shared" si="186"/>
        <v>884.31999999999994</v>
      </c>
      <c r="CQ189">
        <f t="shared" si="187"/>
        <v>0</v>
      </c>
      <c r="CR189">
        <f t="shared" si="188"/>
        <v>29385.26</v>
      </c>
      <c r="CS189">
        <f t="shared" si="189"/>
        <v>6678.38</v>
      </c>
      <c r="CT189">
        <f t="shared" si="190"/>
        <v>23699.74</v>
      </c>
      <c r="CU189">
        <f t="shared" si="191"/>
        <v>0</v>
      </c>
      <c r="CV189">
        <f t="shared" si="192"/>
        <v>54.417825000000001</v>
      </c>
      <c r="CW189">
        <f t="shared" si="193"/>
        <v>0</v>
      </c>
      <c r="CX189">
        <f t="shared" si="194"/>
        <v>0</v>
      </c>
      <c r="CY189">
        <f>S189*(BZ189/100)</f>
        <v>276.35300000000001</v>
      </c>
      <c r="CZ189">
        <f>S189*(CA189/100)</f>
        <v>161.8639</v>
      </c>
      <c r="DB189">
        <v>86</v>
      </c>
      <c r="DC189" t="s">
        <v>3</v>
      </c>
      <c r="DD189" t="s">
        <v>3</v>
      </c>
      <c r="DE189" t="s">
        <v>22</v>
      </c>
      <c r="DF189" t="s">
        <v>22</v>
      </c>
      <c r="DG189" t="s">
        <v>22</v>
      </c>
      <c r="DH189" t="s">
        <v>3</v>
      </c>
      <c r="DI189" t="s">
        <v>22</v>
      </c>
      <c r="DJ189" t="s">
        <v>22</v>
      </c>
      <c r="DK189" t="s">
        <v>3</v>
      </c>
      <c r="DL189" t="s">
        <v>3</v>
      </c>
      <c r="DM189" t="s">
        <v>3</v>
      </c>
      <c r="DN189">
        <v>80</v>
      </c>
      <c r="DO189">
        <v>55</v>
      </c>
      <c r="DP189">
        <v>1.0469999999999999</v>
      </c>
      <c r="DQ189">
        <v>1</v>
      </c>
      <c r="DU189">
        <v>1007</v>
      </c>
      <c r="DV189" t="s">
        <v>268</v>
      </c>
      <c r="DW189" t="s">
        <v>268</v>
      </c>
      <c r="DX189">
        <v>100</v>
      </c>
      <c r="DZ189" t="s">
        <v>3</v>
      </c>
      <c r="EA189" t="s">
        <v>3</v>
      </c>
      <c r="EB189" t="s">
        <v>3</v>
      </c>
      <c r="EC189" t="s">
        <v>3</v>
      </c>
      <c r="EE189">
        <v>51696713</v>
      </c>
      <c r="EF189">
        <v>60</v>
      </c>
      <c r="EG189" t="s">
        <v>270</v>
      </c>
      <c r="EH189">
        <v>0</v>
      </c>
      <c r="EI189" t="s">
        <v>3</v>
      </c>
      <c r="EJ189">
        <v>1</v>
      </c>
      <c r="EK189">
        <v>674</v>
      </c>
      <c r="EL189" t="s">
        <v>271</v>
      </c>
      <c r="EM189" t="s">
        <v>272</v>
      </c>
      <c r="EO189" t="s">
        <v>26</v>
      </c>
      <c r="EQ189">
        <v>131072</v>
      </c>
      <c r="ER189">
        <v>2979.73</v>
      </c>
      <c r="ES189">
        <v>0</v>
      </c>
      <c r="ET189">
        <v>2355.04</v>
      </c>
      <c r="EU189">
        <v>176.03</v>
      </c>
      <c r="EV189">
        <v>624.69000000000005</v>
      </c>
      <c r="EW189">
        <v>49.5</v>
      </c>
      <c r="EX189">
        <v>0</v>
      </c>
      <c r="EY189">
        <v>0</v>
      </c>
      <c r="FQ189">
        <v>0</v>
      </c>
      <c r="FR189">
        <v>0</v>
      </c>
      <c r="FS189">
        <v>0</v>
      </c>
      <c r="FX189">
        <v>80</v>
      </c>
      <c r="FY189">
        <v>55</v>
      </c>
      <c r="GA189" t="s">
        <v>3</v>
      </c>
      <c r="GD189">
        <v>0</v>
      </c>
      <c r="GF189">
        <v>-103070583</v>
      </c>
      <c r="GG189">
        <v>2</v>
      </c>
      <c r="GH189">
        <v>1</v>
      </c>
      <c r="GI189">
        <v>2</v>
      </c>
      <c r="GJ189">
        <v>0</v>
      </c>
      <c r="GK189">
        <f>ROUND(R189*(S12)/100,2)</f>
        <v>177.79</v>
      </c>
      <c r="GL189">
        <f t="shared" si="195"/>
        <v>0</v>
      </c>
      <c r="GM189">
        <f t="shared" si="196"/>
        <v>1500.32</v>
      </c>
      <c r="GN189">
        <f t="shared" si="197"/>
        <v>1500.32</v>
      </c>
      <c r="GO189">
        <f t="shared" si="198"/>
        <v>0</v>
      </c>
      <c r="GP189">
        <f t="shared" si="199"/>
        <v>0</v>
      </c>
      <c r="GR189">
        <v>0</v>
      </c>
      <c r="GS189">
        <v>3</v>
      </c>
      <c r="GT189">
        <v>0</v>
      </c>
      <c r="GU189" t="s">
        <v>3</v>
      </c>
      <c r="GV189">
        <f t="shared" si="200"/>
        <v>0</v>
      </c>
      <c r="GW189">
        <v>1</v>
      </c>
      <c r="GX189">
        <f t="shared" si="201"/>
        <v>0</v>
      </c>
      <c r="HA189">
        <v>0</v>
      </c>
      <c r="HB189">
        <v>0</v>
      </c>
      <c r="HC189">
        <f t="shared" si="202"/>
        <v>0</v>
      </c>
      <c r="HE189" t="s">
        <v>3</v>
      </c>
      <c r="HF189" t="s">
        <v>3</v>
      </c>
      <c r="HM189" t="s">
        <v>3</v>
      </c>
      <c r="HN189" t="s">
        <v>3</v>
      </c>
      <c r="HO189" t="s">
        <v>3</v>
      </c>
      <c r="HP189" t="s">
        <v>3</v>
      </c>
      <c r="HQ189" t="s">
        <v>3</v>
      </c>
      <c r="HS189">
        <v>0</v>
      </c>
      <c r="IK189">
        <v>0</v>
      </c>
    </row>
    <row r="190" spans="1:255" x14ac:dyDescent="0.2">
      <c r="A190" s="2">
        <v>17</v>
      </c>
      <c r="B190" s="2">
        <v>1</v>
      </c>
      <c r="C190" s="2"/>
      <c r="D190" s="2">
        <f>ROW(EtalonRes!A349)</f>
        <v>349</v>
      </c>
      <c r="E190" s="2" t="s">
        <v>277</v>
      </c>
      <c r="F190" s="2" t="s">
        <v>278</v>
      </c>
      <c r="G190" s="2" t="s">
        <v>279</v>
      </c>
      <c r="H190" s="2" t="s">
        <v>280</v>
      </c>
      <c r="I190" s="2">
        <f>ROUND((I186*2.4+I188*2.2)*100,9)</f>
        <v>9.3148</v>
      </c>
      <c r="J190" s="2">
        <v>0</v>
      </c>
      <c r="K190" s="2">
        <f>ROUND((I186*2.4+I188*2.2)*100,9)</f>
        <v>9.3148</v>
      </c>
      <c r="L190" s="2"/>
      <c r="M190" s="2"/>
      <c r="N190" s="2"/>
      <c r="O190" s="2">
        <f t="shared" si="168"/>
        <v>90.73</v>
      </c>
      <c r="P190" s="2">
        <f t="shared" si="169"/>
        <v>0</v>
      </c>
      <c r="Q190" s="2">
        <f t="shared" si="170"/>
        <v>90.73</v>
      </c>
      <c r="R190" s="2">
        <f t="shared" si="171"/>
        <v>15.16</v>
      </c>
      <c r="S190" s="2">
        <f t="shared" si="172"/>
        <v>0</v>
      </c>
      <c r="T190" s="2">
        <f t="shared" si="173"/>
        <v>0</v>
      </c>
      <c r="U190" s="2">
        <f t="shared" si="174"/>
        <v>0</v>
      </c>
      <c r="V190" s="2">
        <f t="shared" si="175"/>
        <v>0</v>
      </c>
      <c r="W190" s="2">
        <f t="shared" si="176"/>
        <v>0</v>
      </c>
      <c r="X190" s="2">
        <f t="shared" si="177"/>
        <v>0</v>
      </c>
      <c r="Y190" s="2">
        <f t="shared" si="178"/>
        <v>0</v>
      </c>
      <c r="Z190" s="2"/>
      <c r="AA190" s="2">
        <v>56622490</v>
      </c>
      <c r="AB190" s="2">
        <f t="shared" si="179"/>
        <v>9.3030000000000008</v>
      </c>
      <c r="AC190" s="2">
        <f t="shared" si="180"/>
        <v>0</v>
      </c>
      <c r="AD190" s="2">
        <f t="shared" si="181"/>
        <v>9.3030000000000008</v>
      </c>
      <c r="AE190" s="2">
        <f t="shared" si="182"/>
        <v>1.554</v>
      </c>
      <c r="AF190" s="2">
        <f t="shared" si="182"/>
        <v>0</v>
      </c>
      <c r="AG190" s="2">
        <f t="shared" si="183"/>
        <v>0</v>
      </c>
      <c r="AH190" s="2">
        <f t="shared" si="184"/>
        <v>0</v>
      </c>
      <c r="AI190" s="2">
        <f t="shared" si="184"/>
        <v>0</v>
      </c>
      <c r="AJ190" s="2">
        <f t="shared" si="185"/>
        <v>0</v>
      </c>
      <c r="AK190" s="2">
        <v>8.86</v>
      </c>
      <c r="AL190" s="2">
        <v>0</v>
      </c>
      <c r="AM190" s="2">
        <v>8.86</v>
      </c>
      <c r="AN190" s="2">
        <v>1.48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91</v>
      </c>
      <c r="AU190" s="2">
        <v>70</v>
      </c>
      <c r="AV190" s="2">
        <v>1.0469999999999999</v>
      </c>
      <c r="AW190" s="2">
        <v>1.002</v>
      </c>
      <c r="AX190" s="2"/>
      <c r="AY190" s="2"/>
      <c r="AZ190" s="2">
        <v>1</v>
      </c>
      <c r="BA190" s="2">
        <v>1</v>
      </c>
      <c r="BB190" s="2">
        <v>1</v>
      </c>
      <c r="BC190" s="2">
        <v>1</v>
      </c>
      <c r="BD190" s="2" t="s">
        <v>3</v>
      </c>
      <c r="BE190" s="2" t="s">
        <v>3</v>
      </c>
      <c r="BF190" s="2" t="s">
        <v>3</v>
      </c>
      <c r="BG190" s="2" t="s">
        <v>3</v>
      </c>
      <c r="BH190" s="2">
        <v>0</v>
      </c>
      <c r="BI190" s="2">
        <v>1</v>
      </c>
      <c r="BJ190" s="2" t="s">
        <v>281</v>
      </c>
      <c r="BK190" s="2"/>
      <c r="BL190" s="2"/>
      <c r="BM190" s="2">
        <v>658</v>
      </c>
      <c r="BN190" s="2">
        <v>0</v>
      </c>
      <c r="BO190" s="2" t="s">
        <v>3</v>
      </c>
      <c r="BP190" s="2">
        <v>0</v>
      </c>
      <c r="BQ190" s="2">
        <v>60</v>
      </c>
      <c r="BR190" s="2">
        <v>0</v>
      </c>
      <c r="BS190" s="2">
        <v>1</v>
      </c>
      <c r="BT190" s="2">
        <v>1</v>
      </c>
      <c r="BU190" s="2">
        <v>1</v>
      </c>
      <c r="BV190" s="2">
        <v>1</v>
      </c>
      <c r="BW190" s="2">
        <v>1</v>
      </c>
      <c r="BX190" s="2">
        <v>1</v>
      </c>
      <c r="BY190" s="2" t="s">
        <v>3</v>
      </c>
      <c r="BZ190" s="2">
        <v>91</v>
      </c>
      <c r="CA190" s="2">
        <v>70</v>
      </c>
      <c r="CB190" s="2" t="s">
        <v>3</v>
      </c>
      <c r="CC190" s="2"/>
      <c r="CD190" s="2"/>
      <c r="CE190" s="2">
        <v>30</v>
      </c>
      <c r="CF190" s="2">
        <v>0</v>
      </c>
      <c r="CG190" s="2">
        <v>0</v>
      </c>
      <c r="CH190" s="2"/>
      <c r="CI190" s="2"/>
      <c r="CJ190" s="2"/>
      <c r="CK190" s="2"/>
      <c r="CL190" s="2"/>
      <c r="CM190" s="2">
        <v>0</v>
      </c>
      <c r="CN190" s="2" t="s">
        <v>708</v>
      </c>
      <c r="CO190" s="2">
        <v>0</v>
      </c>
      <c r="CP190" s="2">
        <f t="shared" si="186"/>
        <v>90.73</v>
      </c>
      <c r="CQ190" s="2">
        <f t="shared" si="187"/>
        <v>0</v>
      </c>
      <c r="CR190" s="2">
        <f t="shared" si="188"/>
        <v>9.74</v>
      </c>
      <c r="CS190" s="2">
        <f t="shared" si="189"/>
        <v>1.63</v>
      </c>
      <c r="CT190" s="2">
        <f t="shared" si="190"/>
        <v>0</v>
      </c>
      <c r="CU190" s="2">
        <f t="shared" si="191"/>
        <v>0</v>
      </c>
      <c r="CV190" s="2">
        <f t="shared" si="192"/>
        <v>0</v>
      </c>
      <c r="CW190" s="2">
        <f t="shared" si="193"/>
        <v>0</v>
      </c>
      <c r="CX190" s="2">
        <f t="shared" si="194"/>
        <v>0</v>
      </c>
      <c r="CY190" s="2">
        <f>((S190*BZ190)/100)</f>
        <v>0</v>
      </c>
      <c r="CZ190" s="2">
        <f>((S190*CA190)/100)</f>
        <v>0</v>
      </c>
      <c r="DA190" s="2"/>
      <c r="DB190" s="2">
        <v>87</v>
      </c>
      <c r="DC190" s="2" t="s">
        <v>3</v>
      </c>
      <c r="DD190" s="2" t="s">
        <v>3</v>
      </c>
      <c r="DE190" s="2" t="s">
        <v>22</v>
      </c>
      <c r="DF190" s="2" t="s">
        <v>22</v>
      </c>
      <c r="DG190" s="2" t="s">
        <v>22</v>
      </c>
      <c r="DH190" s="2" t="s">
        <v>3</v>
      </c>
      <c r="DI190" s="2" t="s">
        <v>22</v>
      </c>
      <c r="DJ190" s="2" t="s">
        <v>22</v>
      </c>
      <c r="DK190" s="2" t="s">
        <v>3</v>
      </c>
      <c r="DL190" s="2" t="s">
        <v>3</v>
      </c>
      <c r="DM190" s="2" t="s">
        <v>3</v>
      </c>
      <c r="DN190" s="2">
        <v>0</v>
      </c>
      <c r="DO190" s="2">
        <v>0</v>
      </c>
      <c r="DP190" s="2">
        <v>1</v>
      </c>
      <c r="DQ190" s="2">
        <v>1</v>
      </c>
      <c r="DR190" s="2"/>
      <c r="DS190" s="2"/>
      <c r="DT190" s="2"/>
      <c r="DU190" s="2">
        <v>1013</v>
      </c>
      <c r="DV190" s="2" t="s">
        <v>280</v>
      </c>
      <c r="DW190" s="2" t="s">
        <v>280</v>
      </c>
      <c r="DX190" s="2">
        <v>1</v>
      </c>
      <c r="DY190" s="2"/>
      <c r="DZ190" s="2" t="s">
        <v>3</v>
      </c>
      <c r="EA190" s="2" t="s">
        <v>3</v>
      </c>
      <c r="EB190" s="2" t="s">
        <v>3</v>
      </c>
      <c r="EC190" s="2" t="s">
        <v>3</v>
      </c>
      <c r="ED190" s="2"/>
      <c r="EE190" s="2">
        <v>51696697</v>
      </c>
      <c r="EF190" s="2">
        <v>60</v>
      </c>
      <c r="EG190" s="2" t="s">
        <v>270</v>
      </c>
      <c r="EH190" s="2">
        <v>0</v>
      </c>
      <c r="EI190" s="2" t="s">
        <v>3</v>
      </c>
      <c r="EJ190" s="2">
        <v>1</v>
      </c>
      <c r="EK190" s="2">
        <v>658</v>
      </c>
      <c r="EL190" s="2" t="s">
        <v>282</v>
      </c>
      <c r="EM190" s="2" t="s">
        <v>283</v>
      </c>
      <c r="EN190" s="2"/>
      <c r="EO190" s="2" t="s">
        <v>26</v>
      </c>
      <c r="EP190" s="2"/>
      <c r="EQ190" s="2">
        <v>131072</v>
      </c>
      <c r="ER190" s="2">
        <v>8.86</v>
      </c>
      <c r="ES190" s="2">
        <v>0</v>
      </c>
      <c r="ET190" s="2">
        <v>8.86</v>
      </c>
      <c r="EU190" s="2">
        <v>1.48</v>
      </c>
      <c r="EV190" s="2">
        <v>0</v>
      </c>
      <c r="EW190" s="2">
        <v>0</v>
      </c>
      <c r="EX190" s="2">
        <v>0</v>
      </c>
      <c r="EY190" s="2">
        <v>0</v>
      </c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>
        <v>0</v>
      </c>
      <c r="FR190" s="2">
        <v>0</v>
      </c>
      <c r="FS190" s="2">
        <v>0</v>
      </c>
      <c r="FT190" s="2"/>
      <c r="FU190" s="2"/>
      <c r="FV190" s="2"/>
      <c r="FW190" s="2"/>
      <c r="FX190" s="2">
        <v>91</v>
      </c>
      <c r="FY190" s="2">
        <v>70</v>
      </c>
      <c r="FZ190" s="2"/>
      <c r="GA190" s="2" t="s">
        <v>3</v>
      </c>
      <c r="GB190" s="2"/>
      <c r="GC190" s="2"/>
      <c r="GD190" s="2">
        <v>0</v>
      </c>
      <c r="GE190" s="2"/>
      <c r="GF190" s="2">
        <v>-714011973</v>
      </c>
      <c r="GG190" s="2">
        <v>2</v>
      </c>
      <c r="GH190" s="2">
        <v>1</v>
      </c>
      <c r="GI190" s="2">
        <v>-2</v>
      </c>
      <c r="GJ190" s="2">
        <v>0</v>
      </c>
      <c r="GK190" s="2">
        <f>ROUND(R190*(R12)/100,2)</f>
        <v>26.53</v>
      </c>
      <c r="GL190" s="2">
        <f t="shared" si="195"/>
        <v>0</v>
      </c>
      <c r="GM190" s="2">
        <f t="shared" si="196"/>
        <v>117.26</v>
      </c>
      <c r="GN190" s="2">
        <f t="shared" si="197"/>
        <v>117.26</v>
      </c>
      <c r="GO190" s="2">
        <f t="shared" si="198"/>
        <v>0</v>
      </c>
      <c r="GP190" s="2">
        <f t="shared" si="199"/>
        <v>0</v>
      </c>
      <c r="GQ190" s="2"/>
      <c r="GR190" s="2">
        <v>0</v>
      </c>
      <c r="GS190" s="2">
        <v>0</v>
      </c>
      <c r="GT190" s="2">
        <v>0</v>
      </c>
      <c r="GU190" s="2" t="s">
        <v>3</v>
      </c>
      <c r="GV190" s="2">
        <f t="shared" si="200"/>
        <v>0</v>
      </c>
      <c r="GW190" s="2">
        <v>1</v>
      </c>
      <c r="GX190" s="2">
        <f t="shared" si="201"/>
        <v>0</v>
      </c>
      <c r="GY190" s="2"/>
      <c r="GZ190" s="2"/>
      <c r="HA190" s="2">
        <v>0</v>
      </c>
      <c r="HB190" s="2">
        <v>0</v>
      </c>
      <c r="HC190" s="2">
        <f t="shared" si="202"/>
        <v>0</v>
      </c>
      <c r="HD190" s="2"/>
      <c r="HE190" s="2" t="s">
        <v>3</v>
      </c>
      <c r="HF190" s="2" t="s">
        <v>3</v>
      </c>
      <c r="HG190" s="2"/>
      <c r="HH190" s="2"/>
      <c r="HI190" s="2"/>
      <c r="HJ190" s="2"/>
      <c r="HK190" s="2"/>
      <c r="HL190" s="2"/>
      <c r="HM190" s="2" t="s">
        <v>3</v>
      </c>
      <c r="HN190" s="2" t="s">
        <v>3</v>
      </c>
      <c r="HO190" s="2" t="s">
        <v>3</v>
      </c>
      <c r="HP190" s="2" t="s">
        <v>3</v>
      </c>
      <c r="HQ190" s="2" t="s">
        <v>3</v>
      </c>
      <c r="HR190" s="2"/>
      <c r="HS190" s="2">
        <v>0</v>
      </c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>
        <v>0</v>
      </c>
      <c r="IL190" s="2"/>
      <c r="IM190" s="2"/>
      <c r="IN190" s="2"/>
      <c r="IO190" s="2"/>
      <c r="IP190" s="2"/>
      <c r="IQ190" s="2"/>
      <c r="IR190" s="2"/>
      <c r="IS190" s="2"/>
      <c r="IT190" s="2"/>
      <c r="IU190" s="2"/>
    </row>
    <row r="191" spans="1:255" x14ac:dyDescent="0.2">
      <c r="A191">
        <v>17</v>
      </c>
      <c r="B191">
        <v>1</v>
      </c>
      <c r="D191">
        <f>ROW(EtalonRes!A350)</f>
        <v>350</v>
      </c>
      <c r="E191" t="s">
        <v>277</v>
      </c>
      <c r="F191" t="s">
        <v>278</v>
      </c>
      <c r="G191" t="s">
        <v>279</v>
      </c>
      <c r="H191" t="s">
        <v>280</v>
      </c>
      <c r="I191">
        <f>ROUND((I187*2.4+I189*2.2)*100,9)</f>
        <v>9.3148</v>
      </c>
      <c r="J191">
        <v>0</v>
      </c>
      <c r="K191">
        <f>ROUND((I187*2.4+I189*2.2)*100,9)</f>
        <v>9.3148</v>
      </c>
      <c r="O191">
        <f t="shared" si="168"/>
        <v>1227.58</v>
      </c>
      <c r="P191">
        <f t="shared" si="169"/>
        <v>0</v>
      </c>
      <c r="Q191">
        <f t="shared" si="170"/>
        <v>1227.58</v>
      </c>
      <c r="R191">
        <f t="shared" si="171"/>
        <v>523.16999999999996</v>
      </c>
      <c r="S191">
        <f t="shared" si="172"/>
        <v>0</v>
      </c>
      <c r="T191">
        <f t="shared" si="173"/>
        <v>0</v>
      </c>
      <c r="U191">
        <f t="shared" si="174"/>
        <v>0</v>
      </c>
      <c r="V191">
        <f t="shared" si="175"/>
        <v>0</v>
      </c>
      <c r="W191">
        <f t="shared" si="176"/>
        <v>0</v>
      </c>
      <c r="X191">
        <f t="shared" si="177"/>
        <v>0</v>
      </c>
      <c r="Y191">
        <f t="shared" si="178"/>
        <v>0</v>
      </c>
      <c r="AA191">
        <v>56610029</v>
      </c>
      <c r="AB191">
        <f t="shared" si="179"/>
        <v>9.3030000000000008</v>
      </c>
      <c r="AC191">
        <f t="shared" si="180"/>
        <v>0</v>
      </c>
      <c r="AD191">
        <f t="shared" si="181"/>
        <v>9.3030000000000008</v>
      </c>
      <c r="AE191">
        <f t="shared" si="182"/>
        <v>1.554</v>
      </c>
      <c r="AF191">
        <f t="shared" si="182"/>
        <v>0</v>
      </c>
      <c r="AG191">
        <f t="shared" si="183"/>
        <v>0</v>
      </c>
      <c r="AH191">
        <f t="shared" si="184"/>
        <v>0</v>
      </c>
      <c r="AI191">
        <f t="shared" si="184"/>
        <v>0</v>
      </c>
      <c r="AJ191">
        <f t="shared" si="185"/>
        <v>0</v>
      </c>
      <c r="AK191">
        <v>8.86</v>
      </c>
      <c r="AL191">
        <v>0</v>
      </c>
      <c r="AM191">
        <v>8.86</v>
      </c>
      <c r="AN191">
        <v>1.48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75</v>
      </c>
      <c r="AU191">
        <v>41</v>
      </c>
      <c r="AV191">
        <v>1.0469999999999999</v>
      </c>
      <c r="AW191">
        <v>1.002</v>
      </c>
      <c r="AZ191">
        <v>1</v>
      </c>
      <c r="BA191">
        <v>34.51</v>
      </c>
      <c r="BB191">
        <v>13.53</v>
      </c>
      <c r="BC191">
        <v>1</v>
      </c>
      <c r="BD191" t="s">
        <v>3</v>
      </c>
      <c r="BE191" t="s">
        <v>3</v>
      </c>
      <c r="BF191" t="s">
        <v>3</v>
      </c>
      <c r="BG191" t="s">
        <v>3</v>
      </c>
      <c r="BH191">
        <v>0</v>
      </c>
      <c r="BI191">
        <v>1</v>
      </c>
      <c r="BJ191" t="s">
        <v>281</v>
      </c>
      <c r="BM191">
        <v>658</v>
      </c>
      <c r="BN191">
        <v>0</v>
      </c>
      <c r="BO191" t="s">
        <v>278</v>
      </c>
      <c r="BP191">
        <v>1</v>
      </c>
      <c r="BQ191">
        <v>60</v>
      </c>
      <c r="BR191">
        <v>0</v>
      </c>
      <c r="BS191">
        <v>34.51</v>
      </c>
      <c r="BT191">
        <v>1</v>
      </c>
      <c r="BU191">
        <v>1</v>
      </c>
      <c r="BV191">
        <v>1</v>
      </c>
      <c r="BW191">
        <v>1</v>
      </c>
      <c r="BX191">
        <v>1</v>
      </c>
      <c r="BY191" t="s">
        <v>3</v>
      </c>
      <c r="BZ191">
        <v>75</v>
      </c>
      <c r="CA191">
        <v>41</v>
      </c>
      <c r="CB191" t="s">
        <v>3</v>
      </c>
      <c r="CE191">
        <v>30</v>
      </c>
      <c r="CF191">
        <v>0</v>
      </c>
      <c r="CG191">
        <v>0</v>
      </c>
      <c r="CM191">
        <v>0</v>
      </c>
      <c r="CN191" t="s">
        <v>708</v>
      </c>
      <c r="CO191">
        <v>0</v>
      </c>
      <c r="CP191">
        <f t="shared" si="186"/>
        <v>1227.58</v>
      </c>
      <c r="CQ191">
        <f t="shared" si="187"/>
        <v>0</v>
      </c>
      <c r="CR191">
        <f t="shared" si="188"/>
        <v>131.78</v>
      </c>
      <c r="CS191">
        <f t="shared" si="189"/>
        <v>56.25</v>
      </c>
      <c r="CT191">
        <f t="shared" si="190"/>
        <v>0</v>
      </c>
      <c r="CU191">
        <f t="shared" si="191"/>
        <v>0</v>
      </c>
      <c r="CV191">
        <f t="shared" si="192"/>
        <v>0</v>
      </c>
      <c r="CW191">
        <f t="shared" si="193"/>
        <v>0</v>
      </c>
      <c r="CX191">
        <f t="shared" si="194"/>
        <v>0</v>
      </c>
      <c r="CY191">
        <f>S191*(BZ191/100)</f>
        <v>0</v>
      </c>
      <c r="CZ191">
        <f>S191*(CA191/100)</f>
        <v>0</v>
      </c>
      <c r="DB191">
        <v>88</v>
      </c>
      <c r="DC191" t="s">
        <v>3</v>
      </c>
      <c r="DD191" t="s">
        <v>3</v>
      </c>
      <c r="DE191" t="s">
        <v>22</v>
      </c>
      <c r="DF191" t="s">
        <v>22</v>
      </c>
      <c r="DG191" t="s">
        <v>22</v>
      </c>
      <c r="DH191" t="s">
        <v>3</v>
      </c>
      <c r="DI191" t="s">
        <v>22</v>
      </c>
      <c r="DJ191" t="s">
        <v>22</v>
      </c>
      <c r="DK191" t="s">
        <v>3</v>
      </c>
      <c r="DL191" t="s">
        <v>3</v>
      </c>
      <c r="DM191" t="s">
        <v>3</v>
      </c>
      <c r="DN191">
        <v>91</v>
      </c>
      <c r="DO191">
        <v>70</v>
      </c>
      <c r="DP191">
        <v>1.0469999999999999</v>
      </c>
      <c r="DQ191">
        <v>1.002</v>
      </c>
      <c r="DU191">
        <v>1013</v>
      </c>
      <c r="DV191" t="s">
        <v>280</v>
      </c>
      <c r="DW191" t="s">
        <v>280</v>
      </c>
      <c r="DX191">
        <v>1</v>
      </c>
      <c r="DZ191" t="s">
        <v>3</v>
      </c>
      <c r="EA191" t="s">
        <v>3</v>
      </c>
      <c r="EB191" t="s">
        <v>3</v>
      </c>
      <c r="EC191" t="s">
        <v>3</v>
      </c>
      <c r="EE191">
        <v>51696697</v>
      </c>
      <c r="EF191">
        <v>60</v>
      </c>
      <c r="EG191" t="s">
        <v>270</v>
      </c>
      <c r="EH191">
        <v>0</v>
      </c>
      <c r="EI191" t="s">
        <v>3</v>
      </c>
      <c r="EJ191">
        <v>1</v>
      </c>
      <c r="EK191">
        <v>658</v>
      </c>
      <c r="EL191" t="s">
        <v>282</v>
      </c>
      <c r="EM191" t="s">
        <v>283</v>
      </c>
      <c r="EO191" t="s">
        <v>26</v>
      </c>
      <c r="EQ191">
        <v>131072</v>
      </c>
      <c r="ER191">
        <v>8.86</v>
      </c>
      <c r="ES191">
        <v>0</v>
      </c>
      <c r="ET191">
        <v>8.86</v>
      </c>
      <c r="EU191">
        <v>1.48</v>
      </c>
      <c r="EV191">
        <v>0</v>
      </c>
      <c r="EW191">
        <v>0</v>
      </c>
      <c r="EX191">
        <v>0</v>
      </c>
      <c r="EY191">
        <v>0</v>
      </c>
      <c r="FQ191">
        <v>0</v>
      </c>
      <c r="FR191">
        <v>0</v>
      </c>
      <c r="FS191">
        <v>0</v>
      </c>
      <c r="FX191">
        <v>91</v>
      </c>
      <c r="FY191">
        <v>70</v>
      </c>
      <c r="GA191" t="s">
        <v>3</v>
      </c>
      <c r="GD191">
        <v>0</v>
      </c>
      <c r="GF191">
        <v>-714011973</v>
      </c>
      <c r="GG191">
        <v>2</v>
      </c>
      <c r="GH191">
        <v>1</v>
      </c>
      <c r="GI191">
        <v>2</v>
      </c>
      <c r="GJ191">
        <v>0</v>
      </c>
      <c r="GK191">
        <f>ROUND(R191*(S12)/100,2)</f>
        <v>837.07</v>
      </c>
      <c r="GL191">
        <f t="shared" si="195"/>
        <v>0</v>
      </c>
      <c r="GM191">
        <f t="shared" si="196"/>
        <v>2064.65</v>
      </c>
      <c r="GN191">
        <f t="shared" si="197"/>
        <v>2064.65</v>
      </c>
      <c r="GO191">
        <f t="shared" si="198"/>
        <v>0</v>
      </c>
      <c r="GP191">
        <f t="shared" si="199"/>
        <v>0</v>
      </c>
      <c r="GR191">
        <v>0</v>
      </c>
      <c r="GS191">
        <v>3</v>
      </c>
      <c r="GT191">
        <v>0</v>
      </c>
      <c r="GU191" t="s">
        <v>3</v>
      </c>
      <c r="GV191">
        <f t="shared" si="200"/>
        <v>0</v>
      </c>
      <c r="GW191">
        <v>1</v>
      </c>
      <c r="GX191">
        <f t="shared" si="201"/>
        <v>0</v>
      </c>
      <c r="HA191">
        <v>0</v>
      </c>
      <c r="HB191">
        <v>0</v>
      </c>
      <c r="HC191">
        <f t="shared" si="202"/>
        <v>0</v>
      </c>
      <c r="HE191" t="s">
        <v>3</v>
      </c>
      <c r="HF191" t="s">
        <v>3</v>
      </c>
      <c r="HM191" t="s">
        <v>3</v>
      </c>
      <c r="HN191" t="s">
        <v>3</v>
      </c>
      <c r="HO191" t="s">
        <v>3</v>
      </c>
      <c r="HP191" t="s">
        <v>3</v>
      </c>
      <c r="HQ191" t="s">
        <v>3</v>
      </c>
      <c r="HS191">
        <v>0</v>
      </c>
      <c r="IK191">
        <v>0</v>
      </c>
    </row>
    <row r="192" spans="1:255" x14ac:dyDescent="0.2">
      <c r="A192" s="2">
        <v>17</v>
      </c>
      <c r="B192" s="2">
        <v>1</v>
      </c>
      <c r="C192" s="2">
        <f>ROW(SmtRes!A25)</f>
        <v>25</v>
      </c>
      <c r="D192" s="2">
        <f>ROW(EtalonRes!A358)</f>
        <v>358</v>
      </c>
      <c r="E192" s="2" t="s">
        <v>284</v>
      </c>
      <c r="F192" s="2" t="s">
        <v>285</v>
      </c>
      <c r="G192" s="2" t="s">
        <v>286</v>
      </c>
      <c r="H192" s="2" t="s">
        <v>287</v>
      </c>
      <c r="I192" s="2">
        <f>ROUND(9.8*0.35/100,9)</f>
        <v>3.4299999999999997E-2</v>
      </c>
      <c r="J192" s="2">
        <v>0</v>
      </c>
      <c r="K192" s="2">
        <f>ROUND(9.8*0.35/100,9)</f>
        <v>3.4299999999999997E-2</v>
      </c>
      <c r="L192" s="2"/>
      <c r="M192" s="2"/>
      <c r="N192" s="2"/>
      <c r="O192" s="2">
        <f t="shared" si="168"/>
        <v>51.87</v>
      </c>
      <c r="P192" s="2">
        <f t="shared" si="169"/>
        <v>1.21</v>
      </c>
      <c r="Q192" s="2">
        <f t="shared" si="170"/>
        <v>44.95</v>
      </c>
      <c r="R192" s="2">
        <f t="shared" si="171"/>
        <v>3.58</v>
      </c>
      <c r="S192" s="2">
        <f t="shared" si="172"/>
        <v>5.71</v>
      </c>
      <c r="T192" s="2">
        <f t="shared" si="173"/>
        <v>0</v>
      </c>
      <c r="U192" s="2">
        <f t="shared" si="174"/>
        <v>0.54299095200000003</v>
      </c>
      <c r="V192" s="2">
        <f t="shared" si="175"/>
        <v>0</v>
      </c>
      <c r="W192" s="2">
        <f t="shared" si="176"/>
        <v>0</v>
      </c>
      <c r="X192" s="2">
        <f t="shared" si="177"/>
        <v>9.19</v>
      </c>
      <c r="Y192" s="2">
        <f t="shared" si="178"/>
        <v>6.11</v>
      </c>
      <c r="Z192" s="2"/>
      <c r="AA192" s="2">
        <v>56622490</v>
      </c>
      <c r="AB192" s="2">
        <f t="shared" si="179"/>
        <v>1446.088</v>
      </c>
      <c r="AC192" s="2">
        <f t="shared" si="180"/>
        <v>35.35</v>
      </c>
      <c r="AD192" s="2">
        <f t="shared" si="181"/>
        <v>1251.6735000000001</v>
      </c>
      <c r="AE192" s="2">
        <f t="shared" si="182"/>
        <v>99.665999999999997</v>
      </c>
      <c r="AF192" s="2">
        <f t="shared" si="182"/>
        <v>159.06450000000001</v>
      </c>
      <c r="AG192" s="2">
        <f t="shared" si="183"/>
        <v>0</v>
      </c>
      <c r="AH192" s="2">
        <f t="shared" si="184"/>
        <v>15.120000000000001</v>
      </c>
      <c r="AI192" s="2">
        <f t="shared" si="184"/>
        <v>0</v>
      </c>
      <c r="AJ192" s="2">
        <f t="shared" si="185"/>
        <v>0</v>
      </c>
      <c r="AK192" s="2">
        <v>1378.91</v>
      </c>
      <c r="AL192" s="2">
        <v>35.35</v>
      </c>
      <c r="AM192" s="2">
        <v>1192.07</v>
      </c>
      <c r="AN192" s="2">
        <v>94.92</v>
      </c>
      <c r="AO192" s="2">
        <v>151.49</v>
      </c>
      <c r="AP192" s="2">
        <v>0</v>
      </c>
      <c r="AQ192" s="2">
        <v>14.4</v>
      </c>
      <c r="AR192" s="2">
        <v>0</v>
      </c>
      <c r="AS192" s="2">
        <v>0</v>
      </c>
      <c r="AT192" s="2">
        <v>161</v>
      </c>
      <c r="AU192" s="2">
        <v>107</v>
      </c>
      <c r="AV192" s="2">
        <v>1.0469999999999999</v>
      </c>
      <c r="AW192" s="2">
        <v>1.002</v>
      </c>
      <c r="AX192" s="2"/>
      <c r="AY192" s="2"/>
      <c r="AZ192" s="2">
        <v>1</v>
      </c>
      <c r="BA192" s="2">
        <v>1</v>
      </c>
      <c r="BB192" s="2">
        <v>1</v>
      </c>
      <c r="BC192" s="2">
        <v>1</v>
      </c>
      <c r="BD192" s="2" t="s">
        <v>3</v>
      </c>
      <c r="BE192" s="2" t="s">
        <v>3</v>
      </c>
      <c r="BF192" s="2" t="s">
        <v>3</v>
      </c>
      <c r="BG192" s="2" t="s">
        <v>3</v>
      </c>
      <c r="BH192" s="2">
        <v>0</v>
      </c>
      <c r="BI192" s="2">
        <v>1</v>
      </c>
      <c r="BJ192" s="2" t="s">
        <v>288</v>
      </c>
      <c r="BK192" s="2"/>
      <c r="BL192" s="2"/>
      <c r="BM192" s="2">
        <v>146</v>
      </c>
      <c r="BN192" s="2">
        <v>0</v>
      </c>
      <c r="BO192" s="2" t="s">
        <v>3</v>
      </c>
      <c r="BP192" s="2">
        <v>0</v>
      </c>
      <c r="BQ192" s="2">
        <v>30</v>
      </c>
      <c r="BR192" s="2">
        <v>0</v>
      </c>
      <c r="BS192" s="2">
        <v>1</v>
      </c>
      <c r="BT192" s="2">
        <v>1</v>
      </c>
      <c r="BU192" s="2">
        <v>1</v>
      </c>
      <c r="BV192" s="2">
        <v>1</v>
      </c>
      <c r="BW192" s="2">
        <v>1</v>
      </c>
      <c r="BX192" s="2">
        <v>1</v>
      </c>
      <c r="BY192" s="2" t="s">
        <v>3</v>
      </c>
      <c r="BZ192" s="2">
        <v>161</v>
      </c>
      <c r="CA192" s="2">
        <v>107</v>
      </c>
      <c r="CB192" s="2" t="s">
        <v>3</v>
      </c>
      <c r="CC192" s="2"/>
      <c r="CD192" s="2"/>
      <c r="CE192" s="2">
        <v>30</v>
      </c>
      <c r="CF192" s="2">
        <v>0</v>
      </c>
      <c r="CG192" s="2">
        <v>0</v>
      </c>
      <c r="CH192" s="2"/>
      <c r="CI192" s="2"/>
      <c r="CJ192" s="2"/>
      <c r="CK192" s="2"/>
      <c r="CL192" s="2"/>
      <c r="CM192" s="2">
        <v>0</v>
      </c>
      <c r="CN192" s="2" t="s">
        <v>708</v>
      </c>
      <c r="CO192" s="2">
        <v>0</v>
      </c>
      <c r="CP192" s="2">
        <f t="shared" si="186"/>
        <v>51.870000000000005</v>
      </c>
      <c r="CQ192" s="2">
        <f t="shared" si="187"/>
        <v>35.42</v>
      </c>
      <c r="CR192" s="2">
        <f t="shared" si="188"/>
        <v>1310.5</v>
      </c>
      <c r="CS192" s="2">
        <f t="shared" si="189"/>
        <v>104.35</v>
      </c>
      <c r="CT192" s="2">
        <f t="shared" si="190"/>
        <v>166.54</v>
      </c>
      <c r="CU192" s="2">
        <f t="shared" si="191"/>
        <v>0</v>
      </c>
      <c r="CV192" s="2">
        <f t="shared" si="192"/>
        <v>15.830640000000001</v>
      </c>
      <c r="CW192" s="2">
        <f t="shared" si="193"/>
        <v>0</v>
      </c>
      <c r="CX192" s="2">
        <f t="shared" si="194"/>
        <v>0</v>
      </c>
      <c r="CY192" s="2">
        <f>((S192*BZ192)/100)</f>
        <v>9.1930999999999994</v>
      </c>
      <c r="CZ192" s="2">
        <f>((S192*CA192)/100)</f>
        <v>6.1097000000000001</v>
      </c>
      <c r="DA192" s="2"/>
      <c r="DB192" s="2">
        <v>89</v>
      </c>
      <c r="DC192" s="2" t="s">
        <v>3</v>
      </c>
      <c r="DD192" s="2" t="s">
        <v>3</v>
      </c>
      <c r="DE192" s="2" t="s">
        <v>22</v>
      </c>
      <c r="DF192" s="2" t="s">
        <v>22</v>
      </c>
      <c r="DG192" s="2" t="s">
        <v>22</v>
      </c>
      <c r="DH192" s="2" t="s">
        <v>3</v>
      </c>
      <c r="DI192" s="2" t="s">
        <v>22</v>
      </c>
      <c r="DJ192" s="2" t="s">
        <v>22</v>
      </c>
      <c r="DK192" s="2" t="s">
        <v>3</v>
      </c>
      <c r="DL192" s="2" t="s">
        <v>3</v>
      </c>
      <c r="DM192" s="2" t="s">
        <v>3</v>
      </c>
      <c r="DN192" s="2">
        <v>0</v>
      </c>
      <c r="DO192" s="2">
        <v>0</v>
      </c>
      <c r="DP192" s="2">
        <v>1</v>
      </c>
      <c r="DQ192" s="2">
        <v>1</v>
      </c>
      <c r="DR192" s="2"/>
      <c r="DS192" s="2"/>
      <c r="DT192" s="2"/>
      <c r="DU192" s="2">
        <v>1013</v>
      </c>
      <c r="DV192" s="2" t="s">
        <v>287</v>
      </c>
      <c r="DW192" s="2" t="s">
        <v>287</v>
      </c>
      <c r="DX192" s="2">
        <v>1</v>
      </c>
      <c r="DY192" s="2"/>
      <c r="DZ192" s="2" t="s">
        <v>3</v>
      </c>
      <c r="EA192" s="2" t="s">
        <v>3</v>
      </c>
      <c r="EB192" s="2" t="s">
        <v>3</v>
      </c>
      <c r="EC192" s="2" t="s">
        <v>3</v>
      </c>
      <c r="ED192" s="2"/>
      <c r="EE192" s="2">
        <v>51696185</v>
      </c>
      <c r="EF192" s="2">
        <v>30</v>
      </c>
      <c r="EG192" s="2" t="s">
        <v>23</v>
      </c>
      <c r="EH192" s="2">
        <v>0</v>
      </c>
      <c r="EI192" s="2" t="s">
        <v>3</v>
      </c>
      <c r="EJ192" s="2">
        <v>1</v>
      </c>
      <c r="EK192" s="2">
        <v>146</v>
      </c>
      <c r="EL192" s="2" t="s">
        <v>289</v>
      </c>
      <c r="EM192" s="2" t="s">
        <v>290</v>
      </c>
      <c r="EN192" s="2"/>
      <c r="EO192" s="2" t="s">
        <v>26</v>
      </c>
      <c r="EP192" s="2"/>
      <c r="EQ192" s="2">
        <v>131072</v>
      </c>
      <c r="ER192" s="2">
        <v>1378.91</v>
      </c>
      <c r="ES192" s="2">
        <v>35.35</v>
      </c>
      <c r="ET192" s="2">
        <v>1192.07</v>
      </c>
      <c r="EU192" s="2">
        <v>94.92</v>
      </c>
      <c r="EV192" s="2">
        <v>151.49</v>
      </c>
      <c r="EW192" s="2">
        <v>14.4</v>
      </c>
      <c r="EX192" s="2">
        <v>0</v>
      </c>
      <c r="EY192" s="2">
        <v>0</v>
      </c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>
        <v>0</v>
      </c>
      <c r="FR192" s="2">
        <v>0</v>
      </c>
      <c r="FS192" s="2">
        <v>0</v>
      </c>
      <c r="FT192" s="2"/>
      <c r="FU192" s="2"/>
      <c r="FV192" s="2"/>
      <c r="FW192" s="2"/>
      <c r="FX192" s="2">
        <v>161</v>
      </c>
      <c r="FY192" s="2">
        <v>107</v>
      </c>
      <c r="FZ192" s="2"/>
      <c r="GA192" s="2" t="s">
        <v>3</v>
      </c>
      <c r="GB192" s="2"/>
      <c r="GC192" s="2"/>
      <c r="GD192" s="2">
        <v>0</v>
      </c>
      <c r="GE192" s="2"/>
      <c r="GF192" s="2">
        <v>1372229329</v>
      </c>
      <c r="GG192" s="2">
        <v>2</v>
      </c>
      <c r="GH192" s="2">
        <v>1</v>
      </c>
      <c r="GI192" s="2">
        <v>-2</v>
      </c>
      <c r="GJ192" s="2">
        <v>0</v>
      </c>
      <c r="GK192" s="2">
        <f>ROUND(R192*(R12)/100,2)</f>
        <v>6.27</v>
      </c>
      <c r="GL192" s="2">
        <f t="shared" si="195"/>
        <v>0</v>
      </c>
      <c r="GM192" s="2">
        <f t="shared" si="196"/>
        <v>73.44</v>
      </c>
      <c r="GN192" s="2">
        <f t="shared" si="197"/>
        <v>73.44</v>
      </c>
      <c r="GO192" s="2">
        <f t="shared" si="198"/>
        <v>0</v>
      </c>
      <c r="GP192" s="2">
        <f t="shared" si="199"/>
        <v>0</v>
      </c>
      <c r="GQ192" s="2"/>
      <c r="GR192" s="2">
        <v>0</v>
      </c>
      <c r="GS192" s="2">
        <v>0</v>
      </c>
      <c r="GT192" s="2">
        <v>0</v>
      </c>
      <c r="GU192" s="2" t="s">
        <v>3</v>
      </c>
      <c r="GV192" s="2">
        <f t="shared" si="200"/>
        <v>0</v>
      </c>
      <c r="GW192" s="2">
        <v>1</v>
      </c>
      <c r="GX192" s="2">
        <f t="shared" si="201"/>
        <v>0</v>
      </c>
      <c r="GY192" s="2"/>
      <c r="GZ192" s="2"/>
      <c r="HA192" s="2">
        <v>0</v>
      </c>
      <c r="HB192" s="2">
        <v>0</v>
      </c>
      <c r="HC192" s="2">
        <f t="shared" si="202"/>
        <v>0</v>
      </c>
      <c r="HD192" s="2"/>
      <c r="HE192" s="2" t="s">
        <v>3</v>
      </c>
      <c r="HF192" s="2" t="s">
        <v>3</v>
      </c>
      <c r="HG192" s="2"/>
      <c r="HH192" s="2"/>
      <c r="HI192" s="2"/>
      <c r="HJ192" s="2"/>
      <c r="HK192" s="2"/>
      <c r="HL192" s="2"/>
      <c r="HM192" s="2" t="s">
        <v>3</v>
      </c>
      <c r="HN192" s="2" t="s">
        <v>3</v>
      </c>
      <c r="HO192" s="2" t="s">
        <v>3</v>
      </c>
      <c r="HP192" s="2" t="s">
        <v>3</v>
      </c>
      <c r="HQ192" s="2" t="s">
        <v>3</v>
      </c>
      <c r="HR192" s="2"/>
      <c r="HS192" s="2">
        <v>0</v>
      </c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>
        <v>0</v>
      </c>
      <c r="IL192" s="2"/>
      <c r="IM192" s="2"/>
      <c r="IN192" s="2"/>
      <c r="IO192" s="2"/>
      <c r="IP192" s="2"/>
      <c r="IQ192" s="2"/>
      <c r="IR192" s="2"/>
      <c r="IS192" s="2"/>
      <c r="IT192" s="2"/>
      <c r="IU192" s="2"/>
    </row>
    <row r="193" spans="1:255" x14ac:dyDescent="0.2">
      <c r="A193">
        <v>17</v>
      </c>
      <c r="B193">
        <v>1</v>
      </c>
      <c r="C193">
        <f>ROW(SmtRes!A26)</f>
        <v>26</v>
      </c>
      <c r="D193">
        <f>ROW(EtalonRes!A366)</f>
        <v>366</v>
      </c>
      <c r="E193" t="s">
        <v>284</v>
      </c>
      <c r="F193" t="s">
        <v>285</v>
      </c>
      <c r="G193" t="s">
        <v>286</v>
      </c>
      <c r="H193" t="s">
        <v>287</v>
      </c>
      <c r="I193">
        <f>ROUND(9.8*0.35/100,9)</f>
        <v>3.4299999999999997E-2</v>
      </c>
      <c r="J193">
        <v>0</v>
      </c>
      <c r="K193">
        <f>ROUND(9.8*0.35/100,9)</f>
        <v>3.4299999999999997E-2</v>
      </c>
      <c r="O193">
        <f t="shared" si="168"/>
        <v>731.5</v>
      </c>
      <c r="P193">
        <f t="shared" si="169"/>
        <v>8.5299999999999994</v>
      </c>
      <c r="Q193">
        <f t="shared" si="170"/>
        <v>525.91999999999996</v>
      </c>
      <c r="R193">
        <f t="shared" si="171"/>
        <v>123.55</v>
      </c>
      <c r="S193">
        <f t="shared" si="172"/>
        <v>197.05</v>
      </c>
      <c r="T193">
        <f t="shared" si="173"/>
        <v>0</v>
      </c>
      <c r="U193">
        <f t="shared" si="174"/>
        <v>0.54299095200000003</v>
      </c>
      <c r="V193">
        <f t="shared" si="175"/>
        <v>0</v>
      </c>
      <c r="W193">
        <f t="shared" si="176"/>
        <v>0</v>
      </c>
      <c r="X193">
        <f t="shared" si="177"/>
        <v>264.05</v>
      </c>
      <c r="Y193">
        <f t="shared" si="178"/>
        <v>108.38</v>
      </c>
      <c r="AA193">
        <v>56610029</v>
      </c>
      <c r="AB193">
        <f t="shared" si="179"/>
        <v>1446.088</v>
      </c>
      <c r="AC193">
        <f t="shared" si="180"/>
        <v>35.35</v>
      </c>
      <c r="AD193">
        <f t="shared" si="181"/>
        <v>1251.6735000000001</v>
      </c>
      <c r="AE193">
        <f t="shared" si="182"/>
        <v>99.665999999999997</v>
      </c>
      <c r="AF193">
        <f t="shared" si="182"/>
        <v>159.06450000000001</v>
      </c>
      <c r="AG193">
        <f t="shared" si="183"/>
        <v>0</v>
      </c>
      <c r="AH193">
        <f t="shared" si="184"/>
        <v>15.120000000000001</v>
      </c>
      <c r="AI193">
        <f t="shared" si="184"/>
        <v>0</v>
      </c>
      <c r="AJ193">
        <f t="shared" si="185"/>
        <v>0</v>
      </c>
      <c r="AK193">
        <v>1378.91</v>
      </c>
      <c r="AL193">
        <v>35.35</v>
      </c>
      <c r="AM193">
        <v>1192.07</v>
      </c>
      <c r="AN193">
        <v>94.92</v>
      </c>
      <c r="AO193">
        <v>151.49</v>
      </c>
      <c r="AP193">
        <v>0</v>
      </c>
      <c r="AQ193">
        <v>14.4</v>
      </c>
      <c r="AR193">
        <v>0</v>
      </c>
      <c r="AS193">
        <v>0</v>
      </c>
      <c r="AT193">
        <v>134</v>
      </c>
      <c r="AU193">
        <v>55</v>
      </c>
      <c r="AV193">
        <v>1.0469999999999999</v>
      </c>
      <c r="AW193">
        <v>1.002</v>
      </c>
      <c r="AZ193">
        <v>1</v>
      </c>
      <c r="BA193">
        <v>34.51</v>
      </c>
      <c r="BB193">
        <v>11.7</v>
      </c>
      <c r="BC193">
        <v>7.05</v>
      </c>
      <c r="BD193" t="s">
        <v>3</v>
      </c>
      <c r="BE193" t="s">
        <v>3</v>
      </c>
      <c r="BF193" t="s">
        <v>3</v>
      </c>
      <c r="BG193" t="s">
        <v>3</v>
      </c>
      <c r="BH193">
        <v>0</v>
      </c>
      <c r="BI193">
        <v>1</v>
      </c>
      <c r="BJ193" t="s">
        <v>288</v>
      </c>
      <c r="BM193">
        <v>146</v>
      </c>
      <c r="BN193">
        <v>0</v>
      </c>
      <c r="BO193" t="s">
        <v>285</v>
      </c>
      <c r="BP193">
        <v>1</v>
      </c>
      <c r="BQ193">
        <v>30</v>
      </c>
      <c r="BR193">
        <v>0</v>
      </c>
      <c r="BS193">
        <v>34.51</v>
      </c>
      <c r="BT193">
        <v>1</v>
      </c>
      <c r="BU193">
        <v>1</v>
      </c>
      <c r="BV193">
        <v>1</v>
      </c>
      <c r="BW193">
        <v>1</v>
      </c>
      <c r="BX193">
        <v>1</v>
      </c>
      <c r="BY193" t="s">
        <v>3</v>
      </c>
      <c r="BZ193">
        <v>134</v>
      </c>
      <c r="CA193">
        <v>55</v>
      </c>
      <c r="CB193" t="s">
        <v>3</v>
      </c>
      <c r="CE193">
        <v>30</v>
      </c>
      <c r="CF193">
        <v>0</v>
      </c>
      <c r="CG193">
        <v>0</v>
      </c>
      <c r="CM193">
        <v>0</v>
      </c>
      <c r="CN193" t="s">
        <v>708</v>
      </c>
      <c r="CO193">
        <v>0</v>
      </c>
      <c r="CP193">
        <f t="shared" si="186"/>
        <v>731.5</v>
      </c>
      <c r="CQ193">
        <f t="shared" si="187"/>
        <v>249.71</v>
      </c>
      <c r="CR193">
        <f t="shared" si="188"/>
        <v>15332.85</v>
      </c>
      <c r="CS193">
        <f t="shared" si="189"/>
        <v>3601.12</v>
      </c>
      <c r="CT193">
        <f t="shared" si="190"/>
        <v>5747.3</v>
      </c>
      <c r="CU193">
        <f t="shared" si="191"/>
        <v>0</v>
      </c>
      <c r="CV193">
        <f t="shared" si="192"/>
        <v>15.830640000000001</v>
      </c>
      <c r="CW193">
        <f t="shared" si="193"/>
        <v>0</v>
      </c>
      <c r="CX193">
        <f t="shared" si="194"/>
        <v>0</v>
      </c>
      <c r="CY193">
        <f>S193*(BZ193/100)</f>
        <v>264.04700000000003</v>
      </c>
      <c r="CZ193">
        <f>S193*(CA193/100)</f>
        <v>108.37750000000001</v>
      </c>
      <c r="DB193">
        <v>90</v>
      </c>
      <c r="DC193" t="s">
        <v>3</v>
      </c>
      <c r="DD193" t="s">
        <v>3</v>
      </c>
      <c r="DE193" t="s">
        <v>22</v>
      </c>
      <c r="DF193" t="s">
        <v>22</v>
      </c>
      <c r="DG193" t="s">
        <v>22</v>
      </c>
      <c r="DH193" t="s">
        <v>3</v>
      </c>
      <c r="DI193" t="s">
        <v>22</v>
      </c>
      <c r="DJ193" t="s">
        <v>22</v>
      </c>
      <c r="DK193" t="s">
        <v>3</v>
      </c>
      <c r="DL193" t="s">
        <v>3</v>
      </c>
      <c r="DM193" t="s">
        <v>3</v>
      </c>
      <c r="DN193">
        <v>161</v>
      </c>
      <c r="DO193">
        <v>107</v>
      </c>
      <c r="DP193">
        <v>1.0469999999999999</v>
      </c>
      <c r="DQ193">
        <v>1.002</v>
      </c>
      <c r="DU193">
        <v>1013</v>
      </c>
      <c r="DV193" t="s">
        <v>287</v>
      </c>
      <c r="DW193" t="s">
        <v>287</v>
      </c>
      <c r="DX193">
        <v>1</v>
      </c>
      <c r="DZ193" t="s">
        <v>3</v>
      </c>
      <c r="EA193" t="s">
        <v>3</v>
      </c>
      <c r="EB193" t="s">
        <v>3</v>
      </c>
      <c r="EC193" t="s">
        <v>3</v>
      </c>
      <c r="EE193">
        <v>51696185</v>
      </c>
      <c r="EF193">
        <v>30</v>
      </c>
      <c r="EG193" t="s">
        <v>23</v>
      </c>
      <c r="EH193">
        <v>0</v>
      </c>
      <c r="EI193" t="s">
        <v>3</v>
      </c>
      <c r="EJ193">
        <v>1</v>
      </c>
      <c r="EK193">
        <v>146</v>
      </c>
      <c r="EL193" t="s">
        <v>289</v>
      </c>
      <c r="EM193" t="s">
        <v>290</v>
      </c>
      <c r="EO193" t="s">
        <v>26</v>
      </c>
      <c r="EQ193">
        <v>131072</v>
      </c>
      <c r="ER193">
        <v>1378.91</v>
      </c>
      <c r="ES193">
        <v>35.35</v>
      </c>
      <c r="ET193">
        <v>1192.07</v>
      </c>
      <c r="EU193">
        <v>94.92</v>
      </c>
      <c r="EV193">
        <v>151.49</v>
      </c>
      <c r="EW193">
        <v>14.4</v>
      </c>
      <c r="EX193">
        <v>0</v>
      </c>
      <c r="EY193">
        <v>0</v>
      </c>
      <c r="FQ193">
        <v>0</v>
      </c>
      <c r="FR193">
        <v>0</v>
      </c>
      <c r="FS193">
        <v>0</v>
      </c>
      <c r="FX193">
        <v>161</v>
      </c>
      <c r="FY193">
        <v>107</v>
      </c>
      <c r="GA193" t="s">
        <v>3</v>
      </c>
      <c r="GD193">
        <v>0</v>
      </c>
      <c r="GF193">
        <v>1372229329</v>
      </c>
      <c r="GG193">
        <v>2</v>
      </c>
      <c r="GH193">
        <v>1</v>
      </c>
      <c r="GI193">
        <v>2</v>
      </c>
      <c r="GJ193">
        <v>0</v>
      </c>
      <c r="GK193">
        <f>ROUND(R193*(S12)/100,2)</f>
        <v>197.68</v>
      </c>
      <c r="GL193">
        <f t="shared" si="195"/>
        <v>0</v>
      </c>
      <c r="GM193">
        <f t="shared" si="196"/>
        <v>1301.6099999999999</v>
      </c>
      <c r="GN193">
        <f t="shared" si="197"/>
        <v>1301.6099999999999</v>
      </c>
      <c r="GO193">
        <f t="shared" si="198"/>
        <v>0</v>
      </c>
      <c r="GP193">
        <f t="shared" si="199"/>
        <v>0</v>
      </c>
      <c r="GR193">
        <v>0</v>
      </c>
      <c r="GS193">
        <v>3</v>
      </c>
      <c r="GT193">
        <v>0</v>
      </c>
      <c r="GU193" t="s">
        <v>3</v>
      </c>
      <c r="GV193">
        <f t="shared" si="200"/>
        <v>0</v>
      </c>
      <c r="GW193">
        <v>1</v>
      </c>
      <c r="GX193">
        <f t="shared" si="201"/>
        <v>0</v>
      </c>
      <c r="HA193">
        <v>0</v>
      </c>
      <c r="HB193">
        <v>0</v>
      </c>
      <c r="HC193">
        <f t="shared" si="202"/>
        <v>0</v>
      </c>
      <c r="HE193" t="s">
        <v>3</v>
      </c>
      <c r="HF193" t="s">
        <v>3</v>
      </c>
      <c r="HM193" t="s">
        <v>3</v>
      </c>
      <c r="HN193" t="s">
        <v>3</v>
      </c>
      <c r="HO193" t="s">
        <v>3</v>
      </c>
      <c r="HP193" t="s">
        <v>3</v>
      </c>
      <c r="HQ193" t="s">
        <v>3</v>
      </c>
      <c r="HS193">
        <v>0</v>
      </c>
      <c r="IK193">
        <v>0</v>
      </c>
    </row>
    <row r="194" spans="1:255" x14ac:dyDescent="0.2">
      <c r="A194" s="2">
        <v>18</v>
      </c>
      <c r="B194" s="2">
        <v>1</v>
      </c>
      <c r="C194" s="2">
        <v>25</v>
      </c>
      <c r="D194" s="2"/>
      <c r="E194" s="2" t="s">
        <v>291</v>
      </c>
      <c r="F194" s="2" t="s">
        <v>83</v>
      </c>
      <c r="G194" s="2" t="s">
        <v>292</v>
      </c>
      <c r="H194" s="2" t="s">
        <v>85</v>
      </c>
      <c r="I194" s="2">
        <f>I192*J194</f>
        <v>3.7730000000000001</v>
      </c>
      <c r="J194" s="2">
        <v>110.00000000000001</v>
      </c>
      <c r="K194" s="2">
        <v>110</v>
      </c>
      <c r="L194" s="2"/>
      <c r="M194" s="2"/>
      <c r="N194" s="2"/>
      <c r="O194" s="2">
        <f t="shared" si="168"/>
        <v>396.92</v>
      </c>
      <c r="P194" s="2">
        <f t="shared" si="169"/>
        <v>396.92</v>
      </c>
      <c r="Q194" s="2">
        <f>(ROUND((ROUND(((ET194)*AV194*I194),2)*BB194),2)+ROUND((ROUND(((AE194-(EU194))*AV194*I194),2)*BS194),2))</f>
        <v>0</v>
      </c>
      <c r="R194" s="2">
        <f t="shared" si="171"/>
        <v>0</v>
      </c>
      <c r="S194" s="2">
        <f t="shared" si="172"/>
        <v>0</v>
      </c>
      <c r="T194" s="2">
        <f t="shared" si="173"/>
        <v>0</v>
      </c>
      <c r="U194" s="2">
        <f t="shared" si="174"/>
        <v>0</v>
      </c>
      <c r="V194" s="2">
        <f t="shared" si="175"/>
        <v>0</v>
      </c>
      <c r="W194" s="2">
        <f t="shared" si="176"/>
        <v>0</v>
      </c>
      <c r="X194" s="2">
        <f t="shared" si="177"/>
        <v>0</v>
      </c>
      <c r="Y194" s="2">
        <f t="shared" si="178"/>
        <v>0</v>
      </c>
      <c r="Z194" s="2"/>
      <c r="AA194" s="2">
        <v>56622490</v>
      </c>
      <c r="AB194" s="2">
        <f t="shared" si="179"/>
        <v>104.99</v>
      </c>
      <c r="AC194" s="2">
        <f t="shared" si="180"/>
        <v>104.99</v>
      </c>
      <c r="AD194" s="2">
        <f>ROUND((((ET194)-(EU194))+AE194),6)</f>
        <v>0</v>
      </c>
      <c r="AE194" s="2">
        <f>ROUND((EU194),6)</f>
        <v>0</v>
      </c>
      <c r="AF194" s="2">
        <f>ROUND((EV194),6)</f>
        <v>0</v>
      </c>
      <c r="AG194" s="2">
        <f t="shared" si="183"/>
        <v>0</v>
      </c>
      <c r="AH194" s="2">
        <f>(EW194)</f>
        <v>0</v>
      </c>
      <c r="AI194" s="2">
        <f>(EX194)</f>
        <v>0</v>
      </c>
      <c r="AJ194" s="2">
        <f t="shared" si="185"/>
        <v>0</v>
      </c>
      <c r="AK194" s="2">
        <v>104.99</v>
      </c>
      <c r="AL194" s="2">
        <v>104.99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161</v>
      </c>
      <c r="AU194" s="2">
        <v>107</v>
      </c>
      <c r="AV194" s="2">
        <v>1.0469999999999999</v>
      </c>
      <c r="AW194" s="2">
        <v>1.002</v>
      </c>
      <c r="AX194" s="2"/>
      <c r="AY194" s="2"/>
      <c r="AZ194" s="2">
        <v>1</v>
      </c>
      <c r="BA194" s="2">
        <v>1</v>
      </c>
      <c r="BB194" s="2">
        <v>1</v>
      </c>
      <c r="BC194" s="2">
        <v>1</v>
      </c>
      <c r="BD194" s="2" t="s">
        <v>3</v>
      </c>
      <c r="BE194" s="2" t="s">
        <v>3</v>
      </c>
      <c r="BF194" s="2" t="s">
        <v>3</v>
      </c>
      <c r="BG194" s="2" t="s">
        <v>3</v>
      </c>
      <c r="BH194" s="2">
        <v>3</v>
      </c>
      <c r="BI194" s="2">
        <v>1</v>
      </c>
      <c r="BJ194" s="2" t="s">
        <v>86</v>
      </c>
      <c r="BK194" s="2"/>
      <c r="BL194" s="2"/>
      <c r="BM194" s="2">
        <v>146</v>
      </c>
      <c r="BN194" s="2">
        <v>0</v>
      </c>
      <c r="BO194" s="2" t="s">
        <v>3</v>
      </c>
      <c r="BP194" s="2">
        <v>0</v>
      </c>
      <c r="BQ194" s="2">
        <v>30</v>
      </c>
      <c r="BR194" s="2">
        <v>0</v>
      </c>
      <c r="BS194" s="2">
        <v>1</v>
      </c>
      <c r="BT194" s="2">
        <v>1</v>
      </c>
      <c r="BU194" s="2">
        <v>1</v>
      </c>
      <c r="BV194" s="2">
        <v>1</v>
      </c>
      <c r="BW194" s="2">
        <v>1</v>
      </c>
      <c r="BX194" s="2">
        <v>1</v>
      </c>
      <c r="BY194" s="2" t="s">
        <v>3</v>
      </c>
      <c r="BZ194" s="2">
        <v>161</v>
      </c>
      <c r="CA194" s="2">
        <v>107</v>
      </c>
      <c r="CB194" s="2" t="s">
        <v>3</v>
      </c>
      <c r="CC194" s="2"/>
      <c r="CD194" s="2"/>
      <c r="CE194" s="2">
        <v>30</v>
      </c>
      <c r="CF194" s="2">
        <v>0</v>
      </c>
      <c r="CG194" s="2">
        <v>0</v>
      </c>
      <c r="CH194" s="2"/>
      <c r="CI194" s="2"/>
      <c r="CJ194" s="2"/>
      <c r="CK194" s="2"/>
      <c r="CL194" s="2"/>
      <c r="CM194" s="2">
        <v>0</v>
      </c>
      <c r="CN194" s="2" t="s">
        <v>3</v>
      </c>
      <c r="CO194" s="2">
        <v>0</v>
      </c>
      <c r="CP194" s="2">
        <f t="shared" si="186"/>
        <v>396.92</v>
      </c>
      <c r="CQ194" s="2">
        <f t="shared" si="187"/>
        <v>105.2</v>
      </c>
      <c r="CR194" s="2">
        <f>(ROUND((ROUND(((ET194)*AV194*1),2)*BB194),2)+ROUND((ROUND(((AE194-(EU194))*AV194*1),2)*BS194),2))</f>
        <v>0</v>
      </c>
      <c r="CS194" s="2">
        <f t="shared" si="189"/>
        <v>0</v>
      </c>
      <c r="CT194" s="2">
        <f t="shared" si="190"/>
        <v>0</v>
      </c>
      <c r="CU194" s="2">
        <f t="shared" si="191"/>
        <v>0</v>
      </c>
      <c r="CV194" s="2">
        <f t="shared" si="192"/>
        <v>0</v>
      </c>
      <c r="CW194" s="2">
        <f t="shared" si="193"/>
        <v>0</v>
      </c>
      <c r="CX194" s="2">
        <f t="shared" si="194"/>
        <v>0</v>
      </c>
      <c r="CY194" s="2">
        <f>((S194*BZ194)/100)</f>
        <v>0</v>
      </c>
      <c r="CZ194" s="2">
        <f>((S194*CA194)/100)</f>
        <v>0</v>
      </c>
      <c r="DA194" s="2"/>
      <c r="DB194" s="2"/>
      <c r="DC194" s="2" t="s">
        <v>3</v>
      </c>
      <c r="DD194" s="2" t="s">
        <v>3</v>
      </c>
      <c r="DE194" s="2" t="s">
        <v>3</v>
      </c>
      <c r="DF194" s="2" t="s">
        <v>3</v>
      </c>
      <c r="DG194" s="2" t="s">
        <v>3</v>
      </c>
      <c r="DH194" s="2" t="s">
        <v>3</v>
      </c>
      <c r="DI194" s="2" t="s">
        <v>3</v>
      </c>
      <c r="DJ194" s="2" t="s">
        <v>3</v>
      </c>
      <c r="DK194" s="2" t="s">
        <v>3</v>
      </c>
      <c r="DL194" s="2" t="s">
        <v>3</v>
      </c>
      <c r="DM194" s="2" t="s">
        <v>3</v>
      </c>
      <c r="DN194" s="2">
        <v>0</v>
      </c>
      <c r="DO194" s="2">
        <v>0</v>
      </c>
      <c r="DP194" s="2">
        <v>1</v>
      </c>
      <c r="DQ194" s="2">
        <v>1</v>
      </c>
      <c r="DR194" s="2"/>
      <c r="DS194" s="2"/>
      <c r="DT194" s="2"/>
      <c r="DU194" s="2">
        <v>1007</v>
      </c>
      <c r="DV194" s="2" t="s">
        <v>85</v>
      </c>
      <c r="DW194" s="2" t="s">
        <v>85</v>
      </c>
      <c r="DX194" s="2">
        <v>1</v>
      </c>
      <c r="DY194" s="2"/>
      <c r="DZ194" s="2" t="s">
        <v>3</v>
      </c>
      <c r="EA194" s="2" t="s">
        <v>3</v>
      </c>
      <c r="EB194" s="2" t="s">
        <v>3</v>
      </c>
      <c r="EC194" s="2" t="s">
        <v>3</v>
      </c>
      <c r="ED194" s="2"/>
      <c r="EE194" s="2">
        <v>51696185</v>
      </c>
      <c r="EF194" s="2">
        <v>30</v>
      </c>
      <c r="EG194" s="2" t="s">
        <v>23</v>
      </c>
      <c r="EH194" s="2">
        <v>0</v>
      </c>
      <c r="EI194" s="2" t="s">
        <v>3</v>
      </c>
      <c r="EJ194" s="2">
        <v>1</v>
      </c>
      <c r="EK194" s="2">
        <v>146</v>
      </c>
      <c r="EL194" s="2" t="s">
        <v>289</v>
      </c>
      <c r="EM194" s="2" t="s">
        <v>290</v>
      </c>
      <c r="EN194" s="2"/>
      <c r="EO194" s="2" t="s">
        <v>3</v>
      </c>
      <c r="EP194" s="2"/>
      <c r="EQ194" s="2">
        <v>0</v>
      </c>
      <c r="ER194" s="2">
        <v>104.99</v>
      </c>
      <c r="ES194" s="2">
        <v>104.99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>
        <v>0</v>
      </c>
      <c r="FR194" s="2">
        <v>0</v>
      </c>
      <c r="FS194" s="2">
        <v>0</v>
      </c>
      <c r="FT194" s="2"/>
      <c r="FU194" s="2"/>
      <c r="FV194" s="2"/>
      <c r="FW194" s="2"/>
      <c r="FX194" s="2">
        <v>161</v>
      </c>
      <c r="FY194" s="2">
        <v>107</v>
      </c>
      <c r="FZ194" s="2"/>
      <c r="GA194" s="2" t="s">
        <v>3</v>
      </c>
      <c r="GB194" s="2"/>
      <c r="GC194" s="2"/>
      <c r="GD194" s="2">
        <v>0</v>
      </c>
      <c r="GE194" s="2"/>
      <c r="GF194" s="2">
        <v>921520</v>
      </c>
      <c r="GG194" s="2">
        <v>2</v>
      </c>
      <c r="GH194" s="2">
        <v>1</v>
      </c>
      <c r="GI194" s="2">
        <v>-2</v>
      </c>
      <c r="GJ194" s="2">
        <v>0</v>
      </c>
      <c r="GK194" s="2">
        <f>ROUND(R194*(R12)/100,2)</f>
        <v>0</v>
      </c>
      <c r="GL194" s="2">
        <f t="shared" si="195"/>
        <v>0</v>
      </c>
      <c r="GM194" s="2">
        <f t="shared" si="196"/>
        <v>396.92</v>
      </c>
      <c r="GN194" s="2">
        <f t="shared" si="197"/>
        <v>396.92</v>
      </c>
      <c r="GO194" s="2">
        <f t="shared" si="198"/>
        <v>0</v>
      </c>
      <c r="GP194" s="2">
        <f t="shared" si="199"/>
        <v>0</v>
      </c>
      <c r="GQ194" s="2"/>
      <c r="GR194" s="2">
        <v>0</v>
      </c>
      <c r="GS194" s="2">
        <v>0</v>
      </c>
      <c r="GT194" s="2">
        <v>0</v>
      </c>
      <c r="GU194" s="2" t="s">
        <v>3</v>
      </c>
      <c r="GV194" s="2">
        <f t="shared" si="200"/>
        <v>0</v>
      </c>
      <c r="GW194" s="2">
        <v>1</v>
      </c>
      <c r="GX194" s="2">
        <f t="shared" si="201"/>
        <v>0</v>
      </c>
      <c r="GY194" s="2"/>
      <c r="GZ194" s="2"/>
      <c r="HA194" s="2">
        <v>0</v>
      </c>
      <c r="HB194" s="2">
        <v>0</v>
      </c>
      <c r="HC194" s="2">
        <f t="shared" si="202"/>
        <v>0</v>
      </c>
      <c r="HD194" s="2"/>
      <c r="HE194" s="2" t="s">
        <v>3</v>
      </c>
      <c r="HF194" s="2" t="s">
        <v>3</v>
      </c>
      <c r="HG194" s="2"/>
      <c r="HH194" s="2"/>
      <c r="HI194" s="2"/>
      <c r="HJ194" s="2"/>
      <c r="HK194" s="2"/>
      <c r="HL194" s="2"/>
      <c r="HM194" s="2" t="s">
        <v>3</v>
      </c>
      <c r="HN194" s="2" t="s">
        <v>3</v>
      </c>
      <c r="HO194" s="2" t="s">
        <v>3</v>
      </c>
      <c r="HP194" s="2" t="s">
        <v>3</v>
      </c>
      <c r="HQ194" s="2" t="s">
        <v>3</v>
      </c>
      <c r="HR194" s="2"/>
      <c r="HS194" s="2">
        <v>0</v>
      </c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>
        <v>0</v>
      </c>
      <c r="IL194" s="2"/>
      <c r="IM194" s="2"/>
      <c r="IN194" s="2"/>
      <c r="IO194" s="2"/>
      <c r="IP194" s="2"/>
      <c r="IQ194" s="2"/>
      <c r="IR194" s="2"/>
      <c r="IS194" s="2"/>
      <c r="IT194" s="2"/>
      <c r="IU194" s="2"/>
    </row>
    <row r="195" spans="1:255" x14ac:dyDescent="0.2">
      <c r="A195">
        <v>18</v>
      </c>
      <c r="B195">
        <v>1</v>
      </c>
      <c r="C195">
        <v>26</v>
      </c>
      <c r="E195" t="s">
        <v>291</v>
      </c>
      <c r="F195" t="s">
        <v>83</v>
      </c>
      <c r="G195" t="s">
        <v>292</v>
      </c>
      <c r="H195" t="s">
        <v>85</v>
      </c>
      <c r="I195">
        <f>I193*J195</f>
        <v>3.7730000000000001</v>
      </c>
      <c r="J195">
        <v>110.00000000000001</v>
      </c>
      <c r="K195">
        <v>110</v>
      </c>
      <c r="O195">
        <f t="shared" si="168"/>
        <v>3052.31</v>
      </c>
      <c r="P195">
        <f t="shared" si="169"/>
        <v>3052.31</v>
      </c>
      <c r="Q195">
        <f>(ROUND((ROUND(((ET195)*AV195*I195),2)*BB195),2)+ROUND((ROUND(((AE195-(EU195))*AV195*I195),2)*BS195),2))</f>
        <v>0</v>
      </c>
      <c r="R195">
        <f t="shared" si="171"/>
        <v>0</v>
      </c>
      <c r="S195">
        <f t="shared" si="172"/>
        <v>0</v>
      </c>
      <c r="T195">
        <f t="shared" si="173"/>
        <v>0</v>
      </c>
      <c r="U195">
        <f t="shared" si="174"/>
        <v>0</v>
      </c>
      <c r="V195">
        <f t="shared" si="175"/>
        <v>0</v>
      </c>
      <c r="W195">
        <f t="shared" si="176"/>
        <v>0</v>
      </c>
      <c r="X195">
        <f t="shared" si="177"/>
        <v>0</v>
      </c>
      <c r="Y195">
        <f t="shared" si="178"/>
        <v>0</v>
      </c>
      <c r="AA195">
        <v>56610029</v>
      </c>
      <c r="AB195">
        <f t="shared" si="179"/>
        <v>104.99</v>
      </c>
      <c r="AC195">
        <f t="shared" si="180"/>
        <v>104.99</v>
      </c>
      <c r="AD195">
        <f>ROUND((((ET195)-(EU195))+AE195),6)</f>
        <v>0</v>
      </c>
      <c r="AE195">
        <f>ROUND((EU195),6)</f>
        <v>0</v>
      </c>
      <c r="AF195">
        <f>ROUND((EV195),6)</f>
        <v>0</v>
      </c>
      <c r="AG195">
        <f t="shared" si="183"/>
        <v>0</v>
      </c>
      <c r="AH195">
        <f>(EW195)</f>
        <v>0</v>
      </c>
      <c r="AI195">
        <f>(EX195)</f>
        <v>0</v>
      </c>
      <c r="AJ195">
        <f t="shared" si="185"/>
        <v>0</v>
      </c>
      <c r="AK195">
        <v>104.99</v>
      </c>
      <c r="AL195">
        <v>104.99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</v>
      </c>
      <c r="AW195">
        <v>1.002</v>
      </c>
      <c r="AZ195">
        <v>1</v>
      </c>
      <c r="BA195">
        <v>1</v>
      </c>
      <c r="BB195">
        <v>1</v>
      </c>
      <c r="BC195">
        <v>7.69</v>
      </c>
      <c r="BD195" t="s">
        <v>3</v>
      </c>
      <c r="BE195" t="s">
        <v>3</v>
      </c>
      <c r="BF195" t="s">
        <v>3</v>
      </c>
      <c r="BG195" t="s">
        <v>3</v>
      </c>
      <c r="BH195">
        <v>3</v>
      </c>
      <c r="BI195">
        <v>1</v>
      </c>
      <c r="BJ195" t="s">
        <v>86</v>
      </c>
      <c r="BM195">
        <v>146</v>
      </c>
      <c r="BN195">
        <v>0</v>
      </c>
      <c r="BO195" t="s">
        <v>83</v>
      </c>
      <c r="BP195">
        <v>1</v>
      </c>
      <c r="BQ195">
        <v>30</v>
      </c>
      <c r="BR195">
        <v>0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 t="s">
        <v>3</v>
      </c>
      <c r="BZ195">
        <v>0</v>
      </c>
      <c r="CA195">
        <v>0</v>
      </c>
      <c r="CB195" t="s">
        <v>3</v>
      </c>
      <c r="CE195">
        <v>30</v>
      </c>
      <c r="CF195">
        <v>0</v>
      </c>
      <c r="CG195">
        <v>0</v>
      </c>
      <c r="CM195">
        <v>0</v>
      </c>
      <c r="CN195" t="s">
        <v>3</v>
      </c>
      <c r="CO195">
        <v>0</v>
      </c>
      <c r="CP195">
        <f t="shared" si="186"/>
        <v>3052.31</v>
      </c>
      <c r="CQ195">
        <f t="shared" si="187"/>
        <v>808.99</v>
      </c>
      <c r="CR195">
        <f>(ROUND((ROUND(((ET195)*AV195*1),2)*BB195),2)+ROUND((ROUND(((AE195-(EU195))*AV195*1),2)*BS195),2))</f>
        <v>0</v>
      </c>
      <c r="CS195">
        <f t="shared" si="189"/>
        <v>0</v>
      </c>
      <c r="CT195">
        <f t="shared" si="190"/>
        <v>0</v>
      </c>
      <c r="CU195">
        <f t="shared" si="191"/>
        <v>0</v>
      </c>
      <c r="CV195">
        <f t="shared" si="192"/>
        <v>0</v>
      </c>
      <c r="CW195">
        <f t="shared" si="193"/>
        <v>0</v>
      </c>
      <c r="CX195">
        <f t="shared" si="194"/>
        <v>0</v>
      </c>
      <c r="CY195">
        <f>S195*(BZ195/100)</f>
        <v>0</v>
      </c>
      <c r="CZ195">
        <f>S195*(CA195/100)</f>
        <v>0</v>
      </c>
      <c r="DC195" t="s">
        <v>3</v>
      </c>
      <c r="DD195" t="s">
        <v>3</v>
      </c>
      <c r="DE195" t="s">
        <v>3</v>
      </c>
      <c r="DF195" t="s">
        <v>3</v>
      </c>
      <c r="DG195" t="s">
        <v>3</v>
      </c>
      <c r="DH195" t="s">
        <v>3</v>
      </c>
      <c r="DI195" t="s">
        <v>3</v>
      </c>
      <c r="DJ195" t="s">
        <v>3</v>
      </c>
      <c r="DK195" t="s">
        <v>3</v>
      </c>
      <c r="DL195" t="s">
        <v>3</v>
      </c>
      <c r="DM195" t="s">
        <v>3</v>
      </c>
      <c r="DN195">
        <v>161</v>
      </c>
      <c r="DO195">
        <v>107</v>
      </c>
      <c r="DP195">
        <v>1.0469999999999999</v>
      </c>
      <c r="DQ195">
        <v>1.002</v>
      </c>
      <c r="DU195">
        <v>1007</v>
      </c>
      <c r="DV195" t="s">
        <v>85</v>
      </c>
      <c r="DW195" t="s">
        <v>85</v>
      </c>
      <c r="DX195">
        <v>1</v>
      </c>
      <c r="DZ195" t="s">
        <v>3</v>
      </c>
      <c r="EA195" t="s">
        <v>3</v>
      </c>
      <c r="EB195" t="s">
        <v>3</v>
      </c>
      <c r="EC195" t="s">
        <v>3</v>
      </c>
      <c r="EE195">
        <v>51696185</v>
      </c>
      <c r="EF195">
        <v>30</v>
      </c>
      <c r="EG195" t="s">
        <v>23</v>
      </c>
      <c r="EH195">
        <v>0</v>
      </c>
      <c r="EI195" t="s">
        <v>3</v>
      </c>
      <c r="EJ195">
        <v>1</v>
      </c>
      <c r="EK195">
        <v>146</v>
      </c>
      <c r="EL195" t="s">
        <v>289</v>
      </c>
      <c r="EM195" t="s">
        <v>290</v>
      </c>
      <c r="EO195" t="s">
        <v>3</v>
      </c>
      <c r="EQ195">
        <v>0</v>
      </c>
      <c r="ER195">
        <v>104.99</v>
      </c>
      <c r="ES195">
        <v>104.99</v>
      </c>
      <c r="ET195">
        <v>0</v>
      </c>
      <c r="EU195">
        <v>0</v>
      </c>
      <c r="EV195">
        <v>0</v>
      </c>
      <c r="EW195">
        <v>0</v>
      </c>
      <c r="EX195">
        <v>0</v>
      </c>
      <c r="FQ195">
        <v>0</v>
      </c>
      <c r="FR195">
        <v>0</v>
      </c>
      <c r="FS195">
        <v>0</v>
      </c>
      <c r="FX195">
        <v>161</v>
      </c>
      <c r="FY195">
        <v>107</v>
      </c>
      <c r="GA195" t="s">
        <v>3</v>
      </c>
      <c r="GD195">
        <v>0</v>
      </c>
      <c r="GF195">
        <v>921520</v>
      </c>
      <c r="GG195">
        <v>2</v>
      </c>
      <c r="GH195">
        <v>1</v>
      </c>
      <c r="GI195">
        <v>2</v>
      </c>
      <c r="GJ195">
        <v>0</v>
      </c>
      <c r="GK195">
        <f>ROUND(R195*(S12)/100,2)</f>
        <v>0</v>
      </c>
      <c r="GL195">
        <f t="shared" si="195"/>
        <v>0</v>
      </c>
      <c r="GM195">
        <f t="shared" si="196"/>
        <v>3052.31</v>
      </c>
      <c r="GN195">
        <f t="shared" si="197"/>
        <v>3052.31</v>
      </c>
      <c r="GO195">
        <f t="shared" si="198"/>
        <v>0</v>
      </c>
      <c r="GP195">
        <f t="shared" si="199"/>
        <v>0</v>
      </c>
      <c r="GR195">
        <v>0</v>
      </c>
      <c r="GS195">
        <v>3</v>
      </c>
      <c r="GT195">
        <v>0</v>
      </c>
      <c r="GU195" t="s">
        <v>3</v>
      </c>
      <c r="GV195">
        <f t="shared" si="200"/>
        <v>0</v>
      </c>
      <c r="GW195">
        <v>1</v>
      </c>
      <c r="GX195">
        <f t="shared" si="201"/>
        <v>0</v>
      </c>
      <c r="HA195">
        <v>0</v>
      </c>
      <c r="HB195">
        <v>0</v>
      </c>
      <c r="HC195">
        <f t="shared" si="202"/>
        <v>0</v>
      </c>
      <c r="HE195" t="s">
        <v>3</v>
      </c>
      <c r="HF195" t="s">
        <v>3</v>
      </c>
      <c r="HM195" t="s">
        <v>3</v>
      </c>
      <c r="HN195" t="s">
        <v>3</v>
      </c>
      <c r="HO195" t="s">
        <v>3</v>
      </c>
      <c r="HP195" t="s">
        <v>3</v>
      </c>
      <c r="HQ195" t="s">
        <v>3</v>
      </c>
      <c r="HS195">
        <v>0</v>
      </c>
      <c r="IK195">
        <v>0</v>
      </c>
    </row>
    <row r="196" spans="1:255" x14ac:dyDescent="0.2">
      <c r="A196" s="2">
        <v>17</v>
      </c>
      <c r="B196" s="2">
        <v>1</v>
      </c>
      <c r="C196" s="2">
        <f>ROW(SmtRes!A27)</f>
        <v>27</v>
      </c>
      <c r="D196" s="2">
        <f>ROW(EtalonRes!A378)</f>
        <v>378</v>
      </c>
      <c r="E196" s="2" t="s">
        <v>293</v>
      </c>
      <c r="F196" s="2" t="s">
        <v>294</v>
      </c>
      <c r="G196" s="2" t="s">
        <v>295</v>
      </c>
      <c r="H196" s="2" t="s">
        <v>296</v>
      </c>
      <c r="I196" s="2">
        <f>ROUND(9.8/1000,9)</f>
        <v>9.7999999999999997E-3</v>
      </c>
      <c r="J196" s="2">
        <v>0</v>
      </c>
      <c r="K196" s="2">
        <f>ROUND(9.8/1000,9)</f>
        <v>9.7999999999999997E-3</v>
      </c>
      <c r="L196" s="2"/>
      <c r="M196" s="2"/>
      <c r="N196" s="2"/>
      <c r="O196" s="2">
        <f t="shared" si="168"/>
        <v>120.81</v>
      </c>
      <c r="P196" s="2">
        <f t="shared" si="169"/>
        <v>66.209999999999994</v>
      </c>
      <c r="Q196" s="2">
        <f>(ROUND((ROUND((((ET196*1.05))*AV196*I196),2)*BB196),2)+ROUND((ROUND(((AE196-((EU196*1.05)))*AV196*I196),2)*BS196),2))</f>
        <v>21.61</v>
      </c>
      <c r="R196" s="2">
        <f t="shared" si="171"/>
        <v>1.76</v>
      </c>
      <c r="S196" s="2">
        <f t="shared" si="172"/>
        <v>32.99</v>
      </c>
      <c r="T196" s="2">
        <f t="shared" si="173"/>
        <v>0</v>
      </c>
      <c r="U196" s="2">
        <f t="shared" si="174"/>
        <v>2.8765592099999999</v>
      </c>
      <c r="V196" s="2">
        <f t="shared" si="175"/>
        <v>0</v>
      </c>
      <c r="W196" s="2">
        <f t="shared" si="176"/>
        <v>0</v>
      </c>
      <c r="X196" s="2">
        <f t="shared" si="177"/>
        <v>53.11</v>
      </c>
      <c r="Y196" s="2">
        <f t="shared" si="178"/>
        <v>35.299999999999997</v>
      </c>
      <c r="Z196" s="2"/>
      <c r="AA196" s="2">
        <v>56622490</v>
      </c>
      <c r="AB196" s="2">
        <f t="shared" si="179"/>
        <v>12064.766</v>
      </c>
      <c r="AC196" s="2">
        <f t="shared" si="180"/>
        <v>6742.82</v>
      </c>
      <c r="AD196" s="2">
        <f>ROUND(((((ET196*1.05))-((EU196*1.05)))+AE196),6)</f>
        <v>2106.3314999999998</v>
      </c>
      <c r="AE196" s="2">
        <f>ROUND(((EU196*1.05)),6)</f>
        <v>171.654</v>
      </c>
      <c r="AF196" s="2">
        <f>ROUND(((EV196*1.05)),6)</f>
        <v>3215.6145000000001</v>
      </c>
      <c r="AG196" s="2">
        <f t="shared" si="183"/>
        <v>0</v>
      </c>
      <c r="AH196" s="2">
        <f>((EW196*1.05))</f>
        <v>280.35000000000002</v>
      </c>
      <c r="AI196" s="2">
        <f>((EX196*1.05))</f>
        <v>0</v>
      </c>
      <c r="AJ196" s="2">
        <f t="shared" si="185"/>
        <v>0</v>
      </c>
      <c r="AK196" s="2">
        <v>11811.34</v>
      </c>
      <c r="AL196" s="2">
        <v>6742.82</v>
      </c>
      <c r="AM196" s="2">
        <v>2006.03</v>
      </c>
      <c r="AN196" s="2">
        <v>163.47999999999999</v>
      </c>
      <c r="AO196" s="2">
        <v>3062.49</v>
      </c>
      <c r="AP196" s="2">
        <v>0</v>
      </c>
      <c r="AQ196" s="2">
        <v>267</v>
      </c>
      <c r="AR196" s="2">
        <v>0</v>
      </c>
      <c r="AS196" s="2">
        <v>0</v>
      </c>
      <c r="AT196" s="2">
        <v>161</v>
      </c>
      <c r="AU196" s="2">
        <v>107</v>
      </c>
      <c r="AV196" s="2">
        <v>1.0469999999999999</v>
      </c>
      <c r="AW196" s="2">
        <v>1.002</v>
      </c>
      <c r="AX196" s="2"/>
      <c r="AY196" s="2"/>
      <c r="AZ196" s="2">
        <v>1</v>
      </c>
      <c r="BA196" s="2">
        <v>1</v>
      </c>
      <c r="BB196" s="2">
        <v>1</v>
      </c>
      <c r="BC196" s="2">
        <v>1</v>
      </c>
      <c r="BD196" s="2" t="s">
        <v>3</v>
      </c>
      <c r="BE196" s="2" t="s">
        <v>3</v>
      </c>
      <c r="BF196" s="2" t="s">
        <v>3</v>
      </c>
      <c r="BG196" s="2" t="s">
        <v>3</v>
      </c>
      <c r="BH196" s="2">
        <v>0</v>
      </c>
      <c r="BI196" s="2">
        <v>1</v>
      </c>
      <c r="BJ196" s="2" t="s">
        <v>297</v>
      </c>
      <c r="BK196" s="2"/>
      <c r="BL196" s="2"/>
      <c r="BM196" s="2">
        <v>152</v>
      </c>
      <c r="BN196" s="2">
        <v>0</v>
      </c>
      <c r="BO196" s="2" t="s">
        <v>3</v>
      </c>
      <c r="BP196" s="2">
        <v>0</v>
      </c>
      <c r="BQ196" s="2">
        <v>30</v>
      </c>
      <c r="BR196" s="2">
        <v>0</v>
      </c>
      <c r="BS196" s="2">
        <v>1</v>
      </c>
      <c r="BT196" s="2">
        <v>1</v>
      </c>
      <c r="BU196" s="2">
        <v>1</v>
      </c>
      <c r="BV196" s="2">
        <v>1</v>
      </c>
      <c r="BW196" s="2">
        <v>1</v>
      </c>
      <c r="BX196" s="2">
        <v>1</v>
      </c>
      <c r="BY196" s="2" t="s">
        <v>3</v>
      </c>
      <c r="BZ196" s="2">
        <v>161</v>
      </c>
      <c r="CA196" s="2">
        <v>107</v>
      </c>
      <c r="CB196" s="2" t="s">
        <v>3</v>
      </c>
      <c r="CC196" s="2"/>
      <c r="CD196" s="2"/>
      <c r="CE196" s="2">
        <v>30</v>
      </c>
      <c r="CF196" s="2">
        <v>0</v>
      </c>
      <c r="CG196" s="2">
        <v>0</v>
      </c>
      <c r="CH196" s="2"/>
      <c r="CI196" s="2"/>
      <c r="CJ196" s="2"/>
      <c r="CK196" s="2"/>
      <c r="CL196" s="2"/>
      <c r="CM196" s="2">
        <v>0</v>
      </c>
      <c r="CN196" s="2" t="s">
        <v>708</v>
      </c>
      <c r="CO196" s="2">
        <v>0</v>
      </c>
      <c r="CP196" s="2">
        <f t="shared" si="186"/>
        <v>120.81</v>
      </c>
      <c r="CQ196" s="2">
        <f t="shared" si="187"/>
        <v>6756.31</v>
      </c>
      <c r="CR196" s="2">
        <f>(ROUND((ROUND((((ET196*1.05))*AV196*1),2)*BB196),2)+ROUND((ROUND(((AE196-((EU196*1.05)))*AV196*1),2)*BS196),2))</f>
        <v>2205.33</v>
      </c>
      <c r="CS196" s="2">
        <f t="shared" si="189"/>
        <v>179.72</v>
      </c>
      <c r="CT196" s="2">
        <f t="shared" si="190"/>
        <v>3366.75</v>
      </c>
      <c r="CU196" s="2">
        <f t="shared" si="191"/>
        <v>0</v>
      </c>
      <c r="CV196" s="2">
        <f t="shared" si="192"/>
        <v>293.52645000000001</v>
      </c>
      <c r="CW196" s="2">
        <f t="shared" si="193"/>
        <v>0</v>
      </c>
      <c r="CX196" s="2">
        <f t="shared" si="194"/>
        <v>0</v>
      </c>
      <c r="CY196" s="2">
        <f>((S196*BZ196)/100)</f>
        <v>53.113900000000001</v>
      </c>
      <c r="CZ196" s="2">
        <f>((S196*CA196)/100)</f>
        <v>35.299300000000002</v>
      </c>
      <c r="DA196" s="2"/>
      <c r="DB196" s="2">
        <v>91</v>
      </c>
      <c r="DC196" s="2" t="s">
        <v>3</v>
      </c>
      <c r="DD196" s="2" t="s">
        <v>3</v>
      </c>
      <c r="DE196" s="2" t="s">
        <v>22</v>
      </c>
      <c r="DF196" s="2" t="s">
        <v>22</v>
      </c>
      <c r="DG196" s="2" t="s">
        <v>22</v>
      </c>
      <c r="DH196" s="2" t="s">
        <v>3</v>
      </c>
      <c r="DI196" s="2" t="s">
        <v>22</v>
      </c>
      <c r="DJ196" s="2" t="s">
        <v>22</v>
      </c>
      <c r="DK196" s="2" t="s">
        <v>3</v>
      </c>
      <c r="DL196" s="2" t="s">
        <v>3</v>
      </c>
      <c r="DM196" s="2" t="s">
        <v>3</v>
      </c>
      <c r="DN196" s="2">
        <v>0</v>
      </c>
      <c r="DO196" s="2">
        <v>0</v>
      </c>
      <c r="DP196" s="2">
        <v>1</v>
      </c>
      <c r="DQ196" s="2">
        <v>1</v>
      </c>
      <c r="DR196" s="2"/>
      <c r="DS196" s="2"/>
      <c r="DT196" s="2"/>
      <c r="DU196" s="2">
        <v>1013</v>
      </c>
      <c r="DV196" s="2" t="s">
        <v>296</v>
      </c>
      <c r="DW196" s="2" t="s">
        <v>296</v>
      </c>
      <c r="DX196" s="2">
        <v>1</v>
      </c>
      <c r="DY196" s="2"/>
      <c r="DZ196" s="2" t="s">
        <v>3</v>
      </c>
      <c r="EA196" s="2" t="s">
        <v>3</v>
      </c>
      <c r="EB196" s="2" t="s">
        <v>3</v>
      </c>
      <c r="EC196" s="2" t="s">
        <v>3</v>
      </c>
      <c r="ED196" s="2"/>
      <c r="EE196" s="2">
        <v>51696191</v>
      </c>
      <c r="EF196" s="2">
        <v>30</v>
      </c>
      <c r="EG196" s="2" t="s">
        <v>23</v>
      </c>
      <c r="EH196" s="2">
        <v>0</v>
      </c>
      <c r="EI196" s="2" t="s">
        <v>3</v>
      </c>
      <c r="EJ196" s="2">
        <v>1</v>
      </c>
      <c r="EK196" s="2">
        <v>152</v>
      </c>
      <c r="EL196" s="2" t="s">
        <v>298</v>
      </c>
      <c r="EM196" s="2" t="s">
        <v>299</v>
      </c>
      <c r="EN196" s="2"/>
      <c r="EO196" s="2" t="s">
        <v>26</v>
      </c>
      <c r="EP196" s="2"/>
      <c r="EQ196" s="2">
        <v>131072</v>
      </c>
      <c r="ER196" s="2">
        <v>11811.34</v>
      </c>
      <c r="ES196" s="2">
        <v>6742.82</v>
      </c>
      <c r="ET196" s="2">
        <v>2006.03</v>
      </c>
      <c r="EU196" s="2">
        <v>163.47999999999999</v>
      </c>
      <c r="EV196" s="2">
        <v>3062.49</v>
      </c>
      <c r="EW196" s="2">
        <v>267</v>
      </c>
      <c r="EX196" s="2">
        <v>0</v>
      </c>
      <c r="EY196" s="2">
        <v>0</v>
      </c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>
        <v>0</v>
      </c>
      <c r="FR196" s="2">
        <v>0</v>
      </c>
      <c r="FS196" s="2">
        <v>0</v>
      </c>
      <c r="FT196" s="2"/>
      <c r="FU196" s="2"/>
      <c r="FV196" s="2"/>
      <c r="FW196" s="2"/>
      <c r="FX196" s="2">
        <v>161</v>
      </c>
      <c r="FY196" s="2">
        <v>107</v>
      </c>
      <c r="FZ196" s="2"/>
      <c r="GA196" s="2" t="s">
        <v>3</v>
      </c>
      <c r="GB196" s="2"/>
      <c r="GC196" s="2"/>
      <c r="GD196" s="2">
        <v>0</v>
      </c>
      <c r="GE196" s="2"/>
      <c r="GF196" s="2">
        <v>-245766510</v>
      </c>
      <c r="GG196" s="2">
        <v>2</v>
      </c>
      <c r="GH196" s="2">
        <v>1</v>
      </c>
      <c r="GI196" s="2">
        <v>-2</v>
      </c>
      <c r="GJ196" s="2">
        <v>0</v>
      </c>
      <c r="GK196" s="2">
        <f>ROUND(R196*(R12)/100,2)</f>
        <v>3.08</v>
      </c>
      <c r="GL196" s="2">
        <f t="shared" si="195"/>
        <v>0</v>
      </c>
      <c r="GM196" s="2">
        <f t="shared" si="196"/>
        <v>212.3</v>
      </c>
      <c r="GN196" s="2">
        <f t="shared" si="197"/>
        <v>212.3</v>
      </c>
      <c r="GO196" s="2">
        <f t="shared" si="198"/>
        <v>0</v>
      </c>
      <c r="GP196" s="2">
        <f t="shared" si="199"/>
        <v>0</v>
      </c>
      <c r="GQ196" s="2"/>
      <c r="GR196" s="2">
        <v>0</v>
      </c>
      <c r="GS196" s="2">
        <v>0</v>
      </c>
      <c r="GT196" s="2">
        <v>0</v>
      </c>
      <c r="GU196" s="2" t="s">
        <v>3</v>
      </c>
      <c r="GV196" s="2">
        <f t="shared" si="200"/>
        <v>0</v>
      </c>
      <c r="GW196" s="2">
        <v>1</v>
      </c>
      <c r="GX196" s="2">
        <f t="shared" si="201"/>
        <v>0</v>
      </c>
      <c r="GY196" s="2"/>
      <c r="GZ196" s="2"/>
      <c r="HA196" s="2">
        <v>0</v>
      </c>
      <c r="HB196" s="2">
        <v>0</v>
      </c>
      <c r="HC196" s="2">
        <f t="shared" si="202"/>
        <v>0</v>
      </c>
      <c r="HD196" s="2"/>
      <c r="HE196" s="2" t="s">
        <v>3</v>
      </c>
      <c r="HF196" s="2" t="s">
        <v>3</v>
      </c>
      <c r="HG196" s="2"/>
      <c r="HH196" s="2"/>
      <c r="HI196" s="2"/>
      <c r="HJ196" s="2"/>
      <c r="HK196" s="2"/>
      <c r="HL196" s="2"/>
      <c r="HM196" s="2" t="s">
        <v>3</v>
      </c>
      <c r="HN196" s="2" t="s">
        <v>3</v>
      </c>
      <c r="HO196" s="2" t="s">
        <v>3</v>
      </c>
      <c r="HP196" s="2" t="s">
        <v>3</v>
      </c>
      <c r="HQ196" s="2" t="s">
        <v>3</v>
      </c>
      <c r="HR196" s="2"/>
      <c r="HS196" s="2">
        <v>0</v>
      </c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>
        <v>0</v>
      </c>
      <c r="IL196" s="2"/>
      <c r="IM196" s="2"/>
      <c r="IN196" s="2"/>
      <c r="IO196" s="2"/>
      <c r="IP196" s="2"/>
      <c r="IQ196" s="2"/>
      <c r="IR196" s="2"/>
      <c r="IS196" s="2"/>
      <c r="IT196" s="2"/>
      <c r="IU196" s="2"/>
    </row>
    <row r="197" spans="1:255" x14ac:dyDescent="0.2">
      <c r="A197">
        <v>17</v>
      </c>
      <c r="B197">
        <v>1</v>
      </c>
      <c r="C197">
        <f>ROW(SmtRes!A28)</f>
        <v>28</v>
      </c>
      <c r="D197">
        <f>ROW(EtalonRes!A390)</f>
        <v>390</v>
      </c>
      <c r="E197" t="s">
        <v>293</v>
      </c>
      <c r="F197" t="s">
        <v>294</v>
      </c>
      <c r="G197" t="s">
        <v>295</v>
      </c>
      <c r="H197" t="s">
        <v>296</v>
      </c>
      <c r="I197">
        <f>ROUND(9.8/1000,9)</f>
        <v>9.7999999999999997E-3</v>
      </c>
      <c r="J197">
        <v>0</v>
      </c>
      <c r="K197">
        <f>ROUND(9.8/1000,9)</f>
        <v>9.7999999999999997E-3</v>
      </c>
      <c r="O197">
        <f t="shared" si="168"/>
        <v>1859.08</v>
      </c>
      <c r="P197">
        <f t="shared" si="169"/>
        <v>472.08</v>
      </c>
      <c r="Q197">
        <f>(ROUND((ROUND((((ET197*1.05))*AV197*I197),2)*BB197),2)+ROUND((ROUND(((AE197-((EU197*1.05)))*AV197*I197),2)*BS197),2))</f>
        <v>248.52</v>
      </c>
      <c r="R197">
        <f t="shared" si="171"/>
        <v>60.74</v>
      </c>
      <c r="S197">
        <f t="shared" si="172"/>
        <v>1138.48</v>
      </c>
      <c r="T197">
        <f t="shared" si="173"/>
        <v>0</v>
      </c>
      <c r="U197">
        <f t="shared" si="174"/>
        <v>2.8765592099999999</v>
      </c>
      <c r="V197">
        <f t="shared" si="175"/>
        <v>0</v>
      </c>
      <c r="W197">
        <f t="shared" si="176"/>
        <v>0</v>
      </c>
      <c r="X197">
        <f t="shared" si="177"/>
        <v>1525.56</v>
      </c>
      <c r="Y197">
        <f t="shared" si="178"/>
        <v>626.16</v>
      </c>
      <c r="AA197">
        <v>56610029</v>
      </c>
      <c r="AB197">
        <f t="shared" si="179"/>
        <v>12064.766</v>
      </c>
      <c r="AC197">
        <f t="shared" si="180"/>
        <v>6742.82</v>
      </c>
      <c r="AD197">
        <f>ROUND(((((ET197*1.05))-((EU197*1.05)))+AE197),6)</f>
        <v>2106.3314999999998</v>
      </c>
      <c r="AE197">
        <f>ROUND(((EU197*1.05)),6)</f>
        <v>171.654</v>
      </c>
      <c r="AF197">
        <f>ROUND(((EV197*1.05)),6)</f>
        <v>3215.6145000000001</v>
      </c>
      <c r="AG197">
        <f t="shared" si="183"/>
        <v>0</v>
      </c>
      <c r="AH197">
        <f>((EW197*1.05))</f>
        <v>280.35000000000002</v>
      </c>
      <c r="AI197">
        <f>((EX197*1.05))</f>
        <v>0</v>
      </c>
      <c r="AJ197">
        <f t="shared" si="185"/>
        <v>0</v>
      </c>
      <c r="AK197">
        <v>11811.34</v>
      </c>
      <c r="AL197">
        <v>6742.82</v>
      </c>
      <c r="AM197">
        <v>2006.03</v>
      </c>
      <c r="AN197">
        <v>163.47999999999999</v>
      </c>
      <c r="AO197">
        <v>3062.49</v>
      </c>
      <c r="AP197">
        <v>0</v>
      </c>
      <c r="AQ197">
        <v>267</v>
      </c>
      <c r="AR197">
        <v>0</v>
      </c>
      <c r="AS197">
        <v>0</v>
      </c>
      <c r="AT197">
        <v>134</v>
      </c>
      <c r="AU197">
        <v>55</v>
      </c>
      <c r="AV197">
        <v>1.0469999999999999</v>
      </c>
      <c r="AW197">
        <v>1.002</v>
      </c>
      <c r="AZ197">
        <v>1</v>
      </c>
      <c r="BA197">
        <v>34.51</v>
      </c>
      <c r="BB197">
        <v>11.5</v>
      </c>
      <c r="BC197">
        <v>7.13</v>
      </c>
      <c r="BD197" t="s">
        <v>3</v>
      </c>
      <c r="BE197" t="s">
        <v>3</v>
      </c>
      <c r="BF197" t="s">
        <v>3</v>
      </c>
      <c r="BG197" t="s">
        <v>3</v>
      </c>
      <c r="BH197">
        <v>0</v>
      </c>
      <c r="BI197">
        <v>1</v>
      </c>
      <c r="BJ197" t="s">
        <v>297</v>
      </c>
      <c r="BM197">
        <v>152</v>
      </c>
      <c r="BN197">
        <v>0</v>
      </c>
      <c r="BO197" t="s">
        <v>294</v>
      </c>
      <c r="BP197">
        <v>1</v>
      </c>
      <c r="BQ197">
        <v>30</v>
      </c>
      <c r="BR197">
        <v>0</v>
      </c>
      <c r="BS197">
        <v>34.51</v>
      </c>
      <c r="BT197">
        <v>1</v>
      </c>
      <c r="BU197">
        <v>1</v>
      </c>
      <c r="BV197">
        <v>1</v>
      </c>
      <c r="BW197">
        <v>1</v>
      </c>
      <c r="BX197">
        <v>1</v>
      </c>
      <c r="BY197" t="s">
        <v>3</v>
      </c>
      <c r="BZ197">
        <v>134</v>
      </c>
      <c r="CA197">
        <v>55</v>
      </c>
      <c r="CB197" t="s">
        <v>3</v>
      </c>
      <c r="CE197">
        <v>30</v>
      </c>
      <c r="CF197">
        <v>0</v>
      </c>
      <c r="CG197">
        <v>0</v>
      </c>
      <c r="CM197">
        <v>0</v>
      </c>
      <c r="CN197" t="s">
        <v>708</v>
      </c>
      <c r="CO197">
        <v>0</v>
      </c>
      <c r="CP197">
        <f t="shared" si="186"/>
        <v>1859.08</v>
      </c>
      <c r="CQ197">
        <f t="shared" si="187"/>
        <v>48172.49</v>
      </c>
      <c r="CR197">
        <f>(ROUND((ROUND((((ET197*1.05))*AV197*1),2)*BB197),2)+ROUND((ROUND(((AE197-((EU197*1.05)))*AV197*1),2)*BS197),2))</f>
        <v>25361.3</v>
      </c>
      <c r="CS197">
        <f t="shared" si="189"/>
        <v>6202.14</v>
      </c>
      <c r="CT197">
        <f t="shared" si="190"/>
        <v>116186.54</v>
      </c>
      <c r="CU197">
        <f t="shared" si="191"/>
        <v>0</v>
      </c>
      <c r="CV197">
        <f t="shared" si="192"/>
        <v>293.52645000000001</v>
      </c>
      <c r="CW197">
        <f t="shared" si="193"/>
        <v>0</v>
      </c>
      <c r="CX197">
        <f t="shared" si="194"/>
        <v>0</v>
      </c>
      <c r="CY197">
        <f>S197*(BZ197/100)</f>
        <v>1525.5632000000001</v>
      </c>
      <c r="CZ197">
        <f>S197*(CA197/100)</f>
        <v>626.1640000000001</v>
      </c>
      <c r="DB197">
        <v>92</v>
      </c>
      <c r="DC197" t="s">
        <v>3</v>
      </c>
      <c r="DD197" t="s">
        <v>3</v>
      </c>
      <c r="DE197" t="s">
        <v>22</v>
      </c>
      <c r="DF197" t="s">
        <v>22</v>
      </c>
      <c r="DG197" t="s">
        <v>22</v>
      </c>
      <c r="DH197" t="s">
        <v>3</v>
      </c>
      <c r="DI197" t="s">
        <v>22</v>
      </c>
      <c r="DJ197" t="s">
        <v>22</v>
      </c>
      <c r="DK197" t="s">
        <v>3</v>
      </c>
      <c r="DL197" t="s">
        <v>3</v>
      </c>
      <c r="DM197" t="s">
        <v>3</v>
      </c>
      <c r="DN197">
        <v>161</v>
      </c>
      <c r="DO197">
        <v>107</v>
      </c>
      <c r="DP197">
        <v>1.0469999999999999</v>
      </c>
      <c r="DQ197">
        <v>1.002</v>
      </c>
      <c r="DU197">
        <v>1013</v>
      </c>
      <c r="DV197" t="s">
        <v>296</v>
      </c>
      <c r="DW197" t="s">
        <v>296</v>
      </c>
      <c r="DX197">
        <v>1</v>
      </c>
      <c r="DZ197" t="s">
        <v>3</v>
      </c>
      <c r="EA197" t="s">
        <v>3</v>
      </c>
      <c r="EB197" t="s">
        <v>3</v>
      </c>
      <c r="EC197" t="s">
        <v>3</v>
      </c>
      <c r="EE197">
        <v>51696191</v>
      </c>
      <c r="EF197">
        <v>30</v>
      </c>
      <c r="EG197" t="s">
        <v>23</v>
      </c>
      <c r="EH197">
        <v>0</v>
      </c>
      <c r="EI197" t="s">
        <v>3</v>
      </c>
      <c r="EJ197">
        <v>1</v>
      </c>
      <c r="EK197">
        <v>152</v>
      </c>
      <c r="EL197" t="s">
        <v>298</v>
      </c>
      <c r="EM197" t="s">
        <v>299</v>
      </c>
      <c r="EO197" t="s">
        <v>26</v>
      </c>
      <c r="EQ197">
        <v>131072</v>
      </c>
      <c r="ER197">
        <v>11811.34</v>
      </c>
      <c r="ES197">
        <v>6742.82</v>
      </c>
      <c r="ET197">
        <v>2006.03</v>
      </c>
      <c r="EU197">
        <v>163.47999999999999</v>
      </c>
      <c r="EV197">
        <v>3062.49</v>
      </c>
      <c r="EW197">
        <v>267</v>
      </c>
      <c r="EX197">
        <v>0</v>
      </c>
      <c r="EY197">
        <v>0</v>
      </c>
      <c r="FQ197">
        <v>0</v>
      </c>
      <c r="FR197">
        <v>0</v>
      </c>
      <c r="FS197">
        <v>0</v>
      </c>
      <c r="FX197">
        <v>161</v>
      </c>
      <c r="FY197">
        <v>107</v>
      </c>
      <c r="GA197" t="s">
        <v>3</v>
      </c>
      <c r="GD197">
        <v>0</v>
      </c>
      <c r="GF197">
        <v>-245766510</v>
      </c>
      <c r="GG197">
        <v>2</v>
      </c>
      <c r="GH197">
        <v>1</v>
      </c>
      <c r="GI197">
        <v>2</v>
      </c>
      <c r="GJ197">
        <v>0</v>
      </c>
      <c r="GK197">
        <f>ROUND(R197*(S12)/100,2)</f>
        <v>97.18</v>
      </c>
      <c r="GL197">
        <f t="shared" si="195"/>
        <v>0</v>
      </c>
      <c r="GM197">
        <f t="shared" si="196"/>
        <v>4107.9799999999996</v>
      </c>
      <c r="GN197">
        <f t="shared" si="197"/>
        <v>4107.9799999999996</v>
      </c>
      <c r="GO197">
        <f t="shared" si="198"/>
        <v>0</v>
      </c>
      <c r="GP197">
        <f t="shared" si="199"/>
        <v>0</v>
      </c>
      <c r="GR197">
        <v>0</v>
      </c>
      <c r="GS197">
        <v>3</v>
      </c>
      <c r="GT197">
        <v>0</v>
      </c>
      <c r="GU197" t="s">
        <v>3</v>
      </c>
      <c r="GV197">
        <f t="shared" si="200"/>
        <v>0</v>
      </c>
      <c r="GW197">
        <v>1</v>
      </c>
      <c r="GX197">
        <f t="shared" si="201"/>
        <v>0</v>
      </c>
      <c r="HA197">
        <v>0</v>
      </c>
      <c r="HB197">
        <v>0</v>
      </c>
      <c r="HC197">
        <f t="shared" si="202"/>
        <v>0</v>
      </c>
      <c r="HE197" t="s">
        <v>3</v>
      </c>
      <c r="HF197" t="s">
        <v>3</v>
      </c>
      <c r="HM197" t="s">
        <v>3</v>
      </c>
      <c r="HN197" t="s">
        <v>3</v>
      </c>
      <c r="HO197" t="s">
        <v>3</v>
      </c>
      <c r="HP197" t="s">
        <v>3</v>
      </c>
      <c r="HQ197" t="s">
        <v>3</v>
      </c>
      <c r="HS197">
        <v>0</v>
      </c>
      <c r="IK197">
        <v>0</v>
      </c>
    </row>
    <row r="198" spans="1:255" x14ac:dyDescent="0.2">
      <c r="A198" s="2">
        <v>18</v>
      </c>
      <c r="B198" s="2">
        <v>1</v>
      </c>
      <c r="C198" s="2">
        <v>27</v>
      </c>
      <c r="D198" s="2"/>
      <c r="E198" s="2" t="s">
        <v>300</v>
      </c>
      <c r="F198" s="2" t="s">
        <v>301</v>
      </c>
      <c r="G198" s="2" t="s">
        <v>302</v>
      </c>
      <c r="H198" s="2" t="s">
        <v>85</v>
      </c>
      <c r="I198" s="2">
        <f>I196*J198</f>
        <v>1.5875999999999999</v>
      </c>
      <c r="J198" s="2">
        <v>162</v>
      </c>
      <c r="K198" s="2">
        <v>162</v>
      </c>
      <c r="L198" s="2"/>
      <c r="M198" s="2"/>
      <c r="N198" s="2"/>
      <c r="O198" s="2">
        <f t="shared" si="168"/>
        <v>822.65</v>
      </c>
      <c r="P198" s="2">
        <f t="shared" si="169"/>
        <v>822.65</v>
      </c>
      <c r="Q198" s="2">
        <f>(ROUND((ROUND(((ET198)*AV198*I198),2)*BB198),2)+ROUND((ROUND(((AE198-(EU198))*AV198*I198),2)*BS198),2))</f>
        <v>0</v>
      </c>
      <c r="R198" s="2">
        <f t="shared" si="171"/>
        <v>0</v>
      </c>
      <c r="S198" s="2">
        <f t="shared" si="172"/>
        <v>0</v>
      </c>
      <c r="T198" s="2">
        <f t="shared" si="173"/>
        <v>0</v>
      </c>
      <c r="U198" s="2">
        <f t="shared" si="174"/>
        <v>0</v>
      </c>
      <c r="V198" s="2">
        <f t="shared" si="175"/>
        <v>0</v>
      </c>
      <c r="W198" s="2">
        <f t="shared" si="176"/>
        <v>0</v>
      </c>
      <c r="X198" s="2">
        <f t="shared" si="177"/>
        <v>0</v>
      </c>
      <c r="Y198" s="2">
        <f t="shared" si="178"/>
        <v>0</v>
      </c>
      <c r="Z198" s="2"/>
      <c r="AA198" s="2">
        <v>56622490</v>
      </c>
      <c r="AB198" s="2">
        <f t="shared" si="179"/>
        <v>517.14</v>
      </c>
      <c r="AC198" s="2">
        <f t="shared" si="180"/>
        <v>517.14</v>
      </c>
      <c r="AD198" s="2">
        <f>ROUND((((ET198)-(EU198))+AE198),6)</f>
        <v>0</v>
      </c>
      <c r="AE198" s="2">
        <f>ROUND((EU198),6)</f>
        <v>0</v>
      </c>
      <c r="AF198" s="2">
        <f>ROUND((EV198),6)</f>
        <v>0</v>
      </c>
      <c r="AG198" s="2">
        <f t="shared" si="183"/>
        <v>0</v>
      </c>
      <c r="AH198" s="2">
        <f>(EW198)</f>
        <v>0</v>
      </c>
      <c r="AI198" s="2">
        <f>(EX198)</f>
        <v>0</v>
      </c>
      <c r="AJ198" s="2">
        <f t="shared" si="185"/>
        <v>0</v>
      </c>
      <c r="AK198" s="2">
        <v>517.14</v>
      </c>
      <c r="AL198" s="2">
        <v>517.14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161</v>
      </c>
      <c r="AU198" s="2">
        <v>107</v>
      </c>
      <c r="AV198" s="2">
        <v>1.0469999999999999</v>
      </c>
      <c r="AW198" s="2">
        <v>1.002</v>
      </c>
      <c r="AX198" s="2"/>
      <c r="AY198" s="2"/>
      <c r="AZ198" s="2">
        <v>1</v>
      </c>
      <c r="BA198" s="2">
        <v>1</v>
      </c>
      <c r="BB198" s="2">
        <v>1</v>
      </c>
      <c r="BC198" s="2">
        <v>1</v>
      </c>
      <c r="BD198" s="2" t="s">
        <v>3</v>
      </c>
      <c r="BE198" s="2" t="s">
        <v>3</v>
      </c>
      <c r="BF198" s="2" t="s">
        <v>3</v>
      </c>
      <c r="BG198" s="2" t="s">
        <v>3</v>
      </c>
      <c r="BH198" s="2">
        <v>3</v>
      </c>
      <c r="BI198" s="2">
        <v>1</v>
      </c>
      <c r="BJ198" s="2" t="s">
        <v>303</v>
      </c>
      <c r="BK198" s="2"/>
      <c r="BL198" s="2"/>
      <c r="BM198" s="2">
        <v>152</v>
      </c>
      <c r="BN198" s="2">
        <v>0</v>
      </c>
      <c r="BO198" s="2" t="s">
        <v>3</v>
      </c>
      <c r="BP198" s="2">
        <v>0</v>
      </c>
      <c r="BQ198" s="2">
        <v>30</v>
      </c>
      <c r="BR198" s="2">
        <v>0</v>
      </c>
      <c r="BS198" s="2">
        <v>1</v>
      </c>
      <c r="BT198" s="2">
        <v>1</v>
      </c>
      <c r="BU198" s="2">
        <v>1</v>
      </c>
      <c r="BV198" s="2">
        <v>1</v>
      </c>
      <c r="BW198" s="2">
        <v>1</v>
      </c>
      <c r="BX198" s="2">
        <v>1</v>
      </c>
      <c r="BY198" s="2" t="s">
        <v>3</v>
      </c>
      <c r="BZ198" s="2">
        <v>161</v>
      </c>
      <c r="CA198" s="2">
        <v>107</v>
      </c>
      <c r="CB198" s="2" t="s">
        <v>3</v>
      </c>
      <c r="CC198" s="2"/>
      <c r="CD198" s="2"/>
      <c r="CE198" s="2">
        <v>30</v>
      </c>
      <c r="CF198" s="2">
        <v>0</v>
      </c>
      <c r="CG198" s="2">
        <v>0</v>
      </c>
      <c r="CH198" s="2"/>
      <c r="CI198" s="2"/>
      <c r="CJ198" s="2"/>
      <c r="CK198" s="2"/>
      <c r="CL198" s="2"/>
      <c r="CM198" s="2">
        <v>0</v>
      </c>
      <c r="CN198" s="2" t="s">
        <v>3</v>
      </c>
      <c r="CO198" s="2">
        <v>0</v>
      </c>
      <c r="CP198" s="2">
        <f t="shared" si="186"/>
        <v>822.65</v>
      </c>
      <c r="CQ198" s="2">
        <f t="shared" si="187"/>
        <v>518.16999999999996</v>
      </c>
      <c r="CR198" s="2">
        <f>(ROUND((ROUND(((ET198)*AV198*1),2)*BB198),2)+ROUND((ROUND(((AE198-(EU198))*AV198*1),2)*BS198),2))</f>
        <v>0</v>
      </c>
      <c r="CS198" s="2">
        <f t="shared" si="189"/>
        <v>0</v>
      </c>
      <c r="CT198" s="2">
        <f t="shared" si="190"/>
        <v>0</v>
      </c>
      <c r="CU198" s="2">
        <f t="shared" si="191"/>
        <v>0</v>
      </c>
      <c r="CV198" s="2">
        <f t="shared" si="192"/>
        <v>0</v>
      </c>
      <c r="CW198" s="2">
        <f t="shared" si="193"/>
        <v>0</v>
      </c>
      <c r="CX198" s="2">
        <f t="shared" si="194"/>
        <v>0</v>
      </c>
      <c r="CY198" s="2">
        <f>((S198*BZ198)/100)</f>
        <v>0</v>
      </c>
      <c r="CZ198" s="2">
        <f>((S198*CA198)/100)</f>
        <v>0</v>
      </c>
      <c r="DA198" s="2"/>
      <c r="DB198" s="2"/>
      <c r="DC198" s="2" t="s">
        <v>3</v>
      </c>
      <c r="DD198" s="2" t="s">
        <v>3</v>
      </c>
      <c r="DE198" s="2" t="s">
        <v>3</v>
      </c>
      <c r="DF198" s="2" t="s">
        <v>3</v>
      </c>
      <c r="DG198" s="2" t="s">
        <v>3</v>
      </c>
      <c r="DH198" s="2" t="s">
        <v>3</v>
      </c>
      <c r="DI198" s="2" t="s">
        <v>3</v>
      </c>
      <c r="DJ198" s="2" t="s">
        <v>3</v>
      </c>
      <c r="DK198" s="2" t="s">
        <v>3</v>
      </c>
      <c r="DL198" s="2" t="s">
        <v>3</v>
      </c>
      <c r="DM198" s="2" t="s">
        <v>3</v>
      </c>
      <c r="DN198" s="2">
        <v>0</v>
      </c>
      <c r="DO198" s="2">
        <v>0</v>
      </c>
      <c r="DP198" s="2">
        <v>1</v>
      </c>
      <c r="DQ198" s="2">
        <v>1</v>
      </c>
      <c r="DR198" s="2"/>
      <c r="DS198" s="2"/>
      <c r="DT198" s="2"/>
      <c r="DU198" s="2">
        <v>1007</v>
      </c>
      <c r="DV198" s="2" t="s">
        <v>85</v>
      </c>
      <c r="DW198" s="2" t="s">
        <v>85</v>
      </c>
      <c r="DX198" s="2">
        <v>1</v>
      </c>
      <c r="DY198" s="2"/>
      <c r="DZ198" s="2" t="s">
        <v>3</v>
      </c>
      <c r="EA198" s="2" t="s">
        <v>3</v>
      </c>
      <c r="EB198" s="2" t="s">
        <v>3</v>
      </c>
      <c r="EC198" s="2" t="s">
        <v>3</v>
      </c>
      <c r="ED198" s="2"/>
      <c r="EE198" s="2">
        <v>51696191</v>
      </c>
      <c r="EF198" s="2">
        <v>30</v>
      </c>
      <c r="EG198" s="2" t="s">
        <v>23</v>
      </c>
      <c r="EH198" s="2">
        <v>0</v>
      </c>
      <c r="EI198" s="2" t="s">
        <v>3</v>
      </c>
      <c r="EJ198" s="2">
        <v>1</v>
      </c>
      <c r="EK198" s="2">
        <v>152</v>
      </c>
      <c r="EL198" s="2" t="s">
        <v>298</v>
      </c>
      <c r="EM198" s="2" t="s">
        <v>299</v>
      </c>
      <c r="EN198" s="2"/>
      <c r="EO198" s="2" t="s">
        <v>3</v>
      </c>
      <c r="EP198" s="2"/>
      <c r="EQ198" s="2">
        <v>0</v>
      </c>
      <c r="ER198" s="2">
        <v>517.14</v>
      </c>
      <c r="ES198" s="2">
        <v>517.14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>
        <v>0</v>
      </c>
      <c r="FR198" s="2">
        <v>0</v>
      </c>
      <c r="FS198" s="2">
        <v>0</v>
      </c>
      <c r="FT198" s="2"/>
      <c r="FU198" s="2"/>
      <c r="FV198" s="2"/>
      <c r="FW198" s="2"/>
      <c r="FX198" s="2">
        <v>161</v>
      </c>
      <c r="FY198" s="2">
        <v>107</v>
      </c>
      <c r="FZ198" s="2"/>
      <c r="GA198" s="2" t="s">
        <v>3</v>
      </c>
      <c r="GB198" s="2"/>
      <c r="GC198" s="2"/>
      <c r="GD198" s="2">
        <v>0</v>
      </c>
      <c r="GE198" s="2"/>
      <c r="GF198" s="2">
        <v>-520181400</v>
      </c>
      <c r="GG198" s="2">
        <v>2</v>
      </c>
      <c r="GH198" s="2">
        <v>1</v>
      </c>
      <c r="GI198" s="2">
        <v>-2</v>
      </c>
      <c r="GJ198" s="2">
        <v>0</v>
      </c>
      <c r="GK198" s="2">
        <f>ROUND(R198*(R12)/100,2)</f>
        <v>0</v>
      </c>
      <c r="GL198" s="2">
        <f t="shared" si="195"/>
        <v>0</v>
      </c>
      <c r="GM198" s="2">
        <f t="shared" si="196"/>
        <v>822.65</v>
      </c>
      <c r="GN198" s="2">
        <f t="shared" si="197"/>
        <v>822.65</v>
      </c>
      <c r="GO198" s="2">
        <f t="shared" si="198"/>
        <v>0</v>
      </c>
      <c r="GP198" s="2">
        <f t="shared" si="199"/>
        <v>0</v>
      </c>
      <c r="GQ198" s="2"/>
      <c r="GR198" s="2">
        <v>0</v>
      </c>
      <c r="GS198" s="2">
        <v>0</v>
      </c>
      <c r="GT198" s="2">
        <v>0</v>
      </c>
      <c r="GU198" s="2" t="s">
        <v>3</v>
      </c>
      <c r="GV198" s="2">
        <f t="shared" si="200"/>
        <v>0</v>
      </c>
      <c r="GW198" s="2">
        <v>1</v>
      </c>
      <c r="GX198" s="2">
        <f t="shared" si="201"/>
        <v>0</v>
      </c>
      <c r="GY198" s="2"/>
      <c r="GZ198" s="2"/>
      <c r="HA198" s="2">
        <v>0</v>
      </c>
      <c r="HB198" s="2">
        <v>0</v>
      </c>
      <c r="HC198" s="2">
        <f t="shared" si="202"/>
        <v>0</v>
      </c>
      <c r="HD198" s="2"/>
      <c r="HE198" s="2" t="s">
        <v>3</v>
      </c>
      <c r="HF198" s="2" t="s">
        <v>3</v>
      </c>
      <c r="HG198" s="2"/>
      <c r="HH198" s="2"/>
      <c r="HI198" s="2"/>
      <c r="HJ198" s="2"/>
      <c r="HK198" s="2"/>
      <c r="HL198" s="2"/>
      <c r="HM198" s="2" t="s">
        <v>3</v>
      </c>
      <c r="HN198" s="2" t="s">
        <v>3</v>
      </c>
      <c r="HO198" s="2" t="s">
        <v>3</v>
      </c>
      <c r="HP198" s="2" t="s">
        <v>3</v>
      </c>
      <c r="HQ198" s="2" t="s">
        <v>3</v>
      </c>
      <c r="HR198" s="2"/>
      <c r="HS198" s="2">
        <v>0</v>
      </c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>
        <v>0</v>
      </c>
      <c r="IL198" s="2"/>
      <c r="IM198" s="2"/>
      <c r="IN198" s="2"/>
      <c r="IO198" s="2"/>
      <c r="IP198" s="2"/>
      <c r="IQ198" s="2"/>
      <c r="IR198" s="2"/>
      <c r="IS198" s="2"/>
      <c r="IT198" s="2"/>
      <c r="IU198" s="2"/>
    </row>
    <row r="199" spans="1:255" x14ac:dyDescent="0.2">
      <c r="A199">
        <v>18</v>
      </c>
      <c r="B199">
        <v>1</v>
      </c>
      <c r="C199">
        <v>28</v>
      </c>
      <c r="E199" t="s">
        <v>300</v>
      </c>
      <c r="F199" t="s">
        <v>301</v>
      </c>
      <c r="G199" t="s">
        <v>302</v>
      </c>
      <c r="H199" t="s">
        <v>85</v>
      </c>
      <c r="I199">
        <f>I197*J199</f>
        <v>1.5875999999999999</v>
      </c>
      <c r="J199">
        <v>162</v>
      </c>
      <c r="K199">
        <v>162</v>
      </c>
      <c r="O199">
        <f t="shared" si="168"/>
        <v>9073.83</v>
      </c>
      <c r="P199">
        <f t="shared" si="169"/>
        <v>9073.83</v>
      </c>
      <c r="Q199">
        <f>(ROUND((ROUND(((ET199)*AV199*I199),2)*BB199),2)+ROUND((ROUND(((AE199-(EU199))*AV199*I199),2)*BS199),2))</f>
        <v>0</v>
      </c>
      <c r="R199">
        <f t="shared" si="171"/>
        <v>0</v>
      </c>
      <c r="S199">
        <f t="shared" si="172"/>
        <v>0</v>
      </c>
      <c r="T199">
        <f t="shared" si="173"/>
        <v>0</v>
      </c>
      <c r="U199">
        <f t="shared" si="174"/>
        <v>0</v>
      </c>
      <c r="V199">
        <f t="shared" si="175"/>
        <v>0</v>
      </c>
      <c r="W199">
        <f t="shared" si="176"/>
        <v>0</v>
      </c>
      <c r="X199">
        <f t="shared" si="177"/>
        <v>0</v>
      </c>
      <c r="Y199">
        <f t="shared" si="178"/>
        <v>0</v>
      </c>
      <c r="AA199">
        <v>56610029</v>
      </c>
      <c r="AB199">
        <f t="shared" si="179"/>
        <v>517.14</v>
      </c>
      <c r="AC199">
        <f t="shared" si="180"/>
        <v>517.14</v>
      </c>
      <c r="AD199">
        <f>ROUND((((ET199)-(EU199))+AE199),6)</f>
        <v>0</v>
      </c>
      <c r="AE199">
        <f>ROUND((EU199),6)</f>
        <v>0</v>
      </c>
      <c r="AF199">
        <f>ROUND((EV199),6)</f>
        <v>0</v>
      </c>
      <c r="AG199">
        <f t="shared" si="183"/>
        <v>0</v>
      </c>
      <c r="AH199">
        <f>(EW199)</f>
        <v>0</v>
      </c>
      <c r="AI199">
        <f>(EX199)</f>
        <v>0</v>
      </c>
      <c r="AJ199">
        <f t="shared" si="185"/>
        <v>0</v>
      </c>
      <c r="AK199">
        <v>517.14</v>
      </c>
      <c r="AL199">
        <v>517.14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</v>
      </c>
      <c r="AW199">
        <v>1.002</v>
      </c>
      <c r="AZ199">
        <v>1</v>
      </c>
      <c r="BA199">
        <v>1</v>
      </c>
      <c r="BB199">
        <v>1</v>
      </c>
      <c r="BC199">
        <v>11.03</v>
      </c>
      <c r="BD199" t="s">
        <v>3</v>
      </c>
      <c r="BE199" t="s">
        <v>3</v>
      </c>
      <c r="BF199" t="s">
        <v>3</v>
      </c>
      <c r="BG199" t="s">
        <v>3</v>
      </c>
      <c r="BH199">
        <v>3</v>
      </c>
      <c r="BI199">
        <v>1</v>
      </c>
      <c r="BJ199" t="s">
        <v>303</v>
      </c>
      <c r="BM199">
        <v>152</v>
      </c>
      <c r="BN199">
        <v>0</v>
      </c>
      <c r="BO199" t="s">
        <v>301</v>
      </c>
      <c r="BP199">
        <v>1</v>
      </c>
      <c r="BQ199">
        <v>30</v>
      </c>
      <c r="BR199">
        <v>0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 t="s">
        <v>3</v>
      </c>
      <c r="BZ199">
        <v>0</v>
      </c>
      <c r="CA199">
        <v>0</v>
      </c>
      <c r="CB199" t="s">
        <v>3</v>
      </c>
      <c r="CE199">
        <v>30</v>
      </c>
      <c r="CF199">
        <v>0</v>
      </c>
      <c r="CG199">
        <v>0</v>
      </c>
      <c r="CM199">
        <v>0</v>
      </c>
      <c r="CN199" t="s">
        <v>3</v>
      </c>
      <c r="CO199">
        <v>0</v>
      </c>
      <c r="CP199">
        <f t="shared" si="186"/>
        <v>9073.83</v>
      </c>
      <c r="CQ199">
        <f t="shared" si="187"/>
        <v>5715.42</v>
      </c>
      <c r="CR199">
        <f>(ROUND((ROUND(((ET199)*AV199*1),2)*BB199),2)+ROUND((ROUND(((AE199-(EU199))*AV199*1),2)*BS199),2))</f>
        <v>0</v>
      </c>
      <c r="CS199">
        <f t="shared" si="189"/>
        <v>0</v>
      </c>
      <c r="CT199">
        <f t="shared" si="190"/>
        <v>0</v>
      </c>
      <c r="CU199">
        <f t="shared" si="191"/>
        <v>0</v>
      </c>
      <c r="CV199">
        <f t="shared" si="192"/>
        <v>0</v>
      </c>
      <c r="CW199">
        <f t="shared" si="193"/>
        <v>0</v>
      </c>
      <c r="CX199">
        <f t="shared" si="194"/>
        <v>0</v>
      </c>
      <c r="CY199">
        <f>S199*(BZ199/100)</f>
        <v>0</v>
      </c>
      <c r="CZ199">
        <f>S199*(CA199/100)</f>
        <v>0</v>
      </c>
      <c r="DC199" t="s">
        <v>3</v>
      </c>
      <c r="DD199" t="s">
        <v>3</v>
      </c>
      <c r="DE199" t="s">
        <v>3</v>
      </c>
      <c r="DF199" t="s">
        <v>3</v>
      </c>
      <c r="DG199" t="s">
        <v>3</v>
      </c>
      <c r="DH199" t="s">
        <v>3</v>
      </c>
      <c r="DI199" t="s">
        <v>3</v>
      </c>
      <c r="DJ199" t="s">
        <v>3</v>
      </c>
      <c r="DK199" t="s">
        <v>3</v>
      </c>
      <c r="DL199" t="s">
        <v>3</v>
      </c>
      <c r="DM199" t="s">
        <v>3</v>
      </c>
      <c r="DN199">
        <v>161</v>
      </c>
      <c r="DO199">
        <v>107</v>
      </c>
      <c r="DP199">
        <v>1.0469999999999999</v>
      </c>
      <c r="DQ199">
        <v>1.002</v>
      </c>
      <c r="DU199">
        <v>1007</v>
      </c>
      <c r="DV199" t="s">
        <v>85</v>
      </c>
      <c r="DW199" t="s">
        <v>85</v>
      </c>
      <c r="DX199">
        <v>1</v>
      </c>
      <c r="DZ199" t="s">
        <v>3</v>
      </c>
      <c r="EA199" t="s">
        <v>3</v>
      </c>
      <c r="EB199" t="s">
        <v>3</v>
      </c>
      <c r="EC199" t="s">
        <v>3</v>
      </c>
      <c r="EE199">
        <v>51696191</v>
      </c>
      <c r="EF199">
        <v>30</v>
      </c>
      <c r="EG199" t="s">
        <v>23</v>
      </c>
      <c r="EH199">
        <v>0</v>
      </c>
      <c r="EI199" t="s">
        <v>3</v>
      </c>
      <c r="EJ199">
        <v>1</v>
      </c>
      <c r="EK199">
        <v>152</v>
      </c>
      <c r="EL199" t="s">
        <v>298</v>
      </c>
      <c r="EM199" t="s">
        <v>299</v>
      </c>
      <c r="EO199" t="s">
        <v>3</v>
      </c>
      <c r="EQ199">
        <v>0</v>
      </c>
      <c r="ER199">
        <v>517.14</v>
      </c>
      <c r="ES199">
        <v>517.14</v>
      </c>
      <c r="ET199">
        <v>0</v>
      </c>
      <c r="EU199">
        <v>0</v>
      </c>
      <c r="EV199">
        <v>0</v>
      </c>
      <c r="EW199">
        <v>0</v>
      </c>
      <c r="EX199">
        <v>0</v>
      </c>
      <c r="FQ199">
        <v>0</v>
      </c>
      <c r="FR199">
        <v>0</v>
      </c>
      <c r="FS199">
        <v>0</v>
      </c>
      <c r="FX199">
        <v>161</v>
      </c>
      <c r="FY199">
        <v>107</v>
      </c>
      <c r="GA199" t="s">
        <v>3</v>
      </c>
      <c r="GD199">
        <v>0</v>
      </c>
      <c r="GF199">
        <v>-520181400</v>
      </c>
      <c r="GG199">
        <v>2</v>
      </c>
      <c r="GH199">
        <v>1</v>
      </c>
      <c r="GI199">
        <v>2</v>
      </c>
      <c r="GJ199">
        <v>0</v>
      </c>
      <c r="GK199">
        <f>ROUND(R199*(S12)/100,2)</f>
        <v>0</v>
      </c>
      <c r="GL199">
        <f t="shared" si="195"/>
        <v>0</v>
      </c>
      <c r="GM199">
        <f t="shared" si="196"/>
        <v>9073.83</v>
      </c>
      <c r="GN199">
        <f t="shared" si="197"/>
        <v>9073.83</v>
      </c>
      <c r="GO199">
        <f t="shared" si="198"/>
        <v>0</v>
      </c>
      <c r="GP199">
        <f t="shared" si="199"/>
        <v>0</v>
      </c>
      <c r="GR199">
        <v>0</v>
      </c>
      <c r="GS199">
        <v>3</v>
      </c>
      <c r="GT199">
        <v>0</v>
      </c>
      <c r="GU199" t="s">
        <v>3</v>
      </c>
      <c r="GV199">
        <f t="shared" si="200"/>
        <v>0</v>
      </c>
      <c r="GW199">
        <v>1</v>
      </c>
      <c r="GX199">
        <f t="shared" si="201"/>
        <v>0</v>
      </c>
      <c r="HA199">
        <v>0</v>
      </c>
      <c r="HB199">
        <v>0</v>
      </c>
      <c r="HC199">
        <f t="shared" si="202"/>
        <v>0</v>
      </c>
      <c r="HE199" t="s">
        <v>3</v>
      </c>
      <c r="HF199" t="s">
        <v>3</v>
      </c>
      <c r="HM199" t="s">
        <v>3</v>
      </c>
      <c r="HN199" t="s">
        <v>3</v>
      </c>
      <c r="HO199" t="s">
        <v>3</v>
      </c>
      <c r="HP199" t="s">
        <v>3</v>
      </c>
      <c r="HQ199" t="s">
        <v>3</v>
      </c>
      <c r="HS199">
        <v>0</v>
      </c>
      <c r="IK199">
        <v>0</v>
      </c>
    </row>
    <row r="200" spans="1:255" x14ac:dyDescent="0.2">
      <c r="A200" s="2">
        <v>17</v>
      </c>
      <c r="B200" s="2">
        <v>1</v>
      </c>
      <c r="C200" s="2">
        <f>ROW(SmtRes!A29)</f>
        <v>29</v>
      </c>
      <c r="D200" s="2">
        <f>ROW(EtalonRes!A393)</f>
        <v>393</v>
      </c>
      <c r="E200" s="2" t="s">
        <v>304</v>
      </c>
      <c r="F200" s="2" t="s">
        <v>305</v>
      </c>
      <c r="G200" s="2" t="s">
        <v>306</v>
      </c>
      <c r="H200" s="2" t="s">
        <v>296</v>
      </c>
      <c r="I200" s="2">
        <f>ROUND(9.8/1000,9)</f>
        <v>9.7999999999999997E-3</v>
      </c>
      <c r="J200" s="2">
        <v>0</v>
      </c>
      <c r="K200" s="2">
        <f>ROUND(9.8/1000,9)</f>
        <v>9.7999999999999997E-3</v>
      </c>
      <c r="L200" s="2"/>
      <c r="M200" s="2"/>
      <c r="N200" s="2"/>
      <c r="O200" s="2">
        <f t="shared" si="168"/>
        <v>1.22</v>
      </c>
      <c r="P200" s="2">
        <f t="shared" si="169"/>
        <v>0.57999999999999996</v>
      </c>
      <c r="Q200" s="2">
        <f>(ROUND((ROUND((((ET200*1.05))*AV200*I200),2)*BB200),2)+ROUND((ROUND(((AE200-((EU200*1.05)))*AV200*I200),2)*BS200),2))</f>
        <v>0</v>
      </c>
      <c r="R200" s="2">
        <f t="shared" si="171"/>
        <v>0</v>
      </c>
      <c r="S200" s="2">
        <f t="shared" si="172"/>
        <v>0.64</v>
      </c>
      <c r="T200" s="2">
        <f t="shared" si="173"/>
        <v>0</v>
      </c>
      <c r="U200" s="2">
        <f t="shared" si="174"/>
        <v>5.5699667099999996E-2</v>
      </c>
      <c r="V200" s="2">
        <f t="shared" si="175"/>
        <v>0</v>
      </c>
      <c r="W200" s="2">
        <f t="shared" si="176"/>
        <v>0</v>
      </c>
      <c r="X200" s="2">
        <f t="shared" si="177"/>
        <v>1.03</v>
      </c>
      <c r="Y200" s="2">
        <f t="shared" si="178"/>
        <v>0.68</v>
      </c>
      <c r="Z200" s="2"/>
      <c r="AA200" s="2">
        <v>56622490</v>
      </c>
      <c r="AB200" s="2">
        <f t="shared" si="179"/>
        <v>120.86499999999999</v>
      </c>
      <c r="AC200" s="2">
        <f t="shared" si="180"/>
        <v>58.6</v>
      </c>
      <c r="AD200" s="2">
        <f>ROUND(((((ET200*1.05))-((EU200*1.05)))+AE200),6)</f>
        <v>0</v>
      </c>
      <c r="AE200" s="2">
        <f>ROUND(((EU200*1.05)),6)</f>
        <v>0</v>
      </c>
      <c r="AF200" s="2">
        <f>ROUND(((EV200*1.05)),6)</f>
        <v>62.265000000000001</v>
      </c>
      <c r="AG200" s="2">
        <f t="shared" si="183"/>
        <v>0</v>
      </c>
      <c r="AH200" s="2">
        <f>((EW200*1.05))</f>
        <v>5.4285000000000005</v>
      </c>
      <c r="AI200" s="2">
        <f>((EX200*1.05))</f>
        <v>0</v>
      </c>
      <c r="AJ200" s="2">
        <f t="shared" si="185"/>
        <v>0</v>
      </c>
      <c r="AK200" s="2">
        <v>117.9</v>
      </c>
      <c r="AL200" s="2">
        <v>58.6</v>
      </c>
      <c r="AM200" s="2">
        <v>0</v>
      </c>
      <c r="AN200" s="2">
        <v>0</v>
      </c>
      <c r="AO200" s="2">
        <v>59.3</v>
      </c>
      <c r="AP200" s="2">
        <v>0</v>
      </c>
      <c r="AQ200" s="2">
        <v>5.17</v>
      </c>
      <c r="AR200" s="2">
        <v>0</v>
      </c>
      <c r="AS200" s="2">
        <v>0</v>
      </c>
      <c r="AT200" s="2">
        <v>161</v>
      </c>
      <c r="AU200" s="2">
        <v>107</v>
      </c>
      <c r="AV200" s="2">
        <v>1.0469999999999999</v>
      </c>
      <c r="AW200" s="2">
        <v>1.002</v>
      </c>
      <c r="AX200" s="2"/>
      <c r="AY200" s="2"/>
      <c r="AZ200" s="2">
        <v>1</v>
      </c>
      <c r="BA200" s="2">
        <v>1</v>
      </c>
      <c r="BB200" s="2">
        <v>1</v>
      </c>
      <c r="BC200" s="2">
        <v>1</v>
      </c>
      <c r="BD200" s="2" t="s">
        <v>3</v>
      </c>
      <c r="BE200" s="2" t="s">
        <v>3</v>
      </c>
      <c r="BF200" s="2" t="s">
        <v>3</v>
      </c>
      <c r="BG200" s="2" t="s">
        <v>3</v>
      </c>
      <c r="BH200" s="2">
        <v>0</v>
      </c>
      <c r="BI200" s="2">
        <v>1</v>
      </c>
      <c r="BJ200" s="2" t="s">
        <v>307</v>
      </c>
      <c r="BK200" s="2"/>
      <c r="BL200" s="2"/>
      <c r="BM200" s="2">
        <v>152</v>
      </c>
      <c r="BN200" s="2">
        <v>0</v>
      </c>
      <c r="BO200" s="2" t="s">
        <v>3</v>
      </c>
      <c r="BP200" s="2">
        <v>0</v>
      </c>
      <c r="BQ200" s="2">
        <v>30</v>
      </c>
      <c r="BR200" s="2">
        <v>0</v>
      </c>
      <c r="BS200" s="2">
        <v>1</v>
      </c>
      <c r="BT200" s="2">
        <v>1</v>
      </c>
      <c r="BU200" s="2">
        <v>1</v>
      </c>
      <c r="BV200" s="2">
        <v>1</v>
      </c>
      <c r="BW200" s="2">
        <v>1</v>
      </c>
      <c r="BX200" s="2">
        <v>1</v>
      </c>
      <c r="BY200" s="2" t="s">
        <v>3</v>
      </c>
      <c r="BZ200" s="2">
        <v>161</v>
      </c>
      <c r="CA200" s="2">
        <v>107</v>
      </c>
      <c r="CB200" s="2" t="s">
        <v>3</v>
      </c>
      <c r="CC200" s="2"/>
      <c r="CD200" s="2"/>
      <c r="CE200" s="2">
        <v>30</v>
      </c>
      <c r="CF200" s="2">
        <v>0</v>
      </c>
      <c r="CG200" s="2">
        <v>0</v>
      </c>
      <c r="CH200" s="2"/>
      <c r="CI200" s="2"/>
      <c r="CJ200" s="2"/>
      <c r="CK200" s="2"/>
      <c r="CL200" s="2"/>
      <c r="CM200" s="2">
        <v>0</v>
      </c>
      <c r="CN200" s="2" t="s">
        <v>708</v>
      </c>
      <c r="CO200" s="2">
        <v>0</v>
      </c>
      <c r="CP200" s="2">
        <f t="shared" si="186"/>
        <v>1.22</v>
      </c>
      <c r="CQ200" s="2">
        <f t="shared" si="187"/>
        <v>58.72</v>
      </c>
      <c r="CR200" s="2">
        <f>(ROUND((ROUND((((ET200*1.05))*AV200*1),2)*BB200),2)+ROUND((ROUND(((AE200-((EU200*1.05)))*AV200*1),2)*BS200),2))</f>
        <v>0</v>
      </c>
      <c r="CS200" s="2">
        <f t="shared" si="189"/>
        <v>0</v>
      </c>
      <c r="CT200" s="2">
        <f t="shared" si="190"/>
        <v>65.19</v>
      </c>
      <c r="CU200" s="2">
        <f t="shared" si="191"/>
        <v>0</v>
      </c>
      <c r="CV200" s="2">
        <f t="shared" si="192"/>
        <v>5.6836395</v>
      </c>
      <c r="CW200" s="2">
        <f t="shared" si="193"/>
        <v>0</v>
      </c>
      <c r="CX200" s="2">
        <f t="shared" si="194"/>
        <v>0</v>
      </c>
      <c r="CY200" s="2">
        <f>((S200*BZ200)/100)</f>
        <v>1.0304</v>
      </c>
      <c r="CZ200" s="2">
        <f>((S200*CA200)/100)</f>
        <v>0.68480000000000008</v>
      </c>
      <c r="DA200" s="2"/>
      <c r="DB200" s="2">
        <v>93</v>
      </c>
      <c r="DC200" s="2" t="s">
        <v>3</v>
      </c>
      <c r="DD200" s="2" t="s">
        <v>3</v>
      </c>
      <c r="DE200" s="2" t="s">
        <v>22</v>
      </c>
      <c r="DF200" s="2" t="s">
        <v>22</v>
      </c>
      <c r="DG200" s="2" t="s">
        <v>22</v>
      </c>
      <c r="DH200" s="2" t="s">
        <v>3</v>
      </c>
      <c r="DI200" s="2" t="s">
        <v>22</v>
      </c>
      <c r="DJ200" s="2" t="s">
        <v>22</v>
      </c>
      <c r="DK200" s="2" t="s">
        <v>3</v>
      </c>
      <c r="DL200" s="2" t="s">
        <v>3</v>
      </c>
      <c r="DM200" s="2" t="s">
        <v>3</v>
      </c>
      <c r="DN200" s="2">
        <v>0</v>
      </c>
      <c r="DO200" s="2">
        <v>0</v>
      </c>
      <c r="DP200" s="2">
        <v>1</v>
      </c>
      <c r="DQ200" s="2">
        <v>1</v>
      </c>
      <c r="DR200" s="2"/>
      <c r="DS200" s="2"/>
      <c r="DT200" s="2"/>
      <c r="DU200" s="2">
        <v>1013</v>
      </c>
      <c r="DV200" s="2" t="s">
        <v>296</v>
      </c>
      <c r="DW200" s="2" t="s">
        <v>296</v>
      </c>
      <c r="DX200" s="2">
        <v>1</v>
      </c>
      <c r="DY200" s="2"/>
      <c r="DZ200" s="2" t="s">
        <v>3</v>
      </c>
      <c r="EA200" s="2" t="s">
        <v>3</v>
      </c>
      <c r="EB200" s="2" t="s">
        <v>3</v>
      </c>
      <c r="EC200" s="2" t="s">
        <v>3</v>
      </c>
      <c r="ED200" s="2"/>
      <c r="EE200" s="2">
        <v>51696191</v>
      </c>
      <c r="EF200" s="2">
        <v>30</v>
      </c>
      <c r="EG200" s="2" t="s">
        <v>23</v>
      </c>
      <c r="EH200" s="2">
        <v>0</v>
      </c>
      <c r="EI200" s="2" t="s">
        <v>3</v>
      </c>
      <c r="EJ200" s="2">
        <v>1</v>
      </c>
      <c r="EK200" s="2">
        <v>152</v>
      </c>
      <c r="EL200" s="2" t="s">
        <v>298</v>
      </c>
      <c r="EM200" s="2" t="s">
        <v>299</v>
      </c>
      <c r="EN200" s="2"/>
      <c r="EO200" s="2" t="s">
        <v>26</v>
      </c>
      <c r="EP200" s="2"/>
      <c r="EQ200" s="2">
        <v>131072</v>
      </c>
      <c r="ER200" s="2">
        <v>117.9</v>
      </c>
      <c r="ES200" s="2">
        <v>58.6</v>
      </c>
      <c r="ET200" s="2">
        <v>0</v>
      </c>
      <c r="EU200" s="2">
        <v>0</v>
      </c>
      <c r="EV200" s="2">
        <v>59.3</v>
      </c>
      <c r="EW200" s="2">
        <v>5.17</v>
      </c>
      <c r="EX200" s="2">
        <v>0</v>
      </c>
      <c r="EY200" s="2">
        <v>0</v>
      </c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>
        <v>0</v>
      </c>
      <c r="FR200" s="2">
        <v>0</v>
      </c>
      <c r="FS200" s="2">
        <v>0</v>
      </c>
      <c r="FT200" s="2"/>
      <c r="FU200" s="2"/>
      <c r="FV200" s="2"/>
      <c r="FW200" s="2"/>
      <c r="FX200" s="2">
        <v>161</v>
      </c>
      <c r="FY200" s="2">
        <v>107</v>
      </c>
      <c r="FZ200" s="2"/>
      <c r="GA200" s="2" t="s">
        <v>3</v>
      </c>
      <c r="GB200" s="2"/>
      <c r="GC200" s="2"/>
      <c r="GD200" s="2">
        <v>0</v>
      </c>
      <c r="GE200" s="2"/>
      <c r="GF200" s="2">
        <v>36365599</v>
      </c>
      <c r="GG200" s="2">
        <v>2</v>
      </c>
      <c r="GH200" s="2">
        <v>1</v>
      </c>
      <c r="GI200" s="2">
        <v>-2</v>
      </c>
      <c r="GJ200" s="2">
        <v>0</v>
      </c>
      <c r="GK200" s="2">
        <f>ROUND(R200*(R12)/100,2)</f>
        <v>0</v>
      </c>
      <c r="GL200" s="2">
        <f t="shared" si="195"/>
        <v>0</v>
      </c>
      <c r="GM200" s="2">
        <f t="shared" si="196"/>
        <v>2.93</v>
      </c>
      <c r="GN200" s="2">
        <f t="shared" si="197"/>
        <v>2.93</v>
      </c>
      <c r="GO200" s="2">
        <f t="shared" si="198"/>
        <v>0</v>
      </c>
      <c r="GP200" s="2">
        <f t="shared" si="199"/>
        <v>0</v>
      </c>
      <c r="GQ200" s="2"/>
      <c r="GR200" s="2">
        <v>0</v>
      </c>
      <c r="GS200" s="2">
        <v>0</v>
      </c>
      <c r="GT200" s="2">
        <v>0</v>
      </c>
      <c r="GU200" s="2" t="s">
        <v>3</v>
      </c>
      <c r="GV200" s="2">
        <f t="shared" si="200"/>
        <v>0</v>
      </c>
      <c r="GW200" s="2">
        <v>1</v>
      </c>
      <c r="GX200" s="2">
        <f t="shared" si="201"/>
        <v>0</v>
      </c>
      <c r="GY200" s="2"/>
      <c r="GZ200" s="2"/>
      <c r="HA200" s="2">
        <v>0</v>
      </c>
      <c r="HB200" s="2">
        <v>0</v>
      </c>
      <c r="HC200" s="2">
        <f t="shared" si="202"/>
        <v>0</v>
      </c>
      <c r="HD200" s="2"/>
      <c r="HE200" s="2" t="s">
        <v>3</v>
      </c>
      <c r="HF200" s="2" t="s">
        <v>3</v>
      </c>
      <c r="HG200" s="2"/>
      <c r="HH200" s="2"/>
      <c r="HI200" s="2"/>
      <c r="HJ200" s="2"/>
      <c r="HK200" s="2"/>
      <c r="HL200" s="2"/>
      <c r="HM200" s="2" t="s">
        <v>3</v>
      </c>
      <c r="HN200" s="2" t="s">
        <v>3</v>
      </c>
      <c r="HO200" s="2" t="s">
        <v>3</v>
      </c>
      <c r="HP200" s="2" t="s">
        <v>3</v>
      </c>
      <c r="HQ200" s="2" t="s">
        <v>3</v>
      </c>
      <c r="HR200" s="2"/>
      <c r="HS200" s="2">
        <v>0</v>
      </c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>
        <v>0</v>
      </c>
      <c r="IL200" s="2"/>
      <c r="IM200" s="2"/>
      <c r="IN200" s="2"/>
      <c r="IO200" s="2"/>
      <c r="IP200" s="2"/>
      <c r="IQ200" s="2"/>
      <c r="IR200" s="2"/>
      <c r="IS200" s="2"/>
      <c r="IT200" s="2"/>
      <c r="IU200" s="2"/>
    </row>
    <row r="201" spans="1:255" x14ac:dyDescent="0.2">
      <c r="A201">
        <v>17</v>
      </c>
      <c r="B201">
        <v>1</v>
      </c>
      <c r="C201">
        <f>ROW(SmtRes!A30)</f>
        <v>30</v>
      </c>
      <c r="D201">
        <f>ROW(EtalonRes!A396)</f>
        <v>396</v>
      </c>
      <c r="E201" t="s">
        <v>304</v>
      </c>
      <c r="F201" t="s">
        <v>305</v>
      </c>
      <c r="G201" t="s">
        <v>306</v>
      </c>
      <c r="H201" t="s">
        <v>296</v>
      </c>
      <c r="I201">
        <f>ROUND(9.8/1000,9)</f>
        <v>9.7999999999999997E-3</v>
      </c>
      <c r="J201">
        <v>0</v>
      </c>
      <c r="K201">
        <f>ROUND(9.8/1000,9)</f>
        <v>9.7999999999999997E-3</v>
      </c>
      <c r="O201">
        <f t="shared" si="168"/>
        <v>24.17</v>
      </c>
      <c r="P201">
        <f t="shared" si="169"/>
        <v>2.08</v>
      </c>
      <c r="Q201">
        <f>(ROUND((ROUND((((ET201*1.05))*AV201*I201),2)*BB201),2)+ROUND((ROUND(((AE201-((EU201*1.05)))*AV201*I201),2)*BS201),2))</f>
        <v>0</v>
      </c>
      <c r="R201">
        <f t="shared" si="171"/>
        <v>0</v>
      </c>
      <c r="S201">
        <f t="shared" si="172"/>
        <v>22.09</v>
      </c>
      <c r="T201">
        <f t="shared" si="173"/>
        <v>0</v>
      </c>
      <c r="U201">
        <f t="shared" si="174"/>
        <v>5.5699667099999996E-2</v>
      </c>
      <c r="V201">
        <f t="shared" si="175"/>
        <v>0</v>
      </c>
      <c r="W201">
        <f t="shared" si="176"/>
        <v>0</v>
      </c>
      <c r="X201">
        <f t="shared" si="177"/>
        <v>29.6</v>
      </c>
      <c r="Y201">
        <f t="shared" si="178"/>
        <v>12.15</v>
      </c>
      <c r="AA201">
        <v>56610029</v>
      </c>
      <c r="AB201">
        <f t="shared" si="179"/>
        <v>120.86499999999999</v>
      </c>
      <c r="AC201">
        <f t="shared" si="180"/>
        <v>58.6</v>
      </c>
      <c r="AD201">
        <f>ROUND(((((ET201*1.05))-((EU201*1.05)))+AE201),6)</f>
        <v>0</v>
      </c>
      <c r="AE201">
        <f>ROUND(((EU201*1.05)),6)</f>
        <v>0</v>
      </c>
      <c r="AF201">
        <f>ROUND(((EV201*1.05)),6)</f>
        <v>62.265000000000001</v>
      </c>
      <c r="AG201">
        <f t="shared" si="183"/>
        <v>0</v>
      </c>
      <c r="AH201">
        <f>((EW201*1.05))</f>
        <v>5.4285000000000005</v>
      </c>
      <c r="AI201">
        <f>((EX201*1.05))</f>
        <v>0</v>
      </c>
      <c r="AJ201">
        <f t="shared" si="185"/>
        <v>0</v>
      </c>
      <c r="AK201">
        <v>117.9</v>
      </c>
      <c r="AL201">
        <v>58.6</v>
      </c>
      <c r="AM201">
        <v>0</v>
      </c>
      <c r="AN201">
        <v>0</v>
      </c>
      <c r="AO201">
        <v>59.3</v>
      </c>
      <c r="AP201">
        <v>0</v>
      </c>
      <c r="AQ201">
        <v>5.17</v>
      </c>
      <c r="AR201">
        <v>0</v>
      </c>
      <c r="AS201">
        <v>0</v>
      </c>
      <c r="AT201">
        <v>134</v>
      </c>
      <c r="AU201">
        <v>55</v>
      </c>
      <c r="AV201">
        <v>1.0469999999999999</v>
      </c>
      <c r="AW201">
        <v>1.002</v>
      </c>
      <c r="AZ201">
        <v>1</v>
      </c>
      <c r="BA201">
        <v>34.51</v>
      </c>
      <c r="BB201">
        <v>1</v>
      </c>
      <c r="BC201">
        <v>3.59</v>
      </c>
      <c r="BD201" t="s">
        <v>3</v>
      </c>
      <c r="BE201" t="s">
        <v>3</v>
      </c>
      <c r="BF201" t="s">
        <v>3</v>
      </c>
      <c r="BG201" t="s">
        <v>3</v>
      </c>
      <c r="BH201">
        <v>0</v>
      </c>
      <c r="BI201">
        <v>1</v>
      </c>
      <c r="BJ201" t="s">
        <v>307</v>
      </c>
      <c r="BM201">
        <v>152</v>
      </c>
      <c r="BN201">
        <v>0</v>
      </c>
      <c r="BO201" t="s">
        <v>305</v>
      </c>
      <c r="BP201">
        <v>1</v>
      </c>
      <c r="BQ201">
        <v>30</v>
      </c>
      <c r="BR201">
        <v>0</v>
      </c>
      <c r="BS201">
        <v>34.51</v>
      </c>
      <c r="BT201">
        <v>1</v>
      </c>
      <c r="BU201">
        <v>1</v>
      </c>
      <c r="BV201">
        <v>1</v>
      </c>
      <c r="BW201">
        <v>1</v>
      </c>
      <c r="BX201">
        <v>1</v>
      </c>
      <c r="BY201" t="s">
        <v>3</v>
      </c>
      <c r="BZ201">
        <v>134</v>
      </c>
      <c r="CA201">
        <v>55</v>
      </c>
      <c r="CB201" t="s">
        <v>3</v>
      </c>
      <c r="CE201">
        <v>30</v>
      </c>
      <c r="CF201">
        <v>0</v>
      </c>
      <c r="CG201">
        <v>0</v>
      </c>
      <c r="CM201">
        <v>0</v>
      </c>
      <c r="CN201" t="s">
        <v>708</v>
      </c>
      <c r="CO201">
        <v>0</v>
      </c>
      <c r="CP201">
        <f t="shared" si="186"/>
        <v>24.17</v>
      </c>
      <c r="CQ201">
        <f t="shared" si="187"/>
        <v>210.8</v>
      </c>
      <c r="CR201">
        <f>(ROUND((ROUND((((ET201*1.05))*AV201*1),2)*BB201),2)+ROUND((ROUND(((AE201-((EU201*1.05)))*AV201*1),2)*BS201),2))</f>
        <v>0</v>
      </c>
      <c r="CS201">
        <f t="shared" si="189"/>
        <v>0</v>
      </c>
      <c r="CT201">
        <f t="shared" si="190"/>
        <v>2249.71</v>
      </c>
      <c r="CU201">
        <f t="shared" si="191"/>
        <v>0</v>
      </c>
      <c r="CV201">
        <f t="shared" si="192"/>
        <v>5.6836395</v>
      </c>
      <c r="CW201">
        <f t="shared" si="193"/>
        <v>0</v>
      </c>
      <c r="CX201">
        <f t="shared" si="194"/>
        <v>0</v>
      </c>
      <c r="CY201">
        <f>S201*(BZ201/100)</f>
        <v>29.6006</v>
      </c>
      <c r="CZ201">
        <f>S201*(CA201/100)</f>
        <v>12.149500000000002</v>
      </c>
      <c r="DB201">
        <v>94</v>
      </c>
      <c r="DC201" t="s">
        <v>3</v>
      </c>
      <c r="DD201" t="s">
        <v>3</v>
      </c>
      <c r="DE201" t="s">
        <v>22</v>
      </c>
      <c r="DF201" t="s">
        <v>22</v>
      </c>
      <c r="DG201" t="s">
        <v>22</v>
      </c>
      <c r="DH201" t="s">
        <v>3</v>
      </c>
      <c r="DI201" t="s">
        <v>22</v>
      </c>
      <c r="DJ201" t="s">
        <v>22</v>
      </c>
      <c r="DK201" t="s">
        <v>3</v>
      </c>
      <c r="DL201" t="s">
        <v>3</v>
      </c>
      <c r="DM201" t="s">
        <v>3</v>
      </c>
      <c r="DN201">
        <v>161</v>
      </c>
      <c r="DO201">
        <v>107</v>
      </c>
      <c r="DP201">
        <v>1.0469999999999999</v>
      </c>
      <c r="DQ201">
        <v>1.002</v>
      </c>
      <c r="DU201">
        <v>1013</v>
      </c>
      <c r="DV201" t="s">
        <v>296</v>
      </c>
      <c r="DW201" t="s">
        <v>296</v>
      </c>
      <c r="DX201">
        <v>1</v>
      </c>
      <c r="DZ201" t="s">
        <v>3</v>
      </c>
      <c r="EA201" t="s">
        <v>3</v>
      </c>
      <c r="EB201" t="s">
        <v>3</v>
      </c>
      <c r="EC201" t="s">
        <v>3</v>
      </c>
      <c r="EE201">
        <v>51696191</v>
      </c>
      <c r="EF201">
        <v>30</v>
      </c>
      <c r="EG201" t="s">
        <v>23</v>
      </c>
      <c r="EH201">
        <v>0</v>
      </c>
      <c r="EI201" t="s">
        <v>3</v>
      </c>
      <c r="EJ201">
        <v>1</v>
      </c>
      <c r="EK201">
        <v>152</v>
      </c>
      <c r="EL201" t="s">
        <v>298</v>
      </c>
      <c r="EM201" t="s">
        <v>299</v>
      </c>
      <c r="EO201" t="s">
        <v>26</v>
      </c>
      <c r="EQ201">
        <v>131072</v>
      </c>
      <c r="ER201">
        <v>117.9</v>
      </c>
      <c r="ES201">
        <v>58.6</v>
      </c>
      <c r="ET201">
        <v>0</v>
      </c>
      <c r="EU201">
        <v>0</v>
      </c>
      <c r="EV201">
        <v>59.3</v>
      </c>
      <c r="EW201">
        <v>5.17</v>
      </c>
      <c r="EX201">
        <v>0</v>
      </c>
      <c r="EY201">
        <v>0</v>
      </c>
      <c r="FQ201">
        <v>0</v>
      </c>
      <c r="FR201">
        <v>0</v>
      </c>
      <c r="FS201">
        <v>0</v>
      </c>
      <c r="FX201">
        <v>161</v>
      </c>
      <c r="FY201">
        <v>107</v>
      </c>
      <c r="GA201" t="s">
        <v>3</v>
      </c>
      <c r="GD201">
        <v>0</v>
      </c>
      <c r="GF201">
        <v>36365599</v>
      </c>
      <c r="GG201">
        <v>2</v>
      </c>
      <c r="GH201">
        <v>1</v>
      </c>
      <c r="GI201">
        <v>2</v>
      </c>
      <c r="GJ201">
        <v>0</v>
      </c>
      <c r="GK201">
        <f>ROUND(R201*(S12)/100,2)</f>
        <v>0</v>
      </c>
      <c r="GL201">
        <f t="shared" si="195"/>
        <v>0</v>
      </c>
      <c r="GM201">
        <f t="shared" si="196"/>
        <v>65.92</v>
      </c>
      <c r="GN201">
        <f t="shared" si="197"/>
        <v>65.92</v>
      </c>
      <c r="GO201">
        <f t="shared" si="198"/>
        <v>0</v>
      </c>
      <c r="GP201">
        <f t="shared" si="199"/>
        <v>0</v>
      </c>
      <c r="GR201">
        <v>0</v>
      </c>
      <c r="GS201">
        <v>3</v>
      </c>
      <c r="GT201">
        <v>0</v>
      </c>
      <c r="GU201" t="s">
        <v>3</v>
      </c>
      <c r="GV201">
        <f t="shared" si="200"/>
        <v>0</v>
      </c>
      <c r="GW201">
        <v>1</v>
      </c>
      <c r="GX201">
        <f t="shared" si="201"/>
        <v>0</v>
      </c>
      <c r="HA201">
        <v>0</v>
      </c>
      <c r="HB201">
        <v>0</v>
      </c>
      <c r="HC201">
        <f t="shared" si="202"/>
        <v>0</v>
      </c>
      <c r="HE201" t="s">
        <v>3</v>
      </c>
      <c r="HF201" t="s">
        <v>3</v>
      </c>
      <c r="HM201" t="s">
        <v>3</v>
      </c>
      <c r="HN201" t="s">
        <v>3</v>
      </c>
      <c r="HO201" t="s">
        <v>3</v>
      </c>
      <c r="HP201" t="s">
        <v>3</v>
      </c>
      <c r="HQ201" t="s">
        <v>3</v>
      </c>
      <c r="HS201">
        <v>0</v>
      </c>
      <c r="IK201">
        <v>0</v>
      </c>
    </row>
    <row r="202" spans="1:255" x14ac:dyDescent="0.2">
      <c r="A202" s="2">
        <v>18</v>
      </c>
      <c r="B202" s="2">
        <v>1</v>
      </c>
      <c r="C202" s="2">
        <v>29</v>
      </c>
      <c r="D202" s="2"/>
      <c r="E202" s="2" t="s">
        <v>308</v>
      </c>
      <c r="F202" s="2" t="s">
        <v>301</v>
      </c>
      <c r="G202" s="2" t="s">
        <v>302</v>
      </c>
      <c r="H202" s="2" t="s">
        <v>85</v>
      </c>
      <c r="I202" s="2">
        <f>I200*J202</f>
        <v>9.9959999999999993E-2</v>
      </c>
      <c r="J202" s="2">
        <v>10.199999999999999</v>
      </c>
      <c r="K202" s="2">
        <v>10.199999999999999</v>
      </c>
      <c r="L202" s="2"/>
      <c r="M202" s="2"/>
      <c r="N202" s="2"/>
      <c r="O202" s="2">
        <f t="shared" si="168"/>
        <v>51.8</v>
      </c>
      <c r="P202" s="2">
        <f t="shared" si="169"/>
        <v>51.8</v>
      </c>
      <c r="Q202" s="2">
        <f>(ROUND((ROUND(((ET202)*AV202*I202),2)*BB202),2)+ROUND((ROUND(((AE202-(EU202))*AV202*I202),2)*BS202),2))</f>
        <v>0</v>
      </c>
      <c r="R202" s="2">
        <f t="shared" si="171"/>
        <v>0</v>
      </c>
      <c r="S202" s="2">
        <f t="shared" si="172"/>
        <v>0</v>
      </c>
      <c r="T202" s="2">
        <f t="shared" si="173"/>
        <v>0</v>
      </c>
      <c r="U202" s="2">
        <f t="shared" si="174"/>
        <v>0</v>
      </c>
      <c r="V202" s="2">
        <f t="shared" si="175"/>
        <v>0</v>
      </c>
      <c r="W202" s="2">
        <f t="shared" si="176"/>
        <v>0</v>
      </c>
      <c r="X202" s="2">
        <f t="shared" si="177"/>
        <v>0</v>
      </c>
      <c r="Y202" s="2">
        <f t="shared" si="178"/>
        <v>0</v>
      </c>
      <c r="Z202" s="2"/>
      <c r="AA202" s="2">
        <v>56622490</v>
      </c>
      <c r="AB202" s="2">
        <f t="shared" si="179"/>
        <v>517.14</v>
      </c>
      <c r="AC202" s="2">
        <f t="shared" si="180"/>
        <v>517.14</v>
      </c>
      <c r="AD202" s="2">
        <f>ROUND((((ET202)-(EU202))+AE202),6)</f>
        <v>0</v>
      </c>
      <c r="AE202" s="2">
        <f>ROUND((EU202),6)</f>
        <v>0</v>
      </c>
      <c r="AF202" s="2">
        <f>ROUND((EV202),6)</f>
        <v>0</v>
      </c>
      <c r="AG202" s="2">
        <f t="shared" si="183"/>
        <v>0</v>
      </c>
      <c r="AH202" s="2">
        <f>(EW202)</f>
        <v>0</v>
      </c>
      <c r="AI202" s="2">
        <f>(EX202)</f>
        <v>0</v>
      </c>
      <c r="AJ202" s="2">
        <f t="shared" si="185"/>
        <v>0</v>
      </c>
      <c r="AK202" s="2">
        <v>517.14</v>
      </c>
      <c r="AL202" s="2">
        <v>517.14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161</v>
      </c>
      <c r="AU202" s="2">
        <v>107</v>
      </c>
      <c r="AV202" s="2">
        <v>1.0469999999999999</v>
      </c>
      <c r="AW202" s="2">
        <v>1.002</v>
      </c>
      <c r="AX202" s="2"/>
      <c r="AY202" s="2"/>
      <c r="AZ202" s="2">
        <v>1</v>
      </c>
      <c r="BA202" s="2">
        <v>1</v>
      </c>
      <c r="BB202" s="2">
        <v>1</v>
      </c>
      <c r="BC202" s="2">
        <v>1</v>
      </c>
      <c r="BD202" s="2" t="s">
        <v>3</v>
      </c>
      <c r="BE202" s="2" t="s">
        <v>3</v>
      </c>
      <c r="BF202" s="2" t="s">
        <v>3</v>
      </c>
      <c r="BG202" s="2" t="s">
        <v>3</v>
      </c>
      <c r="BH202" s="2">
        <v>3</v>
      </c>
      <c r="BI202" s="2">
        <v>1</v>
      </c>
      <c r="BJ202" s="2" t="s">
        <v>303</v>
      </c>
      <c r="BK202" s="2"/>
      <c r="BL202" s="2"/>
      <c r="BM202" s="2">
        <v>152</v>
      </c>
      <c r="BN202" s="2">
        <v>0</v>
      </c>
      <c r="BO202" s="2" t="s">
        <v>3</v>
      </c>
      <c r="BP202" s="2">
        <v>0</v>
      </c>
      <c r="BQ202" s="2">
        <v>30</v>
      </c>
      <c r="BR202" s="2">
        <v>0</v>
      </c>
      <c r="BS202" s="2">
        <v>1</v>
      </c>
      <c r="BT202" s="2">
        <v>1</v>
      </c>
      <c r="BU202" s="2">
        <v>1</v>
      </c>
      <c r="BV202" s="2">
        <v>1</v>
      </c>
      <c r="BW202" s="2">
        <v>1</v>
      </c>
      <c r="BX202" s="2">
        <v>1</v>
      </c>
      <c r="BY202" s="2" t="s">
        <v>3</v>
      </c>
      <c r="BZ202" s="2">
        <v>161</v>
      </c>
      <c r="CA202" s="2">
        <v>107</v>
      </c>
      <c r="CB202" s="2" t="s">
        <v>3</v>
      </c>
      <c r="CC202" s="2"/>
      <c r="CD202" s="2"/>
      <c r="CE202" s="2">
        <v>30</v>
      </c>
      <c r="CF202" s="2">
        <v>0</v>
      </c>
      <c r="CG202" s="2">
        <v>0</v>
      </c>
      <c r="CH202" s="2"/>
      <c r="CI202" s="2"/>
      <c r="CJ202" s="2"/>
      <c r="CK202" s="2"/>
      <c r="CL202" s="2"/>
      <c r="CM202" s="2">
        <v>0</v>
      </c>
      <c r="CN202" s="2" t="s">
        <v>3</v>
      </c>
      <c r="CO202" s="2">
        <v>0</v>
      </c>
      <c r="CP202" s="2">
        <f t="shared" si="186"/>
        <v>51.8</v>
      </c>
      <c r="CQ202" s="2">
        <f t="shared" si="187"/>
        <v>518.16999999999996</v>
      </c>
      <c r="CR202" s="2">
        <f>(ROUND((ROUND(((ET202)*AV202*1),2)*BB202),2)+ROUND((ROUND(((AE202-(EU202))*AV202*1),2)*BS202),2))</f>
        <v>0</v>
      </c>
      <c r="CS202" s="2">
        <f t="shared" si="189"/>
        <v>0</v>
      </c>
      <c r="CT202" s="2">
        <f t="shared" si="190"/>
        <v>0</v>
      </c>
      <c r="CU202" s="2">
        <f t="shared" si="191"/>
        <v>0</v>
      </c>
      <c r="CV202" s="2">
        <f t="shared" si="192"/>
        <v>0</v>
      </c>
      <c r="CW202" s="2">
        <f t="shared" si="193"/>
        <v>0</v>
      </c>
      <c r="CX202" s="2">
        <f t="shared" si="194"/>
        <v>0</v>
      </c>
      <c r="CY202" s="2">
        <f>((S202*BZ202)/100)</f>
        <v>0</v>
      </c>
      <c r="CZ202" s="2">
        <f>((S202*CA202)/100)</f>
        <v>0</v>
      </c>
      <c r="DA202" s="2"/>
      <c r="DB202" s="2"/>
      <c r="DC202" s="2" t="s">
        <v>3</v>
      </c>
      <c r="DD202" s="2" t="s">
        <v>3</v>
      </c>
      <c r="DE202" s="2" t="s">
        <v>3</v>
      </c>
      <c r="DF202" s="2" t="s">
        <v>3</v>
      </c>
      <c r="DG202" s="2" t="s">
        <v>3</v>
      </c>
      <c r="DH202" s="2" t="s">
        <v>3</v>
      </c>
      <c r="DI202" s="2" t="s">
        <v>3</v>
      </c>
      <c r="DJ202" s="2" t="s">
        <v>3</v>
      </c>
      <c r="DK202" s="2" t="s">
        <v>3</v>
      </c>
      <c r="DL202" s="2" t="s">
        <v>3</v>
      </c>
      <c r="DM202" s="2" t="s">
        <v>3</v>
      </c>
      <c r="DN202" s="2">
        <v>0</v>
      </c>
      <c r="DO202" s="2">
        <v>0</v>
      </c>
      <c r="DP202" s="2">
        <v>1</v>
      </c>
      <c r="DQ202" s="2">
        <v>1</v>
      </c>
      <c r="DR202" s="2"/>
      <c r="DS202" s="2"/>
      <c r="DT202" s="2"/>
      <c r="DU202" s="2">
        <v>1007</v>
      </c>
      <c r="DV202" s="2" t="s">
        <v>85</v>
      </c>
      <c r="DW202" s="2" t="s">
        <v>85</v>
      </c>
      <c r="DX202" s="2">
        <v>1</v>
      </c>
      <c r="DY202" s="2"/>
      <c r="DZ202" s="2" t="s">
        <v>3</v>
      </c>
      <c r="EA202" s="2" t="s">
        <v>3</v>
      </c>
      <c r="EB202" s="2" t="s">
        <v>3</v>
      </c>
      <c r="EC202" s="2" t="s">
        <v>3</v>
      </c>
      <c r="ED202" s="2"/>
      <c r="EE202" s="2">
        <v>51696191</v>
      </c>
      <c r="EF202" s="2">
        <v>30</v>
      </c>
      <c r="EG202" s="2" t="s">
        <v>23</v>
      </c>
      <c r="EH202" s="2">
        <v>0</v>
      </c>
      <c r="EI202" s="2" t="s">
        <v>3</v>
      </c>
      <c r="EJ202" s="2">
        <v>1</v>
      </c>
      <c r="EK202" s="2">
        <v>152</v>
      </c>
      <c r="EL202" s="2" t="s">
        <v>298</v>
      </c>
      <c r="EM202" s="2" t="s">
        <v>299</v>
      </c>
      <c r="EN202" s="2"/>
      <c r="EO202" s="2" t="s">
        <v>3</v>
      </c>
      <c r="EP202" s="2"/>
      <c r="EQ202" s="2">
        <v>0</v>
      </c>
      <c r="ER202" s="2">
        <v>517.14</v>
      </c>
      <c r="ES202" s="2">
        <v>517.14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>
        <v>0</v>
      </c>
      <c r="FR202" s="2">
        <v>0</v>
      </c>
      <c r="FS202" s="2">
        <v>0</v>
      </c>
      <c r="FT202" s="2"/>
      <c r="FU202" s="2"/>
      <c r="FV202" s="2"/>
      <c r="FW202" s="2"/>
      <c r="FX202" s="2">
        <v>161</v>
      </c>
      <c r="FY202" s="2">
        <v>107</v>
      </c>
      <c r="FZ202" s="2"/>
      <c r="GA202" s="2" t="s">
        <v>3</v>
      </c>
      <c r="GB202" s="2"/>
      <c r="GC202" s="2"/>
      <c r="GD202" s="2">
        <v>0</v>
      </c>
      <c r="GE202" s="2"/>
      <c r="GF202" s="2">
        <v>-520181400</v>
      </c>
      <c r="GG202" s="2">
        <v>2</v>
      </c>
      <c r="GH202" s="2">
        <v>1</v>
      </c>
      <c r="GI202" s="2">
        <v>-2</v>
      </c>
      <c r="GJ202" s="2">
        <v>0</v>
      </c>
      <c r="GK202" s="2">
        <f>ROUND(R202*(R12)/100,2)</f>
        <v>0</v>
      </c>
      <c r="GL202" s="2">
        <f t="shared" si="195"/>
        <v>0</v>
      </c>
      <c r="GM202" s="2">
        <f t="shared" si="196"/>
        <v>51.8</v>
      </c>
      <c r="GN202" s="2">
        <f t="shared" si="197"/>
        <v>51.8</v>
      </c>
      <c r="GO202" s="2">
        <f t="shared" si="198"/>
        <v>0</v>
      </c>
      <c r="GP202" s="2">
        <f t="shared" si="199"/>
        <v>0</v>
      </c>
      <c r="GQ202" s="2"/>
      <c r="GR202" s="2">
        <v>0</v>
      </c>
      <c r="GS202" s="2">
        <v>0</v>
      </c>
      <c r="GT202" s="2">
        <v>0</v>
      </c>
      <c r="GU202" s="2" t="s">
        <v>3</v>
      </c>
      <c r="GV202" s="2">
        <f t="shared" si="200"/>
        <v>0</v>
      </c>
      <c r="GW202" s="2">
        <v>1</v>
      </c>
      <c r="GX202" s="2">
        <f t="shared" si="201"/>
        <v>0</v>
      </c>
      <c r="GY202" s="2"/>
      <c r="GZ202" s="2"/>
      <c r="HA202" s="2">
        <v>0</v>
      </c>
      <c r="HB202" s="2">
        <v>0</v>
      </c>
      <c r="HC202" s="2">
        <f t="shared" si="202"/>
        <v>0</v>
      </c>
      <c r="HD202" s="2"/>
      <c r="HE202" s="2" t="s">
        <v>3</v>
      </c>
      <c r="HF202" s="2" t="s">
        <v>3</v>
      </c>
      <c r="HG202" s="2"/>
      <c r="HH202" s="2"/>
      <c r="HI202" s="2"/>
      <c r="HJ202" s="2"/>
      <c r="HK202" s="2"/>
      <c r="HL202" s="2"/>
      <c r="HM202" s="2" t="s">
        <v>3</v>
      </c>
      <c r="HN202" s="2" t="s">
        <v>3</v>
      </c>
      <c r="HO202" s="2" t="s">
        <v>3</v>
      </c>
      <c r="HP202" s="2" t="s">
        <v>3</v>
      </c>
      <c r="HQ202" s="2" t="s">
        <v>3</v>
      </c>
      <c r="HR202" s="2"/>
      <c r="HS202" s="2">
        <v>0</v>
      </c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>
        <v>0</v>
      </c>
      <c r="IL202" s="2"/>
      <c r="IM202" s="2"/>
      <c r="IN202" s="2"/>
      <c r="IO202" s="2"/>
      <c r="IP202" s="2"/>
      <c r="IQ202" s="2"/>
      <c r="IR202" s="2"/>
      <c r="IS202" s="2"/>
      <c r="IT202" s="2"/>
      <c r="IU202" s="2"/>
    </row>
    <row r="203" spans="1:255" x14ac:dyDescent="0.2">
      <c r="A203">
        <v>18</v>
      </c>
      <c r="B203">
        <v>1</v>
      </c>
      <c r="C203">
        <v>30</v>
      </c>
      <c r="E203" t="s">
        <v>308</v>
      </c>
      <c r="F203" t="s">
        <v>301</v>
      </c>
      <c r="G203" t="s">
        <v>302</v>
      </c>
      <c r="H203" t="s">
        <v>85</v>
      </c>
      <c r="I203">
        <f>I201*J203</f>
        <v>9.9959999999999993E-2</v>
      </c>
      <c r="J203">
        <v>10.199999999999999</v>
      </c>
      <c r="K203">
        <v>10.199999999999999</v>
      </c>
      <c r="O203">
        <f t="shared" si="168"/>
        <v>571.35</v>
      </c>
      <c r="P203">
        <f t="shared" si="169"/>
        <v>571.35</v>
      </c>
      <c r="Q203">
        <f>(ROUND((ROUND(((ET203)*AV203*I203),2)*BB203),2)+ROUND((ROUND(((AE203-(EU203))*AV203*I203),2)*BS203),2))</f>
        <v>0</v>
      </c>
      <c r="R203">
        <f t="shared" si="171"/>
        <v>0</v>
      </c>
      <c r="S203">
        <f t="shared" si="172"/>
        <v>0</v>
      </c>
      <c r="T203">
        <f t="shared" si="173"/>
        <v>0</v>
      </c>
      <c r="U203">
        <f t="shared" si="174"/>
        <v>0</v>
      </c>
      <c r="V203">
        <f t="shared" si="175"/>
        <v>0</v>
      </c>
      <c r="W203">
        <f t="shared" si="176"/>
        <v>0</v>
      </c>
      <c r="X203">
        <f t="shared" si="177"/>
        <v>0</v>
      </c>
      <c r="Y203">
        <f t="shared" si="178"/>
        <v>0</v>
      </c>
      <c r="AA203">
        <v>56610029</v>
      </c>
      <c r="AB203">
        <f t="shared" si="179"/>
        <v>517.14</v>
      </c>
      <c r="AC203">
        <f t="shared" si="180"/>
        <v>517.14</v>
      </c>
      <c r="AD203">
        <f>ROUND((((ET203)-(EU203))+AE203),6)</f>
        <v>0</v>
      </c>
      <c r="AE203">
        <f>ROUND((EU203),6)</f>
        <v>0</v>
      </c>
      <c r="AF203">
        <f>ROUND((EV203),6)</f>
        <v>0</v>
      </c>
      <c r="AG203">
        <f t="shared" si="183"/>
        <v>0</v>
      </c>
      <c r="AH203">
        <f>(EW203)</f>
        <v>0</v>
      </c>
      <c r="AI203">
        <f>(EX203)</f>
        <v>0</v>
      </c>
      <c r="AJ203">
        <f t="shared" si="185"/>
        <v>0</v>
      </c>
      <c r="AK203">
        <v>517.14</v>
      </c>
      <c r="AL203">
        <v>517.14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1.002</v>
      </c>
      <c r="AZ203">
        <v>1</v>
      </c>
      <c r="BA203">
        <v>1</v>
      </c>
      <c r="BB203">
        <v>1</v>
      </c>
      <c r="BC203">
        <v>11.03</v>
      </c>
      <c r="BD203" t="s">
        <v>3</v>
      </c>
      <c r="BE203" t="s">
        <v>3</v>
      </c>
      <c r="BF203" t="s">
        <v>3</v>
      </c>
      <c r="BG203" t="s">
        <v>3</v>
      </c>
      <c r="BH203">
        <v>3</v>
      </c>
      <c r="BI203">
        <v>1</v>
      </c>
      <c r="BJ203" t="s">
        <v>303</v>
      </c>
      <c r="BM203">
        <v>152</v>
      </c>
      <c r="BN203">
        <v>0</v>
      </c>
      <c r="BO203" t="s">
        <v>301</v>
      </c>
      <c r="BP203">
        <v>1</v>
      </c>
      <c r="BQ203">
        <v>30</v>
      </c>
      <c r="BR203">
        <v>0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 t="s">
        <v>3</v>
      </c>
      <c r="BZ203">
        <v>0</v>
      </c>
      <c r="CA203">
        <v>0</v>
      </c>
      <c r="CB203" t="s">
        <v>3</v>
      </c>
      <c r="CE203">
        <v>30</v>
      </c>
      <c r="CF203">
        <v>0</v>
      </c>
      <c r="CG203">
        <v>0</v>
      </c>
      <c r="CM203">
        <v>0</v>
      </c>
      <c r="CN203" t="s">
        <v>3</v>
      </c>
      <c r="CO203">
        <v>0</v>
      </c>
      <c r="CP203">
        <f t="shared" si="186"/>
        <v>571.35</v>
      </c>
      <c r="CQ203">
        <f t="shared" si="187"/>
        <v>5715.42</v>
      </c>
      <c r="CR203">
        <f>(ROUND((ROUND(((ET203)*AV203*1),2)*BB203),2)+ROUND((ROUND(((AE203-(EU203))*AV203*1),2)*BS203),2))</f>
        <v>0</v>
      </c>
      <c r="CS203">
        <f t="shared" si="189"/>
        <v>0</v>
      </c>
      <c r="CT203">
        <f t="shared" si="190"/>
        <v>0</v>
      </c>
      <c r="CU203">
        <f t="shared" si="191"/>
        <v>0</v>
      </c>
      <c r="CV203">
        <f t="shared" si="192"/>
        <v>0</v>
      </c>
      <c r="CW203">
        <f t="shared" si="193"/>
        <v>0</v>
      </c>
      <c r="CX203">
        <f t="shared" si="194"/>
        <v>0</v>
      </c>
      <c r="CY203">
        <f>S203*(BZ203/100)</f>
        <v>0</v>
      </c>
      <c r="CZ203">
        <f>S203*(CA203/100)</f>
        <v>0</v>
      </c>
      <c r="DC203" t="s">
        <v>3</v>
      </c>
      <c r="DD203" t="s">
        <v>3</v>
      </c>
      <c r="DE203" t="s">
        <v>3</v>
      </c>
      <c r="DF203" t="s">
        <v>3</v>
      </c>
      <c r="DG203" t="s">
        <v>3</v>
      </c>
      <c r="DH203" t="s">
        <v>3</v>
      </c>
      <c r="DI203" t="s">
        <v>3</v>
      </c>
      <c r="DJ203" t="s">
        <v>3</v>
      </c>
      <c r="DK203" t="s">
        <v>3</v>
      </c>
      <c r="DL203" t="s">
        <v>3</v>
      </c>
      <c r="DM203" t="s">
        <v>3</v>
      </c>
      <c r="DN203">
        <v>161</v>
      </c>
      <c r="DO203">
        <v>107</v>
      </c>
      <c r="DP203">
        <v>1.0469999999999999</v>
      </c>
      <c r="DQ203">
        <v>1.002</v>
      </c>
      <c r="DU203">
        <v>1007</v>
      </c>
      <c r="DV203" t="s">
        <v>85</v>
      </c>
      <c r="DW203" t="s">
        <v>85</v>
      </c>
      <c r="DX203">
        <v>1</v>
      </c>
      <c r="DZ203" t="s">
        <v>3</v>
      </c>
      <c r="EA203" t="s">
        <v>3</v>
      </c>
      <c r="EB203" t="s">
        <v>3</v>
      </c>
      <c r="EC203" t="s">
        <v>3</v>
      </c>
      <c r="EE203">
        <v>51696191</v>
      </c>
      <c r="EF203">
        <v>30</v>
      </c>
      <c r="EG203" t="s">
        <v>23</v>
      </c>
      <c r="EH203">
        <v>0</v>
      </c>
      <c r="EI203" t="s">
        <v>3</v>
      </c>
      <c r="EJ203">
        <v>1</v>
      </c>
      <c r="EK203">
        <v>152</v>
      </c>
      <c r="EL203" t="s">
        <v>298</v>
      </c>
      <c r="EM203" t="s">
        <v>299</v>
      </c>
      <c r="EO203" t="s">
        <v>3</v>
      </c>
      <c r="EQ203">
        <v>0</v>
      </c>
      <c r="ER203">
        <v>517.14</v>
      </c>
      <c r="ES203">
        <v>517.14</v>
      </c>
      <c r="ET203">
        <v>0</v>
      </c>
      <c r="EU203">
        <v>0</v>
      </c>
      <c r="EV203">
        <v>0</v>
      </c>
      <c r="EW203">
        <v>0</v>
      </c>
      <c r="EX203">
        <v>0</v>
      </c>
      <c r="FQ203">
        <v>0</v>
      </c>
      <c r="FR203">
        <v>0</v>
      </c>
      <c r="FS203">
        <v>0</v>
      </c>
      <c r="FX203">
        <v>161</v>
      </c>
      <c r="FY203">
        <v>107</v>
      </c>
      <c r="GA203" t="s">
        <v>3</v>
      </c>
      <c r="GD203">
        <v>0</v>
      </c>
      <c r="GF203">
        <v>-520181400</v>
      </c>
      <c r="GG203">
        <v>2</v>
      </c>
      <c r="GH203">
        <v>1</v>
      </c>
      <c r="GI203">
        <v>2</v>
      </c>
      <c r="GJ203">
        <v>0</v>
      </c>
      <c r="GK203">
        <f>ROUND(R203*(S12)/100,2)</f>
        <v>0</v>
      </c>
      <c r="GL203">
        <f t="shared" si="195"/>
        <v>0</v>
      </c>
      <c r="GM203">
        <f t="shared" si="196"/>
        <v>571.35</v>
      </c>
      <c r="GN203">
        <f t="shared" si="197"/>
        <v>571.35</v>
      </c>
      <c r="GO203">
        <f t="shared" si="198"/>
        <v>0</v>
      </c>
      <c r="GP203">
        <f t="shared" si="199"/>
        <v>0</v>
      </c>
      <c r="GR203">
        <v>0</v>
      </c>
      <c r="GS203">
        <v>3</v>
      </c>
      <c r="GT203">
        <v>0</v>
      </c>
      <c r="GU203" t="s">
        <v>3</v>
      </c>
      <c r="GV203">
        <f t="shared" si="200"/>
        <v>0</v>
      </c>
      <c r="GW203">
        <v>1</v>
      </c>
      <c r="GX203">
        <f t="shared" si="201"/>
        <v>0</v>
      </c>
      <c r="HA203">
        <v>0</v>
      </c>
      <c r="HB203">
        <v>0</v>
      </c>
      <c r="HC203">
        <f t="shared" si="202"/>
        <v>0</v>
      </c>
      <c r="HE203" t="s">
        <v>3</v>
      </c>
      <c r="HF203" t="s">
        <v>3</v>
      </c>
      <c r="HM203" t="s">
        <v>3</v>
      </c>
      <c r="HN203" t="s">
        <v>3</v>
      </c>
      <c r="HO203" t="s">
        <v>3</v>
      </c>
      <c r="HP203" t="s">
        <v>3</v>
      </c>
      <c r="HQ203" t="s">
        <v>3</v>
      </c>
      <c r="HS203">
        <v>0</v>
      </c>
      <c r="IK203">
        <v>0</v>
      </c>
    </row>
    <row r="204" spans="1:255" x14ac:dyDescent="0.2">
      <c r="A204" s="2">
        <v>17</v>
      </c>
      <c r="B204" s="2">
        <v>1</v>
      </c>
      <c r="C204" s="2">
        <f>ROW(SmtRes!A31)</f>
        <v>31</v>
      </c>
      <c r="D204" s="2">
        <f>ROW(EtalonRes!A407)</f>
        <v>407</v>
      </c>
      <c r="E204" s="2" t="s">
        <v>309</v>
      </c>
      <c r="F204" s="2" t="s">
        <v>310</v>
      </c>
      <c r="G204" s="2" t="s">
        <v>311</v>
      </c>
      <c r="H204" s="2" t="s">
        <v>95</v>
      </c>
      <c r="I204" s="2">
        <f>ROUND(9.8/100,9)</f>
        <v>9.8000000000000004E-2</v>
      </c>
      <c r="J204" s="2">
        <v>0</v>
      </c>
      <c r="K204" s="2">
        <f>ROUND(9.8/100,9)</f>
        <v>9.8000000000000004E-2</v>
      </c>
      <c r="L204" s="2"/>
      <c r="M204" s="2"/>
      <c r="N204" s="2"/>
      <c r="O204" s="2">
        <f t="shared" si="168"/>
        <v>68.64</v>
      </c>
      <c r="P204" s="2">
        <f t="shared" si="169"/>
        <v>5.67</v>
      </c>
      <c r="Q204" s="2">
        <f>(ROUND((ROUND((((ET204*1.05))*AV204*I204),2)*BB204),2)+ROUND((ROUND(((AE204-((EU204*1.05)))*AV204*I204),2)*BS204),2))</f>
        <v>57.35</v>
      </c>
      <c r="R204" s="2">
        <f t="shared" si="171"/>
        <v>5.0199999999999996</v>
      </c>
      <c r="S204" s="2">
        <f t="shared" si="172"/>
        <v>5.62</v>
      </c>
      <c r="T204" s="2">
        <f t="shared" si="173"/>
        <v>0</v>
      </c>
      <c r="U204" s="2">
        <f t="shared" si="174"/>
        <v>0.46218872700000002</v>
      </c>
      <c r="V204" s="2">
        <f t="shared" si="175"/>
        <v>0</v>
      </c>
      <c r="W204" s="2">
        <f t="shared" si="176"/>
        <v>0</v>
      </c>
      <c r="X204" s="2">
        <f t="shared" si="177"/>
        <v>9.0500000000000007</v>
      </c>
      <c r="Y204" s="2">
        <f t="shared" si="178"/>
        <v>6.01</v>
      </c>
      <c r="Z204" s="2"/>
      <c r="AA204" s="2">
        <v>56622490</v>
      </c>
      <c r="AB204" s="2">
        <f t="shared" si="179"/>
        <v>671.57600000000002</v>
      </c>
      <c r="AC204" s="2">
        <f t="shared" si="180"/>
        <v>57.83</v>
      </c>
      <c r="AD204" s="2">
        <f>ROUND(((((ET204*1.05))-((EU204*1.05)))+AE204),6)</f>
        <v>558.96749999999997</v>
      </c>
      <c r="AE204" s="2">
        <f>ROUND(((EU204*1.05)),6)</f>
        <v>48.908999999999999</v>
      </c>
      <c r="AF204" s="2">
        <f>ROUND(((EV204*1.05)),6)</f>
        <v>54.778500000000001</v>
      </c>
      <c r="AG204" s="2">
        <f t="shared" si="183"/>
        <v>0</v>
      </c>
      <c r="AH204" s="2">
        <f>((EW204*1.05))</f>
        <v>4.5045000000000002</v>
      </c>
      <c r="AI204" s="2">
        <f>((EX204*1.05))</f>
        <v>0</v>
      </c>
      <c r="AJ204" s="2">
        <f t="shared" si="185"/>
        <v>0</v>
      </c>
      <c r="AK204" s="2">
        <v>642.35</v>
      </c>
      <c r="AL204" s="2">
        <v>57.83</v>
      </c>
      <c r="AM204" s="2">
        <v>532.35</v>
      </c>
      <c r="AN204" s="2">
        <v>46.58</v>
      </c>
      <c r="AO204" s="2">
        <v>52.17</v>
      </c>
      <c r="AP204" s="2">
        <v>0</v>
      </c>
      <c r="AQ204" s="2">
        <v>4.29</v>
      </c>
      <c r="AR204" s="2">
        <v>0</v>
      </c>
      <c r="AS204" s="2">
        <v>0</v>
      </c>
      <c r="AT204" s="2">
        <v>161</v>
      </c>
      <c r="AU204" s="2">
        <v>107</v>
      </c>
      <c r="AV204" s="2">
        <v>1.0469999999999999</v>
      </c>
      <c r="AW204" s="2">
        <v>1</v>
      </c>
      <c r="AX204" s="2"/>
      <c r="AY204" s="2"/>
      <c r="AZ204" s="2">
        <v>1</v>
      </c>
      <c r="BA204" s="2">
        <v>1</v>
      </c>
      <c r="BB204" s="2">
        <v>1</v>
      </c>
      <c r="BC204" s="2">
        <v>1</v>
      </c>
      <c r="BD204" s="2" t="s">
        <v>3</v>
      </c>
      <c r="BE204" s="2" t="s">
        <v>3</v>
      </c>
      <c r="BF204" s="2" t="s">
        <v>3</v>
      </c>
      <c r="BG204" s="2" t="s">
        <v>3</v>
      </c>
      <c r="BH204" s="2">
        <v>0</v>
      </c>
      <c r="BI204" s="2">
        <v>1</v>
      </c>
      <c r="BJ204" s="2" t="s">
        <v>312</v>
      </c>
      <c r="BK204" s="2"/>
      <c r="BL204" s="2"/>
      <c r="BM204" s="2">
        <v>158</v>
      </c>
      <c r="BN204" s="2">
        <v>0</v>
      </c>
      <c r="BO204" s="2" t="s">
        <v>3</v>
      </c>
      <c r="BP204" s="2">
        <v>0</v>
      </c>
      <c r="BQ204" s="2">
        <v>30</v>
      </c>
      <c r="BR204" s="2">
        <v>0</v>
      </c>
      <c r="BS204" s="2">
        <v>1</v>
      </c>
      <c r="BT204" s="2">
        <v>1</v>
      </c>
      <c r="BU204" s="2">
        <v>1</v>
      </c>
      <c r="BV204" s="2">
        <v>1</v>
      </c>
      <c r="BW204" s="2">
        <v>1</v>
      </c>
      <c r="BX204" s="2">
        <v>1</v>
      </c>
      <c r="BY204" s="2" t="s">
        <v>3</v>
      </c>
      <c r="BZ204" s="2">
        <v>161</v>
      </c>
      <c r="CA204" s="2">
        <v>107</v>
      </c>
      <c r="CB204" s="2" t="s">
        <v>3</v>
      </c>
      <c r="CC204" s="2"/>
      <c r="CD204" s="2"/>
      <c r="CE204" s="2">
        <v>30</v>
      </c>
      <c r="CF204" s="2">
        <v>0</v>
      </c>
      <c r="CG204" s="2">
        <v>0</v>
      </c>
      <c r="CH204" s="2"/>
      <c r="CI204" s="2"/>
      <c r="CJ204" s="2"/>
      <c r="CK204" s="2"/>
      <c r="CL204" s="2"/>
      <c r="CM204" s="2">
        <v>0</v>
      </c>
      <c r="CN204" s="2" t="s">
        <v>708</v>
      </c>
      <c r="CO204" s="2">
        <v>0</v>
      </c>
      <c r="CP204" s="2">
        <f t="shared" si="186"/>
        <v>68.64</v>
      </c>
      <c r="CQ204" s="2">
        <f t="shared" si="187"/>
        <v>57.83</v>
      </c>
      <c r="CR204" s="2">
        <f>(ROUND((ROUND((((ET204*1.05))*AV204*1),2)*BB204),2)+ROUND((ROUND(((AE204-((EU204*1.05)))*AV204*1),2)*BS204),2))</f>
        <v>585.24</v>
      </c>
      <c r="CS204" s="2">
        <f t="shared" si="189"/>
        <v>51.21</v>
      </c>
      <c r="CT204" s="2">
        <f t="shared" si="190"/>
        <v>57.35</v>
      </c>
      <c r="CU204" s="2">
        <f t="shared" si="191"/>
        <v>0</v>
      </c>
      <c r="CV204" s="2">
        <f t="shared" si="192"/>
        <v>4.7162115</v>
      </c>
      <c r="CW204" s="2">
        <f t="shared" si="193"/>
        <v>0</v>
      </c>
      <c r="CX204" s="2">
        <f t="shared" si="194"/>
        <v>0</v>
      </c>
      <c r="CY204" s="2">
        <f>((S204*BZ204)/100)</f>
        <v>9.0482000000000014</v>
      </c>
      <c r="CZ204" s="2">
        <f>((S204*CA204)/100)</f>
        <v>6.0134000000000007</v>
      </c>
      <c r="DA204" s="2"/>
      <c r="DB204" s="2">
        <v>95</v>
      </c>
      <c r="DC204" s="2" t="s">
        <v>3</v>
      </c>
      <c r="DD204" s="2" t="s">
        <v>3</v>
      </c>
      <c r="DE204" s="2" t="s">
        <v>22</v>
      </c>
      <c r="DF204" s="2" t="s">
        <v>22</v>
      </c>
      <c r="DG204" s="2" t="s">
        <v>22</v>
      </c>
      <c r="DH204" s="2" t="s">
        <v>3</v>
      </c>
      <c r="DI204" s="2" t="s">
        <v>22</v>
      </c>
      <c r="DJ204" s="2" t="s">
        <v>22</v>
      </c>
      <c r="DK204" s="2" t="s">
        <v>3</v>
      </c>
      <c r="DL204" s="2" t="s">
        <v>3</v>
      </c>
      <c r="DM204" s="2" t="s">
        <v>3</v>
      </c>
      <c r="DN204" s="2">
        <v>0</v>
      </c>
      <c r="DO204" s="2">
        <v>0</v>
      </c>
      <c r="DP204" s="2">
        <v>1</v>
      </c>
      <c r="DQ204" s="2">
        <v>1</v>
      </c>
      <c r="DR204" s="2"/>
      <c r="DS204" s="2"/>
      <c r="DT204" s="2"/>
      <c r="DU204" s="2">
        <v>1013</v>
      </c>
      <c r="DV204" s="2" t="s">
        <v>95</v>
      </c>
      <c r="DW204" s="2" t="s">
        <v>95</v>
      </c>
      <c r="DX204" s="2">
        <v>1</v>
      </c>
      <c r="DY204" s="2"/>
      <c r="DZ204" s="2" t="s">
        <v>3</v>
      </c>
      <c r="EA204" s="2" t="s">
        <v>3</v>
      </c>
      <c r="EB204" s="2" t="s">
        <v>3</v>
      </c>
      <c r="EC204" s="2" t="s">
        <v>3</v>
      </c>
      <c r="ED204" s="2"/>
      <c r="EE204" s="2">
        <v>51696197</v>
      </c>
      <c r="EF204" s="2">
        <v>30</v>
      </c>
      <c r="EG204" s="2" t="s">
        <v>23</v>
      </c>
      <c r="EH204" s="2">
        <v>0</v>
      </c>
      <c r="EI204" s="2" t="s">
        <v>3</v>
      </c>
      <c r="EJ204" s="2">
        <v>1</v>
      </c>
      <c r="EK204" s="2">
        <v>158</v>
      </c>
      <c r="EL204" s="2" t="s">
        <v>313</v>
      </c>
      <c r="EM204" s="2" t="s">
        <v>314</v>
      </c>
      <c r="EN204" s="2"/>
      <c r="EO204" s="2" t="s">
        <v>26</v>
      </c>
      <c r="EP204" s="2"/>
      <c r="EQ204" s="2">
        <v>131072</v>
      </c>
      <c r="ER204" s="2">
        <v>642.35</v>
      </c>
      <c r="ES204" s="2">
        <v>57.83</v>
      </c>
      <c r="ET204" s="2">
        <v>532.35</v>
      </c>
      <c r="EU204" s="2">
        <v>46.58</v>
      </c>
      <c r="EV204" s="2">
        <v>52.17</v>
      </c>
      <c r="EW204" s="2">
        <v>4.29</v>
      </c>
      <c r="EX204" s="2">
        <v>0</v>
      </c>
      <c r="EY204" s="2">
        <v>0</v>
      </c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>
        <v>0</v>
      </c>
      <c r="FR204" s="2">
        <v>0</v>
      </c>
      <c r="FS204" s="2">
        <v>0</v>
      </c>
      <c r="FT204" s="2"/>
      <c r="FU204" s="2"/>
      <c r="FV204" s="2"/>
      <c r="FW204" s="2"/>
      <c r="FX204" s="2">
        <v>161</v>
      </c>
      <c r="FY204" s="2">
        <v>107</v>
      </c>
      <c r="FZ204" s="2"/>
      <c r="GA204" s="2" t="s">
        <v>3</v>
      </c>
      <c r="GB204" s="2"/>
      <c r="GC204" s="2"/>
      <c r="GD204" s="2">
        <v>0</v>
      </c>
      <c r="GE204" s="2"/>
      <c r="GF204" s="2">
        <v>-399398241</v>
      </c>
      <c r="GG204" s="2">
        <v>2</v>
      </c>
      <c r="GH204" s="2">
        <v>1</v>
      </c>
      <c r="GI204" s="2">
        <v>-2</v>
      </c>
      <c r="GJ204" s="2">
        <v>0</v>
      </c>
      <c r="GK204" s="2">
        <f>ROUND(R204*(R12)/100,2)</f>
        <v>8.7899999999999991</v>
      </c>
      <c r="GL204" s="2">
        <f t="shared" si="195"/>
        <v>0</v>
      </c>
      <c r="GM204" s="2">
        <f t="shared" si="196"/>
        <v>92.49</v>
      </c>
      <c r="GN204" s="2">
        <f t="shared" si="197"/>
        <v>92.49</v>
      </c>
      <c r="GO204" s="2">
        <f t="shared" si="198"/>
        <v>0</v>
      </c>
      <c r="GP204" s="2">
        <f t="shared" si="199"/>
        <v>0</v>
      </c>
      <c r="GQ204" s="2"/>
      <c r="GR204" s="2">
        <v>0</v>
      </c>
      <c r="GS204" s="2">
        <v>0</v>
      </c>
      <c r="GT204" s="2">
        <v>0</v>
      </c>
      <c r="GU204" s="2" t="s">
        <v>3</v>
      </c>
      <c r="GV204" s="2">
        <f t="shared" si="200"/>
        <v>0</v>
      </c>
      <c r="GW204" s="2">
        <v>1</v>
      </c>
      <c r="GX204" s="2">
        <f t="shared" si="201"/>
        <v>0</v>
      </c>
      <c r="GY204" s="2"/>
      <c r="GZ204" s="2"/>
      <c r="HA204" s="2">
        <v>0</v>
      </c>
      <c r="HB204" s="2">
        <v>0</v>
      </c>
      <c r="HC204" s="2">
        <f t="shared" si="202"/>
        <v>0</v>
      </c>
      <c r="HD204" s="2"/>
      <c r="HE204" s="2" t="s">
        <v>3</v>
      </c>
      <c r="HF204" s="2" t="s">
        <v>3</v>
      </c>
      <c r="HG204" s="2"/>
      <c r="HH204" s="2"/>
      <c r="HI204" s="2"/>
      <c r="HJ204" s="2"/>
      <c r="HK204" s="2"/>
      <c r="HL204" s="2"/>
      <c r="HM204" s="2" t="s">
        <v>3</v>
      </c>
      <c r="HN204" s="2" t="s">
        <v>3</v>
      </c>
      <c r="HO204" s="2" t="s">
        <v>3</v>
      </c>
      <c r="HP204" s="2" t="s">
        <v>3</v>
      </c>
      <c r="HQ204" s="2" t="s">
        <v>3</v>
      </c>
      <c r="HR204" s="2"/>
      <c r="HS204" s="2">
        <v>0</v>
      </c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>
        <v>0</v>
      </c>
      <c r="IL204" s="2"/>
      <c r="IM204" s="2"/>
      <c r="IN204" s="2"/>
      <c r="IO204" s="2"/>
      <c r="IP204" s="2"/>
      <c r="IQ204" s="2"/>
      <c r="IR204" s="2"/>
      <c r="IS204" s="2"/>
      <c r="IT204" s="2"/>
      <c r="IU204" s="2"/>
    </row>
    <row r="205" spans="1:255" x14ac:dyDescent="0.2">
      <c r="A205">
        <v>17</v>
      </c>
      <c r="B205">
        <v>1</v>
      </c>
      <c r="C205">
        <f>ROW(SmtRes!A32)</f>
        <v>32</v>
      </c>
      <c r="D205">
        <f>ROW(EtalonRes!A418)</f>
        <v>418</v>
      </c>
      <c r="E205" t="s">
        <v>309</v>
      </c>
      <c r="F205" t="s">
        <v>310</v>
      </c>
      <c r="G205" t="s">
        <v>311</v>
      </c>
      <c r="H205" t="s">
        <v>95</v>
      </c>
      <c r="I205">
        <f>ROUND(9.8/100,9)</f>
        <v>9.8000000000000004E-2</v>
      </c>
      <c r="J205">
        <v>0</v>
      </c>
      <c r="K205">
        <f>ROUND(9.8/100,9)</f>
        <v>9.8000000000000004E-2</v>
      </c>
      <c r="O205">
        <f t="shared" si="168"/>
        <v>972.09</v>
      </c>
      <c r="P205">
        <f t="shared" si="169"/>
        <v>93.38</v>
      </c>
      <c r="Q205">
        <f>(ROUND((ROUND((((ET205*1.05))*AV205*I205),2)*BB205),2)+ROUND((ROUND(((AE205-((EU205*1.05)))*AV205*I205),2)*BS205),2))</f>
        <v>684.76</v>
      </c>
      <c r="R205">
        <f t="shared" si="171"/>
        <v>173.24</v>
      </c>
      <c r="S205">
        <f t="shared" si="172"/>
        <v>193.95</v>
      </c>
      <c r="T205">
        <f t="shared" si="173"/>
        <v>0</v>
      </c>
      <c r="U205">
        <f t="shared" si="174"/>
        <v>0.46218872700000002</v>
      </c>
      <c r="V205">
        <f t="shared" si="175"/>
        <v>0</v>
      </c>
      <c r="W205">
        <f t="shared" si="176"/>
        <v>0</v>
      </c>
      <c r="X205">
        <f t="shared" si="177"/>
        <v>259.89</v>
      </c>
      <c r="Y205">
        <f t="shared" si="178"/>
        <v>106.67</v>
      </c>
      <c r="AA205">
        <v>56610029</v>
      </c>
      <c r="AB205">
        <f t="shared" si="179"/>
        <v>671.57600000000002</v>
      </c>
      <c r="AC205">
        <f t="shared" si="180"/>
        <v>57.83</v>
      </c>
      <c r="AD205">
        <f>ROUND(((((ET205*1.05))-((EU205*1.05)))+AE205),6)</f>
        <v>558.96749999999997</v>
      </c>
      <c r="AE205">
        <f>ROUND(((EU205*1.05)),6)</f>
        <v>48.908999999999999</v>
      </c>
      <c r="AF205">
        <f>ROUND(((EV205*1.05)),6)</f>
        <v>54.778500000000001</v>
      </c>
      <c r="AG205">
        <f t="shared" si="183"/>
        <v>0</v>
      </c>
      <c r="AH205">
        <f>((EW205*1.05))</f>
        <v>4.5045000000000002</v>
      </c>
      <c r="AI205">
        <f>((EX205*1.05))</f>
        <v>0</v>
      </c>
      <c r="AJ205">
        <f t="shared" si="185"/>
        <v>0</v>
      </c>
      <c r="AK205">
        <v>642.35</v>
      </c>
      <c r="AL205">
        <v>57.83</v>
      </c>
      <c r="AM205">
        <v>532.35</v>
      </c>
      <c r="AN205">
        <v>46.58</v>
      </c>
      <c r="AO205">
        <v>52.17</v>
      </c>
      <c r="AP205">
        <v>0</v>
      </c>
      <c r="AQ205">
        <v>4.29</v>
      </c>
      <c r="AR205">
        <v>0</v>
      </c>
      <c r="AS205">
        <v>0</v>
      </c>
      <c r="AT205">
        <v>134</v>
      </c>
      <c r="AU205">
        <v>55</v>
      </c>
      <c r="AV205">
        <v>1.0469999999999999</v>
      </c>
      <c r="AW205">
        <v>1</v>
      </c>
      <c r="AZ205">
        <v>1</v>
      </c>
      <c r="BA205">
        <v>34.51</v>
      </c>
      <c r="BB205">
        <v>11.94</v>
      </c>
      <c r="BC205">
        <v>16.47</v>
      </c>
      <c r="BD205" t="s">
        <v>3</v>
      </c>
      <c r="BE205" t="s">
        <v>3</v>
      </c>
      <c r="BF205" t="s">
        <v>3</v>
      </c>
      <c r="BG205" t="s">
        <v>3</v>
      </c>
      <c r="BH205">
        <v>0</v>
      </c>
      <c r="BI205">
        <v>1</v>
      </c>
      <c r="BJ205" t="s">
        <v>312</v>
      </c>
      <c r="BM205">
        <v>158</v>
      </c>
      <c r="BN205">
        <v>0</v>
      </c>
      <c r="BO205" t="s">
        <v>310</v>
      </c>
      <c r="BP205">
        <v>1</v>
      </c>
      <c r="BQ205">
        <v>30</v>
      </c>
      <c r="BR205">
        <v>0</v>
      </c>
      <c r="BS205">
        <v>34.51</v>
      </c>
      <c r="BT205">
        <v>1</v>
      </c>
      <c r="BU205">
        <v>1</v>
      </c>
      <c r="BV205">
        <v>1</v>
      </c>
      <c r="BW205">
        <v>1</v>
      </c>
      <c r="BX205">
        <v>1</v>
      </c>
      <c r="BY205" t="s">
        <v>3</v>
      </c>
      <c r="BZ205">
        <v>134</v>
      </c>
      <c r="CA205">
        <v>55</v>
      </c>
      <c r="CB205" t="s">
        <v>3</v>
      </c>
      <c r="CE205">
        <v>30</v>
      </c>
      <c r="CF205">
        <v>0</v>
      </c>
      <c r="CG205">
        <v>0</v>
      </c>
      <c r="CM205">
        <v>0</v>
      </c>
      <c r="CN205" t="s">
        <v>708</v>
      </c>
      <c r="CO205">
        <v>0</v>
      </c>
      <c r="CP205">
        <f t="shared" si="186"/>
        <v>972.08999999999992</v>
      </c>
      <c r="CQ205">
        <f t="shared" si="187"/>
        <v>952.46</v>
      </c>
      <c r="CR205">
        <f>(ROUND((ROUND((((ET205*1.05))*AV205*1),2)*BB205),2)+ROUND((ROUND(((AE205-((EU205*1.05)))*AV205*1),2)*BS205),2))</f>
        <v>6987.77</v>
      </c>
      <c r="CS205">
        <f t="shared" si="189"/>
        <v>1767.26</v>
      </c>
      <c r="CT205">
        <f t="shared" si="190"/>
        <v>1979.15</v>
      </c>
      <c r="CU205">
        <f t="shared" si="191"/>
        <v>0</v>
      </c>
      <c r="CV205">
        <f t="shared" si="192"/>
        <v>4.7162115</v>
      </c>
      <c r="CW205">
        <f t="shared" si="193"/>
        <v>0</v>
      </c>
      <c r="CX205">
        <f t="shared" si="194"/>
        <v>0</v>
      </c>
      <c r="CY205">
        <f>S205*(BZ205/100)</f>
        <v>259.89299999999997</v>
      </c>
      <c r="CZ205">
        <f>S205*(CA205/100)</f>
        <v>106.6725</v>
      </c>
      <c r="DB205">
        <v>96</v>
      </c>
      <c r="DC205" t="s">
        <v>3</v>
      </c>
      <c r="DD205" t="s">
        <v>3</v>
      </c>
      <c r="DE205" t="s">
        <v>22</v>
      </c>
      <c r="DF205" t="s">
        <v>22</v>
      </c>
      <c r="DG205" t="s">
        <v>22</v>
      </c>
      <c r="DH205" t="s">
        <v>3</v>
      </c>
      <c r="DI205" t="s">
        <v>22</v>
      </c>
      <c r="DJ205" t="s">
        <v>22</v>
      </c>
      <c r="DK205" t="s">
        <v>3</v>
      </c>
      <c r="DL205" t="s">
        <v>3</v>
      </c>
      <c r="DM205" t="s">
        <v>3</v>
      </c>
      <c r="DN205">
        <v>161</v>
      </c>
      <c r="DO205">
        <v>107</v>
      </c>
      <c r="DP205">
        <v>1.0469999999999999</v>
      </c>
      <c r="DQ205">
        <v>1</v>
      </c>
      <c r="DU205">
        <v>1013</v>
      </c>
      <c r="DV205" t="s">
        <v>95</v>
      </c>
      <c r="DW205" t="s">
        <v>95</v>
      </c>
      <c r="DX205">
        <v>1</v>
      </c>
      <c r="DZ205" t="s">
        <v>3</v>
      </c>
      <c r="EA205" t="s">
        <v>3</v>
      </c>
      <c r="EB205" t="s">
        <v>3</v>
      </c>
      <c r="EC205" t="s">
        <v>3</v>
      </c>
      <c r="EE205">
        <v>51696197</v>
      </c>
      <c r="EF205">
        <v>30</v>
      </c>
      <c r="EG205" t="s">
        <v>23</v>
      </c>
      <c r="EH205">
        <v>0</v>
      </c>
      <c r="EI205" t="s">
        <v>3</v>
      </c>
      <c r="EJ205">
        <v>1</v>
      </c>
      <c r="EK205">
        <v>158</v>
      </c>
      <c r="EL205" t="s">
        <v>313</v>
      </c>
      <c r="EM205" t="s">
        <v>314</v>
      </c>
      <c r="EO205" t="s">
        <v>26</v>
      </c>
      <c r="EQ205">
        <v>131072</v>
      </c>
      <c r="ER205">
        <v>642.35</v>
      </c>
      <c r="ES205">
        <v>57.83</v>
      </c>
      <c r="ET205">
        <v>532.35</v>
      </c>
      <c r="EU205">
        <v>46.58</v>
      </c>
      <c r="EV205">
        <v>52.17</v>
      </c>
      <c r="EW205">
        <v>4.29</v>
      </c>
      <c r="EX205">
        <v>0</v>
      </c>
      <c r="EY205">
        <v>0</v>
      </c>
      <c r="FQ205">
        <v>0</v>
      </c>
      <c r="FR205">
        <v>0</v>
      </c>
      <c r="FS205">
        <v>0</v>
      </c>
      <c r="FX205">
        <v>161</v>
      </c>
      <c r="FY205">
        <v>107</v>
      </c>
      <c r="GA205" t="s">
        <v>3</v>
      </c>
      <c r="GD205">
        <v>0</v>
      </c>
      <c r="GF205">
        <v>-399398241</v>
      </c>
      <c r="GG205">
        <v>2</v>
      </c>
      <c r="GH205">
        <v>1</v>
      </c>
      <c r="GI205">
        <v>2</v>
      </c>
      <c r="GJ205">
        <v>0</v>
      </c>
      <c r="GK205">
        <f>ROUND(R205*(S12)/100,2)</f>
        <v>277.18</v>
      </c>
      <c r="GL205">
        <f t="shared" si="195"/>
        <v>0</v>
      </c>
      <c r="GM205">
        <f t="shared" si="196"/>
        <v>1615.83</v>
      </c>
      <c r="GN205">
        <f t="shared" si="197"/>
        <v>1615.83</v>
      </c>
      <c r="GO205">
        <f t="shared" si="198"/>
        <v>0</v>
      </c>
      <c r="GP205">
        <f t="shared" si="199"/>
        <v>0</v>
      </c>
      <c r="GR205">
        <v>0</v>
      </c>
      <c r="GS205">
        <v>3</v>
      </c>
      <c r="GT205">
        <v>0</v>
      </c>
      <c r="GU205" t="s">
        <v>3</v>
      </c>
      <c r="GV205">
        <f t="shared" si="200"/>
        <v>0</v>
      </c>
      <c r="GW205">
        <v>1</v>
      </c>
      <c r="GX205">
        <f t="shared" si="201"/>
        <v>0</v>
      </c>
      <c r="HA205">
        <v>0</v>
      </c>
      <c r="HB205">
        <v>0</v>
      </c>
      <c r="HC205">
        <f t="shared" si="202"/>
        <v>0</v>
      </c>
      <c r="HE205" t="s">
        <v>3</v>
      </c>
      <c r="HF205" t="s">
        <v>3</v>
      </c>
      <c r="HM205" t="s">
        <v>3</v>
      </c>
      <c r="HN205" t="s">
        <v>3</v>
      </c>
      <c r="HO205" t="s">
        <v>3</v>
      </c>
      <c r="HP205" t="s">
        <v>3</v>
      </c>
      <c r="HQ205" t="s">
        <v>3</v>
      </c>
      <c r="HS205">
        <v>0</v>
      </c>
      <c r="IK205">
        <v>0</v>
      </c>
    </row>
    <row r="206" spans="1:255" x14ac:dyDescent="0.2">
      <c r="A206" s="2">
        <v>18</v>
      </c>
      <c r="B206" s="2">
        <v>1</v>
      </c>
      <c r="C206" s="2">
        <v>31</v>
      </c>
      <c r="D206" s="2"/>
      <c r="E206" s="2" t="s">
        <v>315</v>
      </c>
      <c r="F206" s="2" t="s">
        <v>316</v>
      </c>
      <c r="G206" s="2" t="s">
        <v>317</v>
      </c>
      <c r="H206" s="2" t="s">
        <v>318</v>
      </c>
      <c r="I206" s="2">
        <f>I204*J206</f>
        <v>0.93884000000000001</v>
      </c>
      <c r="J206" s="2">
        <v>9.58</v>
      </c>
      <c r="K206" s="2">
        <v>9.58</v>
      </c>
      <c r="L206" s="2"/>
      <c r="M206" s="2"/>
      <c r="N206" s="2"/>
      <c r="O206" s="2">
        <f t="shared" si="168"/>
        <v>278.55</v>
      </c>
      <c r="P206" s="2">
        <f t="shared" si="169"/>
        <v>278.55</v>
      </c>
      <c r="Q206" s="2">
        <f>(ROUND((ROUND(((ET206)*AV206*I206),2)*BB206),2)+ROUND((ROUND(((AE206-(EU206))*AV206*I206),2)*BS206),2))</f>
        <v>0</v>
      </c>
      <c r="R206" s="2">
        <f t="shared" si="171"/>
        <v>0</v>
      </c>
      <c r="S206" s="2">
        <f t="shared" si="172"/>
        <v>0</v>
      </c>
      <c r="T206" s="2">
        <f t="shared" si="173"/>
        <v>0</v>
      </c>
      <c r="U206" s="2">
        <f t="shared" si="174"/>
        <v>0</v>
      </c>
      <c r="V206" s="2">
        <f t="shared" si="175"/>
        <v>0</v>
      </c>
      <c r="W206" s="2">
        <f t="shared" si="176"/>
        <v>0</v>
      </c>
      <c r="X206" s="2">
        <f t="shared" si="177"/>
        <v>0</v>
      </c>
      <c r="Y206" s="2">
        <f t="shared" si="178"/>
        <v>0</v>
      </c>
      <c r="Z206" s="2"/>
      <c r="AA206" s="2">
        <v>56622490</v>
      </c>
      <c r="AB206" s="2">
        <f t="shared" si="179"/>
        <v>296.7</v>
      </c>
      <c r="AC206" s="2">
        <f t="shared" si="180"/>
        <v>296.7</v>
      </c>
      <c r="AD206" s="2">
        <f>ROUND((((ET206)-(EU206))+AE206),6)</f>
        <v>0</v>
      </c>
      <c r="AE206" s="2">
        <f>ROUND((EU206),6)</f>
        <v>0</v>
      </c>
      <c r="AF206" s="2">
        <f>ROUND((EV206),6)</f>
        <v>0</v>
      </c>
      <c r="AG206" s="2">
        <f t="shared" si="183"/>
        <v>0</v>
      </c>
      <c r="AH206" s="2">
        <f>(EW206)</f>
        <v>0</v>
      </c>
      <c r="AI206" s="2">
        <f>(EX206)</f>
        <v>0</v>
      </c>
      <c r="AJ206" s="2">
        <f t="shared" si="185"/>
        <v>0</v>
      </c>
      <c r="AK206" s="2">
        <v>296.7</v>
      </c>
      <c r="AL206" s="2">
        <v>296.7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161</v>
      </c>
      <c r="AU206" s="2">
        <v>107</v>
      </c>
      <c r="AV206" s="2">
        <v>1.0469999999999999</v>
      </c>
      <c r="AW206" s="2">
        <v>1</v>
      </c>
      <c r="AX206" s="2"/>
      <c r="AY206" s="2"/>
      <c r="AZ206" s="2">
        <v>1</v>
      </c>
      <c r="BA206" s="2">
        <v>1</v>
      </c>
      <c r="BB206" s="2">
        <v>1</v>
      </c>
      <c r="BC206" s="2">
        <v>1</v>
      </c>
      <c r="BD206" s="2" t="s">
        <v>3</v>
      </c>
      <c r="BE206" s="2" t="s">
        <v>3</v>
      </c>
      <c r="BF206" s="2" t="s">
        <v>3</v>
      </c>
      <c r="BG206" s="2" t="s">
        <v>3</v>
      </c>
      <c r="BH206" s="2">
        <v>3</v>
      </c>
      <c r="BI206" s="2">
        <v>1</v>
      </c>
      <c r="BJ206" s="2" t="s">
        <v>319</v>
      </c>
      <c r="BK206" s="2"/>
      <c r="BL206" s="2"/>
      <c r="BM206" s="2">
        <v>158</v>
      </c>
      <c r="BN206" s="2">
        <v>0</v>
      </c>
      <c r="BO206" s="2" t="s">
        <v>3</v>
      </c>
      <c r="BP206" s="2">
        <v>0</v>
      </c>
      <c r="BQ206" s="2">
        <v>30</v>
      </c>
      <c r="BR206" s="2">
        <v>0</v>
      </c>
      <c r="BS206" s="2">
        <v>1</v>
      </c>
      <c r="BT206" s="2">
        <v>1</v>
      </c>
      <c r="BU206" s="2">
        <v>1</v>
      </c>
      <c r="BV206" s="2">
        <v>1</v>
      </c>
      <c r="BW206" s="2">
        <v>1</v>
      </c>
      <c r="BX206" s="2">
        <v>1</v>
      </c>
      <c r="BY206" s="2" t="s">
        <v>3</v>
      </c>
      <c r="BZ206" s="2">
        <v>161</v>
      </c>
      <c r="CA206" s="2">
        <v>107</v>
      </c>
      <c r="CB206" s="2" t="s">
        <v>3</v>
      </c>
      <c r="CC206" s="2"/>
      <c r="CD206" s="2"/>
      <c r="CE206" s="2">
        <v>30</v>
      </c>
      <c r="CF206" s="2">
        <v>0</v>
      </c>
      <c r="CG206" s="2">
        <v>0</v>
      </c>
      <c r="CH206" s="2"/>
      <c r="CI206" s="2"/>
      <c r="CJ206" s="2"/>
      <c r="CK206" s="2"/>
      <c r="CL206" s="2"/>
      <c r="CM206" s="2">
        <v>0</v>
      </c>
      <c r="CN206" s="2" t="s">
        <v>3</v>
      </c>
      <c r="CO206" s="2">
        <v>0</v>
      </c>
      <c r="CP206" s="2">
        <f t="shared" si="186"/>
        <v>278.55</v>
      </c>
      <c r="CQ206" s="2">
        <f t="shared" si="187"/>
        <v>296.7</v>
      </c>
      <c r="CR206" s="2">
        <f>(ROUND((ROUND(((ET206)*AV206*1),2)*BB206),2)+ROUND((ROUND(((AE206-(EU206))*AV206*1),2)*BS206),2))</f>
        <v>0</v>
      </c>
      <c r="CS206" s="2">
        <f t="shared" si="189"/>
        <v>0</v>
      </c>
      <c r="CT206" s="2">
        <f t="shared" si="190"/>
        <v>0</v>
      </c>
      <c r="CU206" s="2">
        <f t="shared" si="191"/>
        <v>0</v>
      </c>
      <c r="CV206" s="2">
        <f t="shared" si="192"/>
        <v>0</v>
      </c>
      <c r="CW206" s="2">
        <f t="shared" si="193"/>
        <v>0</v>
      </c>
      <c r="CX206" s="2">
        <f t="shared" si="194"/>
        <v>0</v>
      </c>
      <c r="CY206" s="2">
        <f>((S206*BZ206)/100)</f>
        <v>0</v>
      </c>
      <c r="CZ206" s="2">
        <f>((S206*CA206)/100)</f>
        <v>0</v>
      </c>
      <c r="DA206" s="2"/>
      <c r="DB206" s="2"/>
      <c r="DC206" s="2" t="s">
        <v>3</v>
      </c>
      <c r="DD206" s="2" t="s">
        <v>3</v>
      </c>
      <c r="DE206" s="2" t="s">
        <v>3</v>
      </c>
      <c r="DF206" s="2" t="s">
        <v>3</v>
      </c>
      <c r="DG206" s="2" t="s">
        <v>3</v>
      </c>
      <c r="DH206" s="2" t="s">
        <v>3</v>
      </c>
      <c r="DI206" s="2" t="s">
        <v>3</v>
      </c>
      <c r="DJ206" s="2" t="s">
        <v>3</v>
      </c>
      <c r="DK206" s="2" t="s">
        <v>3</v>
      </c>
      <c r="DL206" s="2" t="s">
        <v>3</v>
      </c>
      <c r="DM206" s="2" t="s">
        <v>3</v>
      </c>
      <c r="DN206" s="2">
        <v>0</v>
      </c>
      <c r="DO206" s="2">
        <v>0</v>
      </c>
      <c r="DP206" s="2">
        <v>1</v>
      </c>
      <c r="DQ206" s="2">
        <v>1</v>
      </c>
      <c r="DR206" s="2"/>
      <c r="DS206" s="2"/>
      <c r="DT206" s="2"/>
      <c r="DU206" s="2">
        <v>1009</v>
      </c>
      <c r="DV206" s="2" t="s">
        <v>318</v>
      </c>
      <c r="DW206" s="2" t="s">
        <v>318</v>
      </c>
      <c r="DX206" s="2">
        <v>1000</v>
      </c>
      <c r="DY206" s="2"/>
      <c r="DZ206" s="2" t="s">
        <v>3</v>
      </c>
      <c r="EA206" s="2" t="s">
        <v>3</v>
      </c>
      <c r="EB206" s="2" t="s">
        <v>3</v>
      </c>
      <c r="EC206" s="2" t="s">
        <v>3</v>
      </c>
      <c r="ED206" s="2"/>
      <c r="EE206" s="2">
        <v>51696197</v>
      </c>
      <c r="EF206" s="2">
        <v>30</v>
      </c>
      <c r="EG206" s="2" t="s">
        <v>23</v>
      </c>
      <c r="EH206" s="2">
        <v>0</v>
      </c>
      <c r="EI206" s="2" t="s">
        <v>3</v>
      </c>
      <c r="EJ206" s="2">
        <v>1</v>
      </c>
      <c r="EK206" s="2">
        <v>158</v>
      </c>
      <c r="EL206" s="2" t="s">
        <v>313</v>
      </c>
      <c r="EM206" s="2" t="s">
        <v>314</v>
      </c>
      <c r="EN206" s="2"/>
      <c r="EO206" s="2" t="s">
        <v>3</v>
      </c>
      <c r="EP206" s="2"/>
      <c r="EQ206" s="2">
        <v>0</v>
      </c>
      <c r="ER206" s="2">
        <v>296.7</v>
      </c>
      <c r="ES206" s="2">
        <v>296.7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>
        <v>0</v>
      </c>
      <c r="FR206" s="2">
        <v>0</v>
      </c>
      <c r="FS206" s="2">
        <v>0</v>
      </c>
      <c r="FT206" s="2"/>
      <c r="FU206" s="2"/>
      <c r="FV206" s="2"/>
      <c r="FW206" s="2"/>
      <c r="FX206" s="2">
        <v>161</v>
      </c>
      <c r="FY206" s="2">
        <v>107</v>
      </c>
      <c r="FZ206" s="2"/>
      <c r="GA206" s="2" t="s">
        <v>3</v>
      </c>
      <c r="GB206" s="2"/>
      <c r="GC206" s="2"/>
      <c r="GD206" s="2">
        <v>0</v>
      </c>
      <c r="GE206" s="2"/>
      <c r="GF206" s="2">
        <v>1855215121</v>
      </c>
      <c r="GG206" s="2">
        <v>2</v>
      </c>
      <c r="GH206" s="2">
        <v>1</v>
      </c>
      <c r="GI206" s="2">
        <v>-2</v>
      </c>
      <c r="GJ206" s="2">
        <v>0</v>
      </c>
      <c r="GK206" s="2">
        <f>ROUND(R206*(R12)/100,2)</f>
        <v>0</v>
      </c>
      <c r="GL206" s="2">
        <f t="shared" si="195"/>
        <v>0</v>
      </c>
      <c r="GM206" s="2">
        <f t="shared" si="196"/>
        <v>278.55</v>
      </c>
      <c r="GN206" s="2">
        <f t="shared" si="197"/>
        <v>278.55</v>
      </c>
      <c r="GO206" s="2">
        <f t="shared" si="198"/>
        <v>0</v>
      </c>
      <c r="GP206" s="2">
        <f t="shared" si="199"/>
        <v>0</v>
      </c>
      <c r="GQ206" s="2"/>
      <c r="GR206" s="2">
        <v>0</v>
      </c>
      <c r="GS206" s="2">
        <v>0</v>
      </c>
      <c r="GT206" s="2">
        <v>0</v>
      </c>
      <c r="GU206" s="2" t="s">
        <v>3</v>
      </c>
      <c r="GV206" s="2">
        <f t="shared" si="200"/>
        <v>0</v>
      </c>
      <c r="GW206" s="2">
        <v>1</v>
      </c>
      <c r="GX206" s="2">
        <f t="shared" si="201"/>
        <v>0</v>
      </c>
      <c r="GY206" s="2"/>
      <c r="GZ206" s="2"/>
      <c r="HA206" s="2">
        <v>0</v>
      </c>
      <c r="HB206" s="2">
        <v>0</v>
      </c>
      <c r="HC206" s="2">
        <f t="shared" si="202"/>
        <v>0</v>
      </c>
      <c r="HD206" s="2"/>
      <c r="HE206" s="2" t="s">
        <v>3</v>
      </c>
      <c r="HF206" s="2" t="s">
        <v>3</v>
      </c>
      <c r="HG206" s="2"/>
      <c r="HH206" s="2"/>
      <c r="HI206" s="2"/>
      <c r="HJ206" s="2"/>
      <c r="HK206" s="2"/>
      <c r="HL206" s="2"/>
      <c r="HM206" s="2" t="s">
        <v>3</v>
      </c>
      <c r="HN206" s="2" t="s">
        <v>3</v>
      </c>
      <c r="HO206" s="2" t="s">
        <v>3</v>
      </c>
      <c r="HP206" s="2" t="s">
        <v>3</v>
      </c>
      <c r="HQ206" s="2" t="s">
        <v>3</v>
      </c>
      <c r="HR206" s="2"/>
      <c r="HS206" s="2">
        <v>0</v>
      </c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>
        <v>0</v>
      </c>
      <c r="IL206" s="2"/>
      <c r="IM206" s="2"/>
      <c r="IN206" s="2"/>
      <c r="IO206" s="2"/>
      <c r="IP206" s="2"/>
      <c r="IQ206" s="2"/>
      <c r="IR206" s="2"/>
      <c r="IS206" s="2"/>
      <c r="IT206" s="2"/>
      <c r="IU206" s="2"/>
    </row>
    <row r="207" spans="1:255" x14ac:dyDescent="0.2">
      <c r="A207">
        <v>18</v>
      </c>
      <c r="B207">
        <v>1</v>
      </c>
      <c r="C207">
        <v>32</v>
      </c>
      <c r="E207" t="s">
        <v>315</v>
      </c>
      <c r="F207" t="s">
        <v>316</v>
      </c>
      <c r="G207" t="s">
        <v>317</v>
      </c>
      <c r="H207" t="s">
        <v>318</v>
      </c>
      <c r="I207">
        <f>I205*J207</f>
        <v>0.93884000000000001</v>
      </c>
      <c r="J207">
        <v>9.58</v>
      </c>
      <c r="K207">
        <v>9.58</v>
      </c>
      <c r="O207">
        <f t="shared" si="168"/>
        <v>4286.88</v>
      </c>
      <c r="P207">
        <f t="shared" si="169"/>
        <v>4286.88</v>
      </c>
      <c r="Q207">
        <f>(ROUND((ROUND(((ET207)*AV207*I207),2)*BB207),2)+ROUND((ROUND(((AE207-(EU207))*AV207*I207),2)*BS207),2))</f>
        <v>0</v>
      </c>
      <c r="R207">
        <f t="shared" si="171"/>
        <v>0</v>
      </c>
      <c r="S207">
        <f t="shared" si="172"/>
        <v>0</v>
      </c>
      <c r="T207">
        <f t="shared" si="173"/>
        <v>0</v>
      </c>
      <c r="U207">
        <f t="shared" si="174"/>
        <v>0</v>
      </c>
      <c r="V207">
        <f t="shared" si="175"/>
        <v>0</v>
      </c>
      <c r="W207">
        <f t="shared" si="176"/>
        <v>0</v>
      </c>
      <c r="X207">
        <f t="shared" si="177"/>
        <v>0</v>
      </c>
      <c r="Y207">
        <f t="shared" si="178"/>
        <v>0</v>
      </c>
      <c r="AA207">
        <v>56610029</v>
      </c>
      <c r="AB207">
        <f t="shared" si="179"/>
        <v>296.7</v>
      </c>
      <c r="AC207">
        <f t="shared" si="180"/>
        <v>296.7</v>
      </c>
      <c r="AD207">
        <f>ROUND((((ET207)-(EU207))+AE207),6)</f>
        <v>0</v>
      </c>
      <c r="AE207">
        <f>ROUND((EU207),6)</f>
        <v>0</v>
      </c>
      <c r="AF207">
        <f>ROUND((EV207),6)</f>
        <v>0</v>
      </c>
      <c r="AG207">
        <f t="shared" si="183"/>
        <v>0</v>
      </c>
      <c r="AH207">
        <f>(EW207)</f>
        <v>0</v>
      </c>
      <c r="AI207">
        <f>(EX207)</f>
        <v>0</v>
      </c>
      <c r="AJ207">
        <f t="shared" si="185"/>
        <v>0</v>
      </c>
      <c r="AK207">
        <v>296.7</v>
      </c>
      <c r="AL207">
        <v>296.7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1</v>
      </c>
      <c r="AZ207">
        <v>1</v>
      </c>
      <c r="BA207">
        <v>1</v>
      </c>
      <c r="BB207">
        <v>1</v>
      </c>
      <c r="BC207">
        <v>15.39</v>
      </c>
      <c r="BD207" t="s">
        <v>3</v>
      </c>
      <c r="BE207" t="s">
        <v>3</v>
      </c>
      <c r="BF207" t="s">
        <v>3</v>
      </c>
      <c r="BG207" t="s">
        <v>3</v>
      </c>
      <c r="BH207">
        <v>3</v>
      </c>
      <c r="BI207">
        <v>1</v>
      </c>
      <c r="BJ207" t="s">
        <v>319</v>
      </c>
      <c r="BM207">
        <v>158</v>
      </c>
      <c r="BN207">
        <v>0</v>
      </c>
      <c r="BO207" t="s">
        <v>316</v>
      </c>
      <c r="BP207">
        <v>1</v>
      </c>
      <c r="BQ207">
        <v>30</v>
      </c>
      <c r="BR207">
        <v>0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 t="s">
        <v>3</v>
      </c>
      <c r="BZ207">
        <v>0</v>
      </c>
      <c r="CA207">
        <v>0</v>
      </c>
      <c r="CB207" t="s">
        <v>3</v>
      </c>
      <c r="CE207">
        <v>30</v>
      </c>
      <c r="CF207">
        <v>0</v>
      </c>
      <c r="CG207">
        <v>0</v>
      </c>
      <c r="CM207">
        <v>0</v>
      </c>
      <c r="CN207" t="s">
        <v>3</v>
      </c>
      <c r="CO207">
        <v>0</v>
      </c>
      <c r="CP207">
        <f t="shared" si="186"/>
        <v>4286.88</v>
      </c>
      <c r="CQ207">
        <f t="shared" si="187"/>
        <v>4566.21</v>
      </c>
      <c r="CR207">
        <f>(ROUND((ROUND(((ET207)*AV207*1),2)*BB207),2)+ROUND((ROUND(((AE207-(EU207))*AV207*1),2)*BS207),2))</f>
        <v>0</v>
      </c>
      <c r="CS207">
        <f t="shared" si="189"/>
        <v>0</v>
      </c>
      <c r="CT207">
        <f t="shared" si="190"/>
        <v>0</v>
      </c>
      <c r="CU207">
        <f t="shared" si="191"/>
        <v>0</v>
      </c>
      <c r="CV207">
        <f t="shared" si="192"/>
        <v>0</v>
      </c>
      <c r="CW207">
        <f t="shared" si="193"/>
        <v>0</v>
      </c>
      <c r="CX207">
        <f t="shared" si="194"/>
        <v>0</v>
      </c>
      <c r="CY207">
        <f>S207*(BZ207/100)</f>
        <v>0</v>
      </c>
      <c r="CZ207">
        <f>S207*(CA207/100)</f>
        <v>0</v>
      </c>
      <c r="DC207" t="s">
        <v>3</v>
      </c>
      <c r="DD207" t="s">
        <v>3</v>
      </c>
      <c r="DE207" t="s">
        <v>3</v>
      </c>
      <c r="DF207" t="s">
        <v>3</v>
      </c>
      <c r="DG207" t="s">
        <v>3</v>
      </c>
      <c r="DH207" t="s">
        <v>3</v>
      </c>
      <c r="DI207" t="s">
        <v>3</v>
      </c>
      <c r="DJ207" t="s">
        <v>3</v>
      </c>
      <c r="DK207" t="s">
        <v>3</v>
      </c>
      <c r="DL207" t="s">
        <v>3</v>
      </c>
      <c r="DM207" t="s">
        <v>3</v>
      </c>
      <c r="DN207">
        <v>161</v>
      </c>
      <c r="DO207">
        <v>107</v>
      </c>
      <c r="DP207">
        <v>1.0469999999999999</v>
      </c>
      <c r="DQ207">
        <v>1</v>
      </c>
      <c r="DU207">
        <v>1009</v>
      </c>
      <c r="DV207" t="s">
        <v>318</v>
      </c>
      <c r="DW207" t="s">
        <v>318</v>
      </c>
      <c r="DX207">
        <v>1000</v>
      </c>
      <c r="DZ207" t="s">
        <v>3</v>
      </c>
      <c r="EA207" t="s">
        <v>3</v>
      </c>
      <c r="EB207" t="s">
        <v>3</v>
      </c>
      <c r="EC207" t="s">
        <v>3</v>
      </c>
      <c r="EE207">
        <v>51696197</v>
      </c>
      <c r="EF207">
        <v>30</v>
      </c>
      <c r="EG207" t="s">
        <v>23</v>
      </c>
      <c r="EH207">
        <v>0</v>
      </c>
      <c r="EI207" t="s">
        <v>3</v>
      </c>
      <c r="EJ207">
        <v>1</v>
      </c>
      <c r="EK207">
        <v>158</v>
      </c>
      <c r="EL207" t="s">
        <v>313</v>
      </c>
      <c r="EM207" t="s">
        <v>314</v>
      </c>
      <c r="EO207" t="s">
        <v>3</v>
      </c>
      <c r="EQ207">
        <v>0</v>
      </c>
      <c r="ER207">
        <v>296.7</v>
      </c>
      <c r="ES207">
        <v>296.7</v>
      </c>
      <c r="ET207">
        <v>0</v>
      </c>
      <c r="EU207">
        <v>0</v>
      </c>
      <c r="EV207">
        <v>0</v>
      </c>
      <c r="EW207">
        <v>0</v>
      </c>
      <c r="EX207">
        <v>0</v>
      </c>
      <c r="FQ207">
        <v>0</v>
      </c>
      <c r="FR207">
        <v>0</v>
      </c>
      <c r="FS207">
        <v>0</v>
      </c>
      <c r="FX207">
        <v>161</v>
      </c>
      <c r="FY207">
        <v>107</v>
      </c>
      <c r="GA207" t="s">
        <v>3</v>
      </c>
      <c r="GD207">
        <v>0</v>
      </c>
      <c r="GF207">
        <v>1855215121</v>
      </c>
      <c r="GG207">
        <v>2</v>
      </c>
      <c r="GH207">
        <v>1</v>
      </c>
      <c r="GI207">
        <v>2</v>
      </c>
      <c r="GJ207">
        <v>0</v>
      </c>
      <c r="GK207">
        <f>ROUND(R207*(S12)/100,2)</f>
        <v>0</v>
      </c>
      <c r="GL207">
        <f t="shared" si="195"/>
        <v>0</v>
      </c>
      <c r="GM207">
        <f t="shared" si="196"/>
        <v>4286.88</v>
      </c>
      <c r="GN207">
        <f t="shared" si="197"/>
        <v>4286.88</v>
      </c>
      <c r="GO207">
        <f t="shared" si="198"/>
        <v>0</v>
      </c>
      <c r="GP207">
        <f t="shared" si="199"/>
        <v>0</v>
      </c>
      <c r="GR207">
        <v>0</v>
      </c>
      <c r="GS207">
        <v>3</v>
      </c>
      <c r="GT207">
        <v>0</v>
      </c>
      <c r="GU207" t="s">
        <v>3</v>
      </c>
      <c r="GV207">
        <f t="shared" si="200"/>
        <v>0</v>
      </c>
      <c r="GW207">
        <v>1</v>
      </c>
      <c r="GX207">
        <f t="shared" si="201"/>
        <v>0</v>
      </c>
      <c r="HA207">
        <v>0</v>
      </c>
      <c r="HB207">
        <v>0</v>
      </c>
      <c r="HC207">
        <f t="shared" si="202"/>
        <v>0</v>
      </c>
      <c r="HE207" t="s">
        <v>3</v>
      </c>
      <c r="HF207" t="s">
        <v>3</v>
      </c>
      <c r="HM207" t="s">
        <v>3</v>
      </c>
      <c r="HN207" t="s">
        <v>3</v>
      </c>
      <c r="HO207" t="s">
        <v>3</v>
      </c>
      <c r="HP207" t="s">
        <v>3</v>
      </c>
      <c r="HQ207" t="s">
        <v>3</v>
      </c>
      <c r="HS207">
        <v>0</v>
      </c>
      <c r="IK207">
        <v>0</v>
      </c>
    </row>
    <row r="208" spans="1:255" x14ac:dyDescent="0.2">
      <c r="A208" s="2">
        <v>17</v>
      </c>
      <c r="B208" s="2">
        <v>1</v>
      </c>
      <c r="C208" s="2">
        <f>ROW(SmtRes!A33)</f>
        <v>33</v>
      </c>
      <c r="D208" s="2">
        <f>ROW(EtalonRes!A429)</f>
        <v>429</v>
      </c>
      <c r="E208" s="2" t="s">
        <v>320</v>
      </c>
      <c r="F208" s="2" t="s">
        <v>310</v>
      </c>
      <c r="G208" s="2" t="s">
        <v>311</v>
      </c>
      <c r="H208" s="2" t="s">
        <v>95</v>
      </c>
      <c r="I208" s="2">
        <f>ROUND(9.8/100,9)</f>
        <v>9.8000000000000004E-2</v>
      </c>
      <c r="J208" s="2">
        <v>0</v>
      </c>
      <c r="K208" s="2">
        <f>ROUND(9.8/100,9)</f>
        <v>9.8000000000000004E-2</v>
      </c>
      <c r="L208" s="2"/>
      <c r="M208" s="2"/>
      <c r="N208" s="2"/>
      <c r="O208" s="2">
        <f t="shared" si="168"/>
        <v>68.64</v>
      </c>
      <c r="P208" s="2">
        <f t="shared" si="169"/>
        <v>5.67</v>
      </c>
      <c r="Q208" s="2">
        <f>(ROUND((ROUND((((ET208*1.05))*AV208*I208),2)*BB208),2)+ROUND((ROUND(((AE208-((EU208*1.05)))*AV208*I208),2)*BS208),2))</f>
        <v>57.35</v>
      </c>
      <c r="R208" s="2">
        <f t="shared" si="171"/>
        <v>5.0199999999999996</v>
      </c>
      <c r="S208" s="2">
        <f t="shared" si="172"/>
        <v>5.62</v>
      </c>
      <c r="T208" s="2">
        <f t="shared" si="173"/>
        <v>0</v>
      </c>
      <c r="U208" s="2">
        <f t="shared" si="174"/>
        <v>0.46218872700000002</v>
      </c>
      <c r="V208" s="2">
        <f t="shared" si="175"/>
        <v>0</v>
      </c>
      <c r="W208" s="2">
        <f t="shared" si="176"/>
        <v>0</v>
      </c>
      <c r="X208" s="2">
        <f t="shared" si="177"/>
        <v>9.0500000000000007</v>
      </c>
      <c r="Y208" s="2">
        <f t="shared" si="178"/>
        <v>6.01</v>
      </c>
      <c r="Z208" s="2"/>
      <c r="AA208" s="2">
        <v>56622490</v>
      </c>
      <c r="AB208" s="2">
        <f t="shared" si="179"/>
        <v>671.57600000000002</v>
      </c>
      <c r="AC208" s="2">
        <f t="shared" si="180"/>
        <v>57.83</v>
      </c>
      <c r="AD208" s="2">
        <f>ROUND(((((ET208*1.05))-((EU208*1.05)))+AE208),6)</f>
        <v>558.96749999999997</v>
      </c>
      <c r="AE208" s="2">
        <f>ROUND(((EU208*1.05)),6)</f>
        <v>48.908999999999999</v>
      </c>
      <c r="AF208" s="2">
        <f>ROUND(((EV208*1.05)),6)</f>
        <v>54.778500000000001</v>
      </c>
      <c r="AG208" s="2">
        <f t="shared" si="183"/>
        <v>0</v>
      </c>
      <c r="AH208" s="2">
        <f>((EW208*1.05))</f>
        <v>4.5045000000000002</v>
      </c>
      <c r="AI208" s="2">
        <f>((EX208*1.05))</f>
        <v>0</v>
      </c>
      <c r="AJ208" s="2">
        <f t="shared" si="185"/>
        <v>0</v>
      </c>
      <c r="AK208" s="2">
        <v>642.35</v>
      </c>
      <c r="AL208" s="2">
        <v>57.83</v>
      </c>
      <c r="AM208" s="2">
        <v>532.35</v>
      </c>
      <c r="AN208" s="2">
        <v>46.58</v>
      </c>
      <c r="AO208" s="2">
        <v>52.17</v>
      </c>
      <c r="AP208" s="2">
        <v>0</v>
      </c>
      <c r="AQ208" s="2">
        <v>4.29</v>
      </c>
      <c r="AR208" s="2">
        <v>0</v>
      </c>
      <c r="AS208" s="2">
        <v>0</v>
      </c>
      <c r="AT208" s="2">
        <v>161</v>
      </c>
      <c r="AU208" s="2">
        <v>107</v>
      </c>
      <c r="AV208" s="2">
        <v>1.0469999999999999</v>
      </c>
      <c r="AW208" s="2">
        <v>1</v>
      </c>
      <c r="AX208" s="2"/>
      <c r="AY208" s="2"/>
      <c r="AZ208" s="2">
        <v>1</v>
      </c>
      <c r="BA208" s="2">
        <v>1</v>
      </c>
      <c r="BB208" s="2">
        <v>1</v>
      </c>
      <c r="BC208" s="2">
        <v>1</v>
      </c>
      <c r="BD208" s="2" t="s">
        <v>3</v>
      </c>
      <c r="BE208" s="2" t="s">
        <v>3</v>
      </c>
      <c r="BF208" s="2" t="s">
        <v>3</v>
      </c>
      <c r="BG208" s="2" t="s">
        <v>3</v>
      </c>
      <c r="BH208" s="2">
        <v>0</v>
      </c>
      <c r="BI208" s="2">
        <v>1</v>
      </c>
      <c r="BJ208" s="2" t="s">
        <v>312</v>
      </c>
      <c r="BK208" s="2"/>
      <c r="BL208" s="2"/>
      <c r="BM208" s="2">
        <v>158</v>
      </c>
      <c r="BN208" s="2">
        <v>0</v>
      </c>
      <c r="BO208" s="2" t="s">
        <v>3</v>
      </c>
      <c r="BP208" s="2">
        <v>0</v>
      </c>
      <c r="BQ208" s="2">
        <v>30</v>
      </c>
      <c r="BR208" s="2">
        <v>0</v>
      </c>
      <c r="BS208" s="2">
        <v>1</v>
      </c>
      <c r="BT208" s="2">
        <v>1</v>
      </c>
      <c r="BU208" s="2">
        <v>1</v>
      </c>
      <c r="BV208" s="2">
        <v>1</v>
      </c>
      <c r="BW208" s="2">
        <v>1</v>
      </c>
      <c r="BX208" s="2">
        <v>1</v>
      </c>
      <c r="BY208" s="2" t="s">
        <v>3</v>
      </c>
      <c r="BZ208" s="2">
        <v>161</v>
      </c>
      <c r="CA208" s="2">
        <v>107</v>
      </c>
      <c r="CB208" s="2" t="s">
        <v>3</v>
      </c>
      <c r="CC208" s="2"/>
      <c r="CD208" s="2"/>
      <c r="CE208" s="2">
        <v>30</v>
      </c>
      <c r="CF208" s="2">
        <v>0</v>
      </c>
      <c r="CG208" s="2">
        <v>0</v>
      </c>
      <c r="CH208" s="2"/>
      <c r="CI208" s="2"/>
      <c r="CJ208" s="2"/>
      <c r="CK208" s="2"/>
      <c r="CL208" s="2"/>
      <c r="CM208" s="2">
        <v>0</v>
      </c>
      <c r="CN208" s="2" t="s">
        <v>708</v>
      </c>
      <c r="CO208" s="2">
        <v>0</v>
      </c>
      <c r="CP208" s="2">
        <f t="shared" si="186"/>
        <v>68.64</v>
      </c>
      <c r="CQ208" s="2">
        <f t="shared" si="187"/>
        <v>57.83</v>
      </c>
      <c r="CR208" s="2">
        <f>(ROUND((ROUND((((ET208*1.05))*AV208*1),2)*BB208),2)+ROUND((ROUND(((AE208-((EU208*1.05)))*AV208*1),2)*BS208),2))</f>
        <v>585.24</v>
      </c>
      <c r="CS208" s="2">
        <f t="shared" si="189"/>
        <v>51.21</v>
      </c>
      <c r="CT208" s="2">
        <f t="shared" si="190"/>
        <v>57.35</v>
      </c>
      <c r="CU208" s="2">
        <f t="shared" si="191"/>
        <v>0</v>
      </c>
      <c r="CV208" s="2">
        <f t="shared" si="192"/>
        <v>4.7162115</v>
      </c>
      <c r="CW208" s="2">
        <f t="shared" si="193"/>
        <v>0</v>
      </c>
      <c r="CX208" s="2">
        <f t="shared" si="194"/>
        <v>0</v>
      </c>
      <c r="CY208" s="2">
        <f>((S208*BZ208)/100)</f>
        <v>9.0482000000000014</v>
      </c>
      <c r="CZ208" s="2">
        <f>((S208*CA208)/100)</f>
        <v>6.0134000000000007</v>
      </c>
      <c r="DA208" s="2"/>
      <c r="DB208" s="2">
        <v>97</v>
      </c>
      <c r="DC208" s="2" t="s">
        <v>3</v>
      </c>
      <c r="DD208" s="2" t="s">
        <v>3</v>
      </c>
      <c r="DE208" s="2" t="s">
        <v>22</v>
      </c>
      <c r="DF208" s="2" t="s">
        <v>22</v>
      </c>
      <c r="DG208" s="2" t="s">
        <v>22</v>
      </c>
      <c r="DH208" s="2" t="s">
        <v>3</v>
      </c>
      <c r="DI208" s="2" t="s">
        <v>22</v>
      </c>
      <c r="DJ208" s="2" t="s">
        <v>22</v>
      </c>
      <c r="DK208" s="2" t="s">
        <v>3</v>
      </c>
      <c r="DL208" s="2" t="s">
        <v>3</v>
      </c>
      <c r="DM208" s="2" t="s">
        <v>3</v>
      </c>
      <c r="DN208" s="2">
        <v>0</v>
      </c>
      <c r="DO208" s="2">
        <v>0</v>
      </c>
      <c r="DP208" s="2">
        <v>1</v>
      </c>
      <c r="DQ208" s="2">
        <v>1</v>
      </c>
      <c r="DR208" s="2"/>
      <c r="DS208" s="2"/>
      <c r="DT208" s="2"/>
      <c r="DU208" s="2">
        <v>1013</v>
      </c>
      <c r="DV208" s="2" t="s">
        <v>95</v>
      </c>
      <c r="DW208" s="2" t="s">
        <v>95</v>
      </c>
      <c r="DX208" s="2">
        <v>1</v>
      </c>
      <c r="DY208" s="2"/>
      <c r="DZ208" s="2" t="s">
        <v>3</v>
      </c>
      <c r="EA208" s="2" t="s">
        <v>3</v>
      </c>
      <c r="EB208" s="2" t="s">
        <v>3</v>
      </c>
      <c r="EC208" s="2" t="s">
        <v>3</v>
      </c>
      <c r="ED208" s="2"/>
      <c r="EE208" s="2">
        <v>51696197</v>
      </c>
      <c r="EF208" s="2">
        <v>30</v>
      </c>
      <c r="EG208" s="2" t="s">
        <v>23</v>
      </c>
      <c r="EH208" s="2">
        <v>0</v>
      </c>
      <c r="EI208" s="2" t="s">
        <v>3</v>
      </c>
      <c r="EJ208" s="2">
        <v>1</v>
      </c>
      <c r="EK208" s="2">
        <v>158</v>
      </c>
      <c r="EL208" s="2" t="s">
        <v>313</v>
      </c>
      <c r="EM208" s="2" t="s">
        <v>314</v>
      </c>
      <c r="EN208" s="2"/>
      <c r="EO208" s="2" t="s">
        <v>26</v>
      </c>
      <c r="EP208" s="2"/>
      <c r="EQ208" s="2">
        <v>131072</v>
      </c>
      <c r="ER208" s="2">
        <v>642.35</v>
      </c>
      <c r="ES208" s="2">
        <v>57.83</v>
      </c>
      <c r="ET208" s="2">
        <v>532.35</v>
      </c>
      <c r="EU208" s="2">
        <v>46.58</v>
      </c>
      <c r="EV208" s="2">
        <v>52.17</v>
      </c>
      <c r="EW208" s="2">
        <v>4.29</v>
      </c>
      <c r="EX208" s="2">
        <v>0</v>
      </c>
      <c r="EY208" s="2">
        <v>0</v>
      </c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>
        <v>0</v>
      </c>
      <c r="FR208" s="2">
        <v>0</v>
      </c>
      <c r="FS208" s="2">
        <v>0</v>
      </c>
      <c r="FT208" s="2"/>
      <c r="FU208" s="2"/>
      <c r="FV208" s="2"/>
      <c r="FW208" s="2"/>
      <c r="FX208" s="2">
        <v>161</v>
      </c>
      <c r="FY208" s="2">
        <v>107</v>
      </c>
      <c r="FZ208" s="2"/>
      <c r="GA208" s="2" t="s">
        <v>3</v>
      </c>
      <c r="GB208" s="2"/>
      <c r="GC208" s="2"/>
      <c r="GD208" s="2">
        <v>0</v>
      </c>
      <c r="GE208" s="2"/>
      <c r="GF208" s="2">
        <v>-399398241</v>
      </c>
      <c r="GG208" s="2">
        <v>2</v>
      </c>
      <c r="GH208" s="2">
        <v>1</v>
      </c>
      <c r="GI208" s="2">
        <v>-2</v>
      </c>
      <c r="GJ208" s="2">
        <v>0</v>
      </c>
      <c r="GK208" s="2">
        <f>ROUND(R208*(R12)/100,2)</f>
        <v>8.7899999999999991</v>
      </c>
      <c r="GL208" s="2">
        <f t="shared" si="195"/>
        <v>0</v>
      </c>
      <c r="GM208" s="2">
        <f t="shared" si="196"/>
        <v>92.49</v>
      </c>
      <c r="GN208" s="2">
        <f t="shared" si="197"/>
        <v>92.49</v>
      </c>
      <c r="GO208" s="2">
        <f t="shared" si="198"/>
        <v>0</v>
      </c>
      <c r="GP208" s="2">
        <f t="shared" si="199"/>
        <v>0</v>
      </c>
      <c r="GQ208" s="2"/>
      <c r="GR208" s="2">
        <v>0</v>
      </c>
      <c r="GS208" s="2">
        <v>0</v>
      </c>
      <c r="GT208" s="2">
        <v>0</v>
      </c>
      <c r="GU208" s="2" t="s">
        <v>3</v>
      </c>
      <c r="GV208" s="2">
        <f t="shared" si="200"/>
        <v>0</v>
      </c>
      <c r="GW208" s="2">
        <v>1</v>
      </c>
      <c r="GX208" s="2">
        <f t="shared" si="201"/>
        <v>0</v>
      </c>
      <c r="GY208" s="2"/>
      <c r="GZ208" s="2"/>
      <c r="HA208" s="2">
        <v>0</v>
      </c>
      <c r="HB208" s="2">
        <v>0</v>
      </c>
      <c r="HC208" s="2">
        <f t="shared" si="202"/>
        <v>0</v>
      </c>
      <c r="HD208" s="2"/>
      <c r="HE208" s="2" t="s">
        <v>3</v>
      </c>
      <c r="HF208" s="2" t="s">
        <v>3</v>
      </c>
      <c r="HG208" s="2"/>
      <c r="HH208" s="2"/>
      <c r="HI208" s="2"/>
      <c r="HJ208" s="2"/>
      <c r="HK208" s="2"/>
      <c r="HL208" s="2"/>
      <c r="HM208" s="2" t="s">
        <v>3</v>
      </c>
      <c r="HN208" s="2" t="s">
        <v>3</v>
      </c>
      <c r="HO208" s="2" t="s">
        <v>3</v>
      </c>
      <c r="HP208" s="2" t="s">
        <v>3</v>
      </c>
      <c r="HQ208" s="2" t="s">
        <v>3</v>
      </c>
      <c r="HR208" s="2"/>
      <c r="HS208" s="2">
        <v>0</v>
      </c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>
        <v>0</v>
      </c>
      <c r="IL208" s="2"/>
      <c r="IM208" s="2"/>
      <c r="IN208" s="2"/>
      <c r="IO208" s="2"/>
      <c r="IP208" s="2"/>
      <c r="IQ208" s="2"/>
      <c r="IR208" s="2"/>
      <c r="IS208" s="2"/>
      <c r="IT208" s="2"/>
      <c r="IU208" s="2"/>
    </row>
    <row r="209" spans="1:255" x14ac:dyDescent="0.2">
      <c r="A209">
        <v>17</v>
      </c>
      <c r="B209">
        <v>1</v>
      </c>
      <c r="C209">
        <f>ROW(SmtRes!A34)</f>
        <v>34</v>
      </c>
      <c r="D209">
        <f>ROW(EtalonRes!A440)</f>
        <v>440</v>
      </c>
      <c r="E209" t="s">
        <v>320</v>
      </c>
      <c r="F209" t="s">
        <v>310</v>
      </c>
      <c r="G209" t="s">
        <v>311</v>
      </c>
      <c r="H209" t="s">
        <v>95</v>
      </c>
      <c r="I209">
        <f>ROUND(9.8/100,9)</f>
        <v>9.8000000000000004E-2</v>
      </c>
      <c r="J209">
        <v>0</v>
      </c>
      <c r="K209">
        <f>ROUND(9.8/100,9)</f>
        <v>9.8000000000000004E-2</v>
      </c>
      <c r="O209">
        <f t="shared" si="168"/>
        <v>972.09</v>
      </c>
      <c r="P209">
        <f t="shared" si="169"/>
        <v>93.38</v>
      </c>
      <c r="Q209">
        <f>(ROUND((ROUND((((ET209*1.05))*AV209*I209),2)*BB209),2)+ROUND((ROUND(((AE209-((EU209*1.05)))*AV209*I209),2)*BS209),2))</f>
        <v>684.76</v>
      </c>
      <c r="R209">
        <f t="shared" si="171"/>
        <v>173.24</v>
      </c>
      <c r="S209">
        <f t="shared" si="172"/>
        <v>193.95</v>
      </c>
      <c r="T209">
        <f t="shared" si="173"/>
        <v>0</v>
      </c>
      <c r="U209">
        <f t="shared" si="174"/>
        <v>0.46218872700000002</v>
      </c>
      <c r="V209">
        <f t="shared" si="175"/>
        <v>0</v>
      </c>
      <c r="W209">
        <f t="shared" si="176"/>
        <v>0</v>
      </c>
      <c r="X209">
        <f t="shared" si="177"/>
        <v>259.89</v>
      </c>
      <c r="Y209">
        <f t="shared" si="178"/>
        <v>106.67</v>
      </c>
      <c r="AA209">
        <v>56610029</v>
      </c>
      <c r="AB209">
        <f t="shared" si="179"/>
        <v>671.57600000000002</v>
      </c>
      <c r="AC209">
        <f t="shared" si="180"/>
        <v>57.83</v>
      </c>
      <c r="AD209">
        <f>ROUND(((((ET209*1.05))-((EU209*1.05)))+AE209),6)</f>
        <v>558.96749999999997</v>
      </c>
      <c r="AE209">
        <f>ROUND(((EU209*1.05)),6)</f>
        <v>48.908999999999999</v>
      </c>
      <c r="AF209">
        <f>ROUND(((EV209*1.05)),6)</f>
        <v>54.778500000000001</v>
      </c>
      <c r="AG209">
        <f t="shared" si="183"/>
        <v>0</v>
      </c>
      <c r="AH209">
        <f>((EW209*1.05))</f>
        <v>4.5045000000000002</v>
      </c>
      <c r="AI209">
        <f>((EX209*1.05))</f>
        <v>0</v>
      </c>
      <c r="AJ209">
        <f t="shared" si="185"/>
        <v>0</v>
      </c>
      <c r="AK209">
        <v>642.35</v>
      </c>
      <c r="AL209">
        <v>57.83</v>
      </c>
      <c r="AM209">
        <v>532.35</v>
      </c>
      <c r="AN209">
        <v>46.58</v>
      </c>
      <c r="AO209">
        <v>52.17</v>
      </c>
      <c r="AP209">
        <v>0</v>
      </c>
      <c r="AQ209">
        <v>4.29</v>
      </c>
      <c r="AR209">
        <v>0</v>
      </c>
      <c r="AS209">
        <v>0</v>
      </c>
      <c r="AT209">
        <v>134</v>
      </c>
      <c r="AU209">
        <v>55</v>
      </c>
      <c r="AV209">
        <v>1.0469999999999999</v>
      </c>
      <c r="AW209">
        <v>1</v>
      </c>
      <c r="AZ209">
        <v>1</v>
      </c>
      <c r="BA209">
        <v>34.51</v>
      </c>
      <c r="BB209">
        <v>11.94</v>
      </c>
      <c r="BC209">
        <v>16.47</v>
      </c>
      <c r="BD209" t="s">
        <v>3</v>
      </c>
      <c r="BE209" t="s">
        <v>3</v>
      </c>
      <c r="BF209" t="s">
        <v>3</v>
      </c>
      <c r="BG209" t="s">
        <v>3</v>
      </c>
      <c r="BH209">
        <v>0</v>
      </c>
      <c r="BI209">
        <v>1</v>
      </c>
      <c r="BJ209" t="s">
        <v>312</v>
      </c>
      <c r="BM209">
        <v>158</v>
      </c>
      <c r="BN209">
        <v>0</v>
      </c>
      <c r="BO209" t="s">
        <v>310</v>
      </c>
      <c r="BP209">
        <v>1</v>
      </c>
      <c r="BQ209">
        <v>30</v>
      </c>
      <c r="BR209">
        <v>0</v>
      </c>
      <c r="BS209">
        <v>34.51</v>
      </c>
      <c r="BT209">
        <v>1</v>
      </c>
      <c r="BU209">
        <v>1</v>
      </c>
      <c r="BV209">
        <v>1</v>
      </c>
      <c r="BW209">
        <v>1</v>
      </c>
      <c r="BX209">
        <v>1</v>
      </c>
      <c r="BY209" t="s">
        <v>3</v>
      </c>
      <c r="BZ209">
        <v>134</v>
      </c>
      <c r="CA209">
        <v>55</v>
      </c>
      <c r="CB209" t="s">
        <v>3</v>
      </c>
      <c r="CE209">
        <v>30</v>
      </c>
      <c r="CF209">
        <v>0</v>
      </c>
      <c r="CG209">
        <v>0</v>
      </c>
      <c r="CM209">
        <v>0</v>
      </c>
      <c r="CN209" t="s">
        <v>708</v>
      </c>
      <c r="CO209">
        <v>0</v>
      </c>
      <c r="CP209">
        <f t="shared" si="186"/>
        <v>972.08999999999992</v>
      </c>
      <c r="CQ209">
        <f t="shared" si="187"/>
        <v>952.46</v>
      </c>
      <c r="CR209">
        <f>(ROUND((ROUND((((ET209*1.05))*AV209*1),2)*BB209),2)+ROUND((ROUND(((AE209-((EU209*1.05)))*AV209*1),2)*BS209),2))</f>
        <v>6987.77</v>
      </c>
      <c r="CS209">
        <f t="shared" si="189"/>
        <v>1767.26</v>
      </c>
      <c r="CT209">
        <f t="shared" si="190"/>
        <v>1979.15</v>
      </c>
      <c r="CU209">
        <f t="shared" si="191"/>
        <v>0</v>
      </c>
      <c r="CV209">
        <f t="shared" si="192"/>
        <v>4.7162115</v>
      </c>
      <c r="CW209">
        <f t="shared" si="193"/>
        <v>0</v>
      </c>
      <c r="CX209">
        <f t="shared" si="194"/>
        <v>0</v>
      </c>
      <c r="CY209">
        <f>S209*(BZ209/100)</f>
        <v>259.89299999999997</v>
      </c>
      <c r="CZ209">
        <f>S209*(CA209/100)</f>
        <v>106.6725</v>
      </c>
      <c r="DB209">
        <v>98</v>
      </c>
      <c r="DC209" t="s">
        <v>3</v>
      </c>
      <c r="DD209" t="s">
        <v>3</v>
      </c>
      <c r="DE209" t="s">
        <v>22</v>
      </c>
      <c r="DF209" t="s">
        <v>22</v>
      </c>
      <c r="DG209" t="s">
        <v>22</v>
      </c>
      <c r="DH209" t="s">
        <v>3</v>
      </c>
      <c r="DI209" t="s">
        <v>22</v>
      </c>
      <c r="DJ209" t="s">
        <v>22</v>
      </c>
      <c r="DK209" t="s">
        <v>3</v>
      </c>
      <c r="DL209" t="s">
        <v>3</v>
      </c>
      <c r="DM209" t="s">
        <v>3</v>
      </c>
      <c r="DN209">
        <v>161</v>
      </c>
      <c r="DO209">
        <v>107</v>
      </c>
      <c r="DP209">
        <v>1.0469999999999999</v>
      </c>
      <c r="DQ209">
        <v>1</v>
      </c>
      <c r="DU209">
        <v>1013</v>
      </c>
      <c r="DV209" t="s">
        <v>95</v>
      </c>
      <c r="DW209" t="s">
        <v>95</v>
      </c>
      <c r="DX209">
        <v>1</v>
      </c>
      <c r="DZ209" t="s">
        <v>3</v>
      </c>
      <c r="EA209" t="s">
        <v>3</v>
      </c>
      <c r="EB209" t="s">
        <v>3</v>
      </c>
      <c r="EC209" t="s">
        <v>3</v>
      </c>
      <c r="EE209">
        <v>51696197</v>
      </c>
      <c r="EF209">
        <v>30</v>
      </c>
      <c r="EG209" t="s">
        <v>23</v>
      </c>
      <c r="EH209">
        <v>0</v>
      </c>
      <c r="EI209" t="s">
        <v>3</v>
      </c>
      <c r="EJ209">
        <v>1</v>
      </c>
      <c r="EK209">
        <v>158</v>
      </c>
      <c r="EL209" t="s">
        <v>313</v>
      </c>
      <c r="EM209" t="s">
        <v>314</v>
      </c>
      <c r="EO209" t="s">
        <v>26</v>
      </c>
      <c r="EQ209">
        <v>131072</v>
      </c>
      <c r="ER209">
        <v>642.35</v>
      </c>
      <c r="ES209">
        <v>57.83</v>
      </c>
      <c r="ET209">
        <v>532.35</v>
      </c>
      <c r="EU209">
        <v>46.58</v>
      </c>
      <c r="EV209">
        <v>52.17</v>
      </c>
      <c r="EW209">
        <v>4.29</v>
      </c>
      <c r="EX209">
        <v>0</v>
      </c>
      <c r="EY209">
        <v>0</v>
      </c>
      <c r="FQ209">
        <v>0</v>
      </c>
      <c r="FR209">
        <v>0</v>
      </c>
      <c r="FS209">
        <v>0</v>
      </c>
      <c r="FX209">
        <v>161</v>
      </c>
      <c r="FY209">
        <v>107</v>
      </c>
      <c r="GA209" t="s">
        <v>3</v>
      </c>
      <c r="GD209">
        <v>0</v>
      </c>
      <c r="GF209">
        <v>-399398241</v>
      </c>
      <c r="GG209">
        <v>2</v>
      </c>
      <c r="GH209">
        <v>1</v>
      </c>
      <c r="GI209">
        <v>2</v>
      </c>
      <c r="GJ209">
        <v>0</v>
      </c>
      <c r="GK209">
        <f>ROUND(R209*(S12)/100,2)</f>
        <v>277.18</v>
      </c>
      <c r="GL209">
        <f t="shared" si="195"/>
        <v>0</v>
      </c>
      <c r="GM209">
        <f t="shared" si="196"/>
        <v>1615.83</v>
      </c>
      <c r="GN209">
        <f t="shared" si="197"/>
        <v>1615.83</v>
      </c>
      <c r="GO209">
        <f t="shared" si="198"/>
        <v>0</v>
      </c>
      <c r="GP209">
        <f t="shared" si="199"/>
        <v>0</v>
      </c>
      <c r="GR209">
        <v>0</v>
      </c>
      <c r="GS209">
        <v>3</v>
      </c>
      <c r="GT209">
        <v>0</v>
      </c>
      <c r="GU209" t="s">
        <v>3</v>
      </c>
      <c r="GV209">
        <f t="shared" si="200"/>
        <v>0</v>
      </c>
      <c r="GW209">
        <v>1</v>
      </c>
      <c r="GX209">
        <f t="shared" si="201"/>
        <v>0</v>
      </c>
      <c r="HA209">
        <v>0</v>
      </c>
      <c r="HB209">
        <v>0</v>
      </c>
      <c r="HC209">
        <f t="shared" si="202"/>
        <v>0</v>
      </c>
      <c r="HE209" t="s">
        <v>3</v>
      </c>
      <c r="HF209" t="s">
        <v>3</v>
      </c>
      <c r="HM209" t="s">
        <v>3</v>
      </c>
      <c r="HN209" t="s">
        <v>3</v>
      </c>
      <c r="HO209" t="s">
        <v>3</v>
      </c>
      <c r="HP209" t="s">
        <v>3</v>
      </c>
      <c r="HQ209" t="s">
        <v>3</v>
      </c>
      <c r="HS209">
        <v>0</v>
      </c>
      <c r="IK209">
        <v>0</v>
      </c>
    </row>
    <row r="210" spans="1:255" x14ac:dyDescent="0.2">
      <c r="A210" s="2">
        <v>18</v>
      </c>
      <c r="B210" s="2">
        <v>1</v>
      </c>
      <c r="C210" s="2">
        <v>33</v>
      </c>
      <c r="D210" s="2"/>
      <c r="E210" s="2" t="s">
        <v>321</v>
      </c>
      <c r="F210" s="2" t="s">
        <v>316</v>
      </c>
      <c r="G210" s="2" t="s">
        <v>317</v>
      </c>
      <c r="H210" s="2" t="s">
        <v>318</v>
      </c>
      <c r="I210" s="2">
        <f>I208*J210</f>
        <v>0.93884000000000001</v>
      </c>
      <c r="J210" s="2">
        <v>9.58</v>
      </c>
      <c r="K210" s="2">
        <v>9.58</v>
      </c>
      <c r="L210" s="2"/>
      <c r="M210" s="2"/>
      <c r="N210" s="2"/>
      <c r="O210" s="2">
        <f t="shared" si="168"/>
        <v>278.55</v>
      </c>
      <c r="P210" s="2">
        <f t="shared" si="169"/>
        <v>278.55</v>
      </c>
      <c r="Q210" s="2">
        <f>(ROUND((ROUND(((ET210)*AV210*I210),2)*BB210),2)+ROUND((ROUND(((AE210-(EU210))*AV210*I210),2)*BS210),2))</f>
        <v>0</v>
      </c>
      <c r="R210" s="2">
        <f t="shared" si="171"/>
        <v>0</v>
      </c>
      <c r="S210" s="2">
        <f t="shared" si="172"/>
        <v>0</v>
      </c>
      <c r="T210" s="2">
        <f t="shared" si="173"/>
        <v>0</v>
      </c>
      <c r="U210" s="2">
        <f t="shared" si="174"/>
        <v>0</v>
      </c>
      <c r="V210" s="2">
        <f t="shared" si="175"/>
        <v>0</v>
      </c>
      <c r="W210" s="2">
        <f t="shared" si="176"/>
        <v>0</v>
      </c>
      <c r="X210" s="2">
        <f t="shared" si="177"/>
        <v>0</v>
      </c>
      <c r="Y210" s="2">
        <f t="shared" si="178"/>
        <v>0</v>
      </c>
      <c r="Z210" s="2"/>
      <c r="AA210" s="2">
        <v>56622490</v>
      </c>
      <c r="AB210" s="2">
        <f t="shared" si="179"/>
        <v>296.7</v>
      </c>
      <c r="AC210" s="2">
        <f t="shared" si="180"/>
        <v>296.7</v>
      </c>
      <c r="AD210" s="2">
        <f>ROUND((((ET210)-(EU210))+AE210),6)</f>
        <v>0</v>
      </c>
      <c r="AE210" s="2">
        <f>ROUND((EU210),6)</f>
        <v>0</v>
      </c>
      <c r="AF210" s="2">
        <f>ROUND((EV210),6)</f>
        <v>0</v>
      </c>
      <c r="AG210" s="2">
        <f t="shared" si="183"/>
        <v>0</v>
      </c>
      <c r="AH210" s="2">
        <f>(EW210)</f>
        <v>0</v>
      </c>
      <c r="AI210" s="2">
        <f>(EX210)</f>
        <v>0</v>
      </c>
      <c r="AJ210" s="2">
        <f t="shared" si="185"/>
        <v>0</v>
      </c>
      <c r="AK210" s="2">
        <v>296.7</v>
      </c>
      <c r="AL210" s="2">
        <v>296.7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161</v>
      </c>
      <c r="AU210" s="2">
        <v>107</v>
      </c>
      <c r="AV210" s="2">
        <v>1.0469999999999999</v>
      </c>
      <c r="AW210" s="2">
        <v>1</v>
      </c>
      <c r="AX210" s="2"/>
      <c r="AY210" s="2"/>
      <c r="AZ210" s="2">
        <v>1</v>
      </c>
      <c r="BA210" s="2">
        <v>1</v>
      </c>
      <c r="BB210" s="2">
        <v>1</v>
      </c>
      <c r="BC210" s="2">
        <v>1</v>
      </c>
      <c r="BD210" s="2" t="s">
        <v>3</v>
      </c>
      <c r="BE210" s="2" t="s">
        <v>3</v>
      </c>
      <c r="BF210" s="2" t="s">
        <v>3</v>
      </c>
      <c r="BG210" s="2" t="s">
        <v>3</v>
      </c>
      <c r="BH210" s="2">
        <v>3</v>
      </c>
      <c r="BI210" s="2">
        <v>1</v>
      </c>
      <c r="BJ210" s="2" t="s">
        <v>319</v>
      </c>
      <c r="BK210" s="2"/>
      <c r="BL210" s="2"/>
      <c r="BM210" s="2">
        <v>158</v>
      </c>
      <c r="BN210" s="2">
        <v>0</v>
      </c>
      <c r="BO210" s="2" t="s">
        <v>3</v>
      </c>
      <c r="BP210" s="2">
        <v>0</v>
      </c>
      <c r="BQ210" s="2">
        <v>30</v>
      </c>
      <c r="BR210" s="2">
        <v>0</v>
      </c>
      <c r="BS210" s="2">
        <v>1</v>
      </c>
      <c r="BT210" s="2">
        <v>1</v>
      </c>
      <c r="BU210" s="2">
        <v>1</v>
      </c>
      <c r="BV210" s="2">
        <v>1</v>
      </c>
      <c r="BW210" s="2">
        <v>1</v>
      </c>
      <c r="BX210" s="2">
        <v>1</v>
      </c>
      <c r="BY210" s="2" t="s">
        <v>3</v>
      </c>
      <c r="BZ210" s="2">
        <v>161</v>
      </c>
      <c r="CA210" s="2">
        <v>107</v>
      </c>
      <c r="CB210" s="2" t="s">
        <v>3</v>
      </c>
      <c r="CC210" s="2"/>
      <c r="CD210" s="2"/>
      <c r="CE210" s="2">
        <v>30</v>
      </c>
      <c r="CF210" s="2">
        <v>0</v>
      </c>
      <c r="CG210" s="2">
        <v>0</v>
      </c>
      <c r="CH210" s="2"/>
      <c r="CI210" s="2"/>
      <c r="CJ210" s="2"/>
      <c r="CK210" s="2"/>
      <c r="CL210" s="2"/>
      <c r="CM210" s="2">
        <v>0</v>
      </c>
      <c r="CN210" s="2" t="s">
        <v>3</v>
      </c>
      <c r="CO210" s="2">
        <v>0</v>
      </c>
      <c r="CP210" s="2">
        <f t="shared" si="186"/>
        <v>278.55</v>
      </c>
      <c r="CQ210" s="2">
        <f t="shared" si="187"/>
        <v>296.7</v>
      </c>
      <c r="CR210" s="2">
        <f>(ROUND((ROUND(((ET210)*AV210*1),2)*BB210),2)+ROUND((ROUND(((AE210-(EU210))*AV210*1),2)*BS210),2))</f>
        <v>0</v>
      </c>
      <c r="CS210" s="2">
        <f t="shared" si="189"/>
        <v>0</v>
      </c>
      <c r="CT210" s="2">
        <f t="shared" si="190"/>
        <v>0</v>
      </c>
      <c r="CU210" s="2">
        <f t="shared" si="191"/>
        <v>0</v>
      </c>
      <c r="CV210" s="2">
        <f t="shared" si="192"/>
        <v>0</v>
      </c>
      <c r="CW210" s="2">
        <f t="shared" si="193"/>
        <v>0</v>
      </c>
      <c r="CX210" s="2">
        <f t="shared" si="194"/>
        <v>0</v>
      </c>
      <c r="CY210" s="2">
        <f>((S210*BZ210)/100)</f>
        <v>0</v>
      </c>
      <c r="CZ210" s="2">
        <f>((S210*CA210)/100)</f>
        <v>0</v>
      </c>
      <c r="DA210" s="2"/>
      <c r="DB210" s="2"/>
      <c r="DC210" s="2" t="s">
        <v>3</v>
      </c>
      <c r="DD210" s="2" t="s">
        <v>3</v>
      </c>
      <c r="DE210" s="2" t="s">
        <v>3</v>
      </c>
      <c r="DF210" s="2" t="s">
        <v>3</v>
      </c>
      <c r="DG210" s="2" t="s">
        <v>3</v>
      </c>
      <c r="DH210" s="2" t="s">
        <v>3</v>
      </c>
      <c r="DI210" s="2" t="s">
        <v>3</v>
      </c>
      <c r="DJ210" s="2" t="s">
        <v>3</v>
      </c>
      <c r="DK210" s="2" t="s">
        <v>3</v>
      </c>
      <c r="DL210" s="2" t="s">
        <v>3</v>
      </c>
      <c r="DM210" s="2" t="s">
        <v>3</v>
      </c>
      <c r="DN210" s="2">
        <v>0</v>
      </c>
      <c r="DO210" s="2">
        <v>0</v>
      </c>
      <c r="DP210" s="2">
        <v>1</v>
      </c>
      <c r="DQ210" s="2">
        <v>1</v>
      </c>
      <c r="DR210" s="2"/>
      <c r="DS210" s="2"/>
      <c r="DT210" s="2"/>
      <c r="DU210" s="2">
        <v>1009</v>
      </c>
      <c r="DV210" s="2" t="s">
        <v>318</v>
      </c>
      <c r="DW210" s="2" t="s">
        <v>318</v>
      </c>
      <c r="DX210" s="2">
        <v>1000</v>
      </c>
      <c r="DY210" s="2"/>
      <c r="DZ210" s="2" t="s">
        <v>3</v>
      </c>
      <c r="EA210" s="2" t="s">
        <v>3</v>
      </c>
      <c r="EB210" s="2" t="s">
        <v>3</v>
      </c>
      <c r="EC210" s="2" t="s">
        <v>3</v>
      </c>
      <c r="ED210" s="2"/>
      <c r="EE210" s="2">
        <v>51696197</v>
      </c>
      <c r="EF210" s="2">
        <v>30</v>
      </c>
      <c r="EG210" s="2" t="s">
        <v>23</v>
      </c>
      <c r="EH210" s="2">
        <v>0</v>
      </c>
      <c r="EI210" s="2" t="s">
        <v>3</v>
      </c>
      <c r="EJ210" s="2">
        <v>1</v>
      </c>
      <c r="EK210" s="2">
        <v>158</v>
      </c>
      <c r="EL210" s="2" t="s">
        <v>313</v>
      </c>
      <c r="EM210" s="2" t="s">
        <v>314</v>
      </c>
      <c r="EN210" s="2"/>
      <c r="EO210" s="2" t="s">
        <v>3</v>
      </c>
      <c r="EP210" s="2"/>
      <c r="EQ210" s="2">
        <v>0</v>
      </c>
      <c r="ER210" s="2">
        <v>296.7</v>
      </c>
      <c r="ES210" s="2">
        <v>296.7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>
        <v>0</v>
      </c>
      <c r="FR210" s="2">
        <v>0</v>
      </c>
      <c r="FS210" s="2">
        <v>0</v>
      </c>
      <c r="FT210" s="2"/>
      <c r="FU210" s="2"/>
      <c r="FV210" s="2"/>
      <c r="FW210" s="2"/>
      <c r="FX210" s="2">
        <v>161</v>
      </c>
      <c r="FY210" s="2">
        <v>107</v>
      </c>
      <c r="FZ210" s="2"/>
      <c r="GA210" s="2" t="s">
        <v>3</v>
      </c>
      <c r="GB210" s="2"/>
      <c r="GC210" s="2"/>
      <c r="GD210" s="2">
        <v>0</v>
      </c>
      <c r="GE210" s="2"/>
      <c r="GF210" s="2">
        <v>1855215121</v>
      </c>
      <c r="GG210" s="2">
        <v>2</v>
      </c>
      <c r="GH210" s="2">
        <v>1</v>
      </c>
      <c r="GI210" s="2">
        <v>-2</v>
      </c>
      <c r="GJ210" s="2">
        <v>0</v>
      </c>
      <c r="GK210" s="2">
        <f>ROUND(R210*(R12)/100,2)</f>
        <v>0</v>
      </c>
      <c r="GL210" s="2">
        <f t="shared" si="195"/>
        <v>0</v>
      </c>
      <c r="GM210" s="2">
        <f t="shared" si="196"/>
        <v>278.55</v>
      </c>
      <c r="GN210" s="2">
        <f t="shared" si="197"/>
        <v>278.55</v>
      </c>
      <c r="GO210" s="2">
        <f t="shared" si="198"/>
        <v>0</v>
      </c>
      <c r="GP210" s="2">
        <f t="shared" si="199"/>
        <v>0</v>
      </c>
      <c r="GQ210" s="2"/>
      <c r="GR210" s="2">
        <v>0</v>
      </c>
      <c r="GS210" s="2">
        <v>0</v>
      </c>
      <c r="GT210" s="2">
        <v>0</v>
      </c>
      <c r="GU210" s="2" t="s">
        <v>3</v>
      </c>
      <c r="GV210" s="2">
        <f t="shared" si="200"/>
        <v>0</v>
      </c>
      <c r="GW210" s="2">
        <v>1</v>
      </c>
      <c r="GX210" s="2">
        <f t="shared" si="201"/>
        <v>0</v>
      </c>
      <c r="GY210" s="2"/>
      <c r="GZ210" s="2"/>
      <c r="HA210" s="2">
        <v>0</v>
      </c>
      <c r="HB210" s="2">
        <v>0</v>
      </c>
      <c r="HC210" s="2">
        <f t="shared" si="202"/>
        <v>0</v>
      </c>
      <c r="HD210" s="2"/>
      <c r="HE210" s="2" t="s">
        <v>3</v>
      </c>
      <c r="HF210" s="2" t="s">
        <v>3</v>
      </c>
      <c r="HG210" s="2"/>
      <c r="HH210" s="2"/>
      <c r="HI210" s="2"/>
      <c r="HJ210" s="2"/>
      <c r="HK210" s="2"/>
      <c r="HL210" s="2"/>
      <c r="HM210" s="2" t="s">
        <v>3</v>
      </c>
      <c r="HN210" s="2" t="s">
        <v>3</v>
      </c>
      <c r="HO210" s="2" t="s">
        <v>3</v>
      </c>
      <c r="HP210" s="2" t="s">
        <v>3</v>
      </c>
      <c r="HQ210" s="2" t="s">
        <v>3</v>
      </c>
      <c r="HR210" s="2"/>
      <c r="HS210" s="2">
        <v>0</v>
      </c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>
        <v>0</v>
      </c>
      <c r="IL210" s="2"/>
      <c r="IM210" s="2"/>
      <c r="IN210" s="2"/>
      <c r="IO210" s="2"/>
      <c r="IP210" s="2"/>
      <c r="IQ210" s="2"/>
      <c r="IR210" s="2"/>
      <c r="IS210" s="2"/>
      <c r="IT210" s="2"/>
      <c r="IU210" s="2"/>
    </row>
    <row r="211" spans="1:255" x14ac:dyDescent="0.2">
      <c r="A211">
        <v>18</v>
      </c>
      <c r="B211">
        <v>1</v>
      </c>
      <c r="C211">
        <v>34</v>
      </c>
      <c r="E211" t="s">
        <v>321</v>
      </c>
      <c r="F211" t="s">
        <v>316</v>
      </c>
      <c r="G211" t="s">
        <v>317</v>
      </c>
      <c r="H211" t="s">
        <v>318</v>
      </c>
      <c r="I211">
        <f>I209*J211</f>
        <v>0.93884000000000001</v>
      </c>
      <c r="J211">
        <v>9.58</v>
      </c>
      <c r="K211">
        <v>9.58</v>
      </c>
      <c r="O211">
        <f t="shared" si="168"/>
        <v>4286.88</v>
      </c>
      <c r="P211">
        <f t="shared" si="169"/>
        <v>4286.88</v>
      </c>
      <c r="Q211">
        <f>(ROUND((ROUND(((ET211)*AV211*I211),2)*BB211),2)+ROUND((ROUND(((AE211-(EU211))*AV211*I211),2)*BS211),2))</f>
        <v>0</v>
      </c>
      <c r="R211">
        <f t="shared" si="171"/>
        <v>0</v>
      </c>
      <c r="S211">
        <f t="shared" si="172"/>
        <v>0</v>
      </c>
      <c r="T211">
        <f t="shared" si="173"/>
        <v>0</v>
      </c>
      <c r="U211">
        <f t="shared" si="174"/>
        <v>0</v>
      </c>
      <c r="V211">
        <f t="shared" si="175"/>
        <v>0</v>
      </c>
      <c r="W211">
        <f t="shared" si="176"/>
        <v>0</v>
      </c>
      <c r="X211">
        <f t="shared" si="177"/>
        <v>0</v>
      </c>
      <c r="Y211">
        <f t="shared" si="178"/>
        <v>0</v>
      </c>
      <c r="AA211">
        <v>56610029</v>
      </c>
      <c r="AB211">
        <f t="shared" si="179"/>
        <v>296.7</v>
      </c>
      <c r="AC211">
        <f t="shared" si="180"/>
        <v>296.7</v>
      </c>
      <c r="AD211">
        <f>ROUND((((ET211)-(EU211))+AE211),6)</f>
        <v>0</v>
      </c>
      <c r="AE211">
        <f>ROUND((EU211),6)</f>
        <v>0</v>
      </c>
      <c r="AF211">
        <f>ROUND((EV211),6)</f>
        <v>0</v>
      </c>
      <c r="AG211">
        <f t="shared" si="183"/>
        <v>0</v>
      </c>
      <c r="AH211">
        <f>(EW211)</f>
        <v>0</v>
      </c>
      <c r="AI211">
        <f>(EX211)</f>
        <v>0</v>
      </c>
      <c r="AJ211">
        <f t="shared" si="185"/>
        <v>0</v>
      </c>
      <c r="AK211">
        <v>296.7</v>
      </c>
      <c r="AL211">
        <v>296.7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1</v>
      </c>
      <c r="AZ211">
        <v>1</v>
      </c>
      <c r="BA211">
        <v>1</v>
      </c>
      <c r="BB211">
        <v>1</v>
      </c>
      <c r="BC211">
        <v>15.39</v>
      </c>
      <c r="BD211" t="s">
        <v>3</v>
      </c>
      <c r="BE211" t="s">
        <v>3</v>
      </c>
      <c r="BF211" t="s">
        <v>3</v>
      </c>
      <c r="BG211" t="s">
        <v>3</v>
      </c>
      <c r="BH211">
        <v>3</v>
      </c>
      <c r="BI211">
        <v>1</v>
      </c>
      <c r="BJ211" t="s">
        <v>319</v>
      </c>
      <c r="BM211">
        <v>158</v>
      </c>
      <c r="BN211">
        <v>0</v>
      </c>
      <c r="BO211" t="s">
        <v>316</v>
      </c>
      <c r="BP211">
        <v>1</v>
      </c>
      <c r="BQ211">
        <v>30</v>
      </c>
      <c r="BR211">
        <v>0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 t="s">
        <v>3</v>
      </c>
      <c r="BZ211">
        <v>0</v>
      </c>
      <c r="CA211">
        <v>0</v>
      </c>
      <c r="CB211" t="s">
        <v>3</v>
      </c>
      <c r="CE211">
        <v>30</v>
      </c>
      <c r="CF211">
        <v>0</v>
      </c>
      <c r="CG211">
        <v>0</v>
      </c>
      <c r="CM211">
        <v>0</v>
      </c>
      <c r="CN211" t="s">
        <v>3</v>
      </c>
      <c r="CO211">
        <v>0</v>
      </c>
      <c r="CP211">
        <f t="shared" si="186"/>
        <v>4286.88</v>
      </c>
      <c r="CQ211">
        <f t="shared" si="187"/>
        <v>4566.21</v>
      </c>
      <c r="CR211">
        <f>(ROUND((ROUND(((ET211)*AV211*1),2)*BB211),2)+ROUND((ROUND(((AE211-(EU211))*AV211*1),2)*BS211),2))</f>
        <v>0</v>
      </c>
      <c r="CS211">
        <f t="shared" si="189"/>
        <v>0</v>
      </c>
      <c r="CT211">
        <f t="shared" si="190"/>
        <v>0</v>
      </c>
      <c r="CU211">
        <f t="shared" si="191"/>
        <v>0</v>
      </c>
      <c r="CV211">
        <f t="shared" si="192"/>
        <v>0</v>
      </c>
      <c r="CW211">
        <f t="shared" si="193"/>
        <v>0</v>
      </c>
      <c r="CX211">
        <f t="shared" si="194"/>
        <v>0</v>
      </c>
      <c r="CY211">
        <f>S211*(BZ211/100)</f>
        <v>0</v>
      </c>
      <c r="CZ211">
        <f>S211*(CA211/100)</f>
        <v>0</v>
      </c>
      <c r="DC211" t="s">
        <v>3</v>
      </c>
      <c r="DD211" t="s">
        <v>3</v>
      </c>
      <c r="DE211" t="s">
        <v>3</v>
      </c>
      <c r="DF211" t="s">
        <v>3</v>
      </c>
      <c r="DG211" t="s">
        <v>3</v>
      </c>
      <c r="DH211" t="s">
        <v>3</v>
      </c>
      <c r="DI211" t="s">
        <v>3</v>
      </c>
      <c r="DJ211" t="s">
        <v>3</v>
      </c>
      <c r="DK211" t="s">
        <v>3</v>
      </c>
      <c r="DL211" t="s">
        <v>3</v>
      </c>
      <c r="DM211" t="s">
        <v>3</v>
      </c>
      <c r="DN211">
        <v>161</v>
      </c>
      <c r="DO211">
        <v>107</v>
      </c>
      <c r="DP211">
        <v>1.0469999999999999</v>
      </c>
      <c r="DQ211">
        <v>1</v>
      </c>
      <c r="DU211">
        <v>1009</v>
      </c>
      <c r="DV211" t="s">
        <v>318</v>
      </c>
      <c r="DW211" t="s">
        <v>318</v>
      </c>
      <c r="DX211">
        <v>1000</v>
      </c>
      <c r="DZ211" t="s">
        <v>3</v>
      </c>
      <c r="EA211" t="s">
        <v>3</v>
      </c>
      <c r="EB211" t="s">
        <v>3</v>
      </c>
      <c r="EC211" t="s">
        <v>3</v>
      </c>
      <c r="EE211">
        <v>51696197</v>
      </c>
      <c r="EF211">
        <v>30</v>
      </c>
      <c r="EG211" t="s">
        <v>23</v>
      </c>
      <c r="EH211">
        <v>0</v>
      </c>
      <c r="EI211" t="s">
        <v>3</v>
      </c>
      <c r="EJ211">
        <v>1</v>
      </c>
      <c r="EK211">
        <v>158</v>
      </c>
      <c r="EL211" t="s">
        <v>313</v>
      </c>
      <c r="EM211" t="s">
        <v>314</v>
      </c>
      <c r="EO211" t="s">
        <v>3</v>
      </c>
      <c r="EQ211">
        <v>0</v>
      </c>
      <c r="ER211">
        <v>296.7</v>
      </c>
      <c r="ES211">
        <v>296.7</v>
      </c>
      <c r="ET211">
        <v>0</v>
      </c>
      <c r="EU211">
        <v>0</v>
      </c>
      <c r="EV211">
        <v>0</v>
      </c>
      <c r="EW211">
        <v>0</v>
      </c>
      <c r="EX211">
        <v>0</v>
      </c>
      <c r="FQ211">
        <v>0</v>
      </c>
      <c r="FR211">
        <v>0</v>
      </c>
      <c r="FS211">
        <v>0</v>
      </c>
      <c r="FX211">
        <v>161</v>
      </c>
      <c r="FY211">
        <v>107</v>
      </c>
      <c r="GA211" t="s">
        <v>3</v>
      </c>
      <c r="GD211">
        <v>0</v>
      </c>
      <c r="GF211">
        <v>1855215121</v>
      </c>
      <c r="GG211">
        <v>2</v>
      </c>
      <c r="GH211">
        <v>1</v>
      </c>
      <c r="GI211">
        <v>2</v>
      </c>
      <c r="GJ211">
        <v>0</v>
      </c>
      <c r="GK211">
        <f>ROUND(R211*(S12)/100,2)</f>
        <v>0</v>
      </c>
      <c r="GL211">
        <f t="shared" si="195"/>
        <v>0</v>
      </c>
      <c r="GM211">
        <f t="shared" si="196"/>
        <v>4286.88</v>
      </c>
      <c r="GN211">
        <f t="shared" si="197"/>
        <v>4286.88</v>
      </c>
      <c r="GO211">
        <f t="shared" si="198"/>
        <v>0</v>
      </c>
      <c r="GP211">
        <f t="shared" si="199"/>
        <v>0</v>
      </c>
      <c r="GR211">
        <v>0</v>
      </c>
      <c r="GS211">
        <v>3</v>
      </c>
      <c r="GT211">
        <v>0</v>
      </c>
      <c r="GU211" t="s">
        <v>3</v>
      </c>
      <c r="GV211">
        <f t="shared" si="200"/>
        <v>0</v>
      </c>
      <c r="GW211">
        <v>1</v>
      </c>
      <c r="GX211">
        <f t="shared" si="201"/>
        <v>0</v>
      </c>
      <c r="HA211">
        <v>0</v>
      </c>
      <c r="HB211">
        <v>0</v>
      </c>
      <c r="HC211">
        <f t="shared" si="202"/>
        <v>0</v>
      </c>
      <c r="HE211" t="s">
        <v>3</v>
      </c>
      <c r="HF211" t="s">
        <v>3</v>
      </c>
      <c r="HM211" t="s">
        <v>3</v>
      </c>
      <c r="HN211" t="s">
        <v>3</v>
      </c>
      <c r="HO211" t="s">
        <v>3</v>
      </c>
      <c r="HP211" t="s">
        <v>3</v>
      </c>
      <c r="HQ211" t="s">
        <v>3</v>
      </c>
      <c r="HS211">
        <v>0</v>
      </c>
      <c r="IK211">
        <v>0</v>
      </c>
    </row>
    <row r="212" spans="1:255" x14ac:dyDescent="0.2">
      <c r="A212" s="2">
        <v>17</v>
      </c>
      <c r="B212" s="2">
        <v>1</v>
      </c>
      <c r="C212" s="2">
        <f>ROW(SmtRes!A35)</f>
        <v>35</v>
      </c>
      <c r="D212" s="2">
        <f>ROW(EtalonRes!A444)</f>
        <v>444</v>
      </c>
      <c r="E212" s="2" t="s">
        <v>322</v>
      </c>
      <c r="F212" s="2" t="s">
        <v>323</v>
      </c>
      <c r="G212" s="2" t="s">
        <v>324</v>
      </c>
      <c r="H212" s="2" t="s">
        <v>95</v>
      </c>
      <c r="I212" s="2">
        <f>ROUND(9.8/100,9)</f>
        <v>9.8000000000000004E-2</v>
      </c>
      <c r="J212" s="2">
        <v>0</v>
      </c>
      <c r="K212" s="2">
        <f>ROUND(9.8/100,9)</f>
        <v>9.8000000000000004E-2</v>
      </c>
      <c r="L212" s="2"/>
      <c r="M212" s="2"/>
      <c r="N212" s="2"/>
      <c r="O212" s="2">
        <f t="shared" si="168"/>
        <v>21.42</v>
      </c>
      <c r="P212" s="2">
        <f t="shared" si="169"/>
        <v>0</v>
      </c>
      <c r="Q212" s="2">
        <f>(ROUND((ROUND((((ET212*1.05*5))*AV212*I212),2)*BB212),2)+ROUND((ROUND(((AE212-((EU212*1.05*5)))*AV212*I212),2)*BS212),2))</f>
        <v>17.690000000000001</v>
      </c>
      <c r="R212" s="2">
        <f t="shared" si="171"/>
        <v>1.17</v>
      </c>
      <c r="S212" s="2">
        <f t="shared" si="172"/>
        <v>3.73</v>
      </c>
      <c r="T212" s="2">
        <f t="shared" si="173"/>
        <v>0</v>
      </c>
      <c r="U212" s="2">
        <f t="shared" si="174"/>
        <v>0.28550119500000004</v>
      </c>
      <c r="V212" s="2">
        <f t="shared" si="175"/>
        <v>0</v>
      </c>
      <c r="W212" s="2">
        <f t="shared" si="176"/>
        <v>0</v>
      </c>
      <c r="X212" s="2">
        <f t="shared" si="177"/>
        <v>6.01</v>
      </c>
      <c r="Y212" s="2">
        <f t="shared" si="178"/>
        <v>3.99</v>
      </c>
      <c r="Z212" s="2"/>
      <c r="AA212" s="2">
        <v>56622490</v>
      </c>
      <c r="AB212" s="2">
        <f t="shared" si="179"/>
        <v>208.79249999999999</v>
      </c>
      <c r="AC212" s="2">
        <f t="shared" si="180"/>
        <v>0</v>
      </c>
      <c r="AD212" s="2">
        <f>ROUND(((((ET212*1.05*5))-((EU212*1.05*5)))+AE212),6)</f>
        <v>172.41</v>
      </c>
      <c r="AE212" s="2">
        <f>ROUND(((EU212*1.05*5)),6)</f>
        <v>11.445</v>
      </c>
      <c r="AF212" s="2">
        <f>ROUND(((EV212*1.05*5)),6)</f>
        <v>36.3825</v>
      </c>
      <c r="AG212" s="2">
        <f t="shared" si="183"/>
        <v>0</v>
      </c>
      <c r="AH212" s="2">
        <f>((EW212*1.05*5))</f>
        <v>2.7825000000000006</v>
      </c>
      <c r="AI212" s="2">
        <f>((EX212*1.05*5))</f>
        <v>0</v>
      </c>
      <c r="AJ212" s="2">
        <f t="shared" si="185"/>
        <v>0</v>
      </c>
      <c r="AK212" s="2">
        <v>39.770000000000003</v>
      </c>
      <c r="AL212" s="2">
        <v>0</v>
      </c>
      <c r="AM212" s="2">
        <v>32.840000000000003</v>
      </c>
      <c r="AN212" s="2">
        <v>2.1800000000000002</v>
      </c>
      <c r="AO212" s="2">
        <v>6.93</v>
      </c>
      <c r="AP212" s="2">
        <v>0</v>
      </c>
      <c r="AQ212" s="2">
        <v>0.53</v>
      </c>
      <c r="AR212" s="2">
        <v>0</v>
      </c>
      <c r="AS212" s="2">
        <v>0</v>
      </c>
      <c r="AT212" s="2">
        <v>161</v>
      </c>
      <c r="AU212" s="2">
        <v>107</v>
      </c>
      <c r="AV212" s="2">
        <v>1.0469999999999999</v>
      </c>
      <c r="AW212" s="2">
        <v>1</v>
      </c>
      <c r="AX212" s="2"/>
      <c r="AY212" s="2"/>
      <c r="AZ212" s="2">
        <v>1</v>
      </c>
      <c r="BA212" s="2">
        <v>1</v>
      </c>
      <c r="BB212" s="2">
        <v>1</v>
      </c>
      <c r="BC212" s="2">
        <v>1</v>
      </c>
      <c r="BD212" s="2" t="s">
        <v>3</v>
      </c>
      <c r="BE212" s="2" t="s">
        <v>3</v>
      </c>
      <c r="BF212" s="2" t="s">
        <v>3</v>
      </c>
      <c r="BG212" s="2" t="s">
        <v>3</v>
      </c>
      <c r="BH212" s="2">
        <v>0</v>
      </c>
      <c r="BI212" s="2">
        <v>1</v>
      </c>
      <c r="BJ212" s="2" t="s">
        <v>325</v>
      </c>
      <c r="BK212" s="2"/>
      <c r="BL212" s="2"/>
      <c r="BM212" s="2">
        <v>158</v>
      </c>
      <c r="BN212" s="2">
        <v>0</v>
      </c>
      <c r="BO212" s="2" t="s">
        <v>3</v>
      </c>
      <c r="BP212" s="2">
        <v>0</v>
      </c>
      <c r="BQ212" s="2">
        <v>30</v>
      </c>
      <c r="BR212" s="2">
        <v>0</v>
      </c>
      <c r="BS212" s="2">
        <v>1</v>
      </c>
      <c r="BT212" s="2">
        <v>1</v>
      </c>
      <c r="BU212" s="2">
        <v>1</v>
      </c>
      <c r="BV212" s="2">
        <v>1</v>
      </c>
      <c r="BW212" s="2">
        <v>1</v>
      </c>
      <c r="BX212" s="2">
        <v>1</v>
      </c>
      <c r="BY212" s="2" t="s">
        <v>3</v>
      </c>
      <c r="BZ212" s="2">
        <v>161</v>
      </c>
      <c r="CA212" s="2">
        <v>107</v>
      </c>
      <c r="CB212" s="2" t="s">
        <v>3</v>
      </c>
      <c r="CC212" s="2"/>
      <c r="CD212" s="2"/>
      <c r="CE212" s="2">
        <v>30</v>
      </c>
      <c r="CF212" s="2">
        <v>0</v>
      </c>
      <c r="CG212" s="2">
        <v>0</v>
      </c>
      <c r="CH212" s="2"/>
      <c r="CI212" s="2"/>
      <c r="CJ212" s="2"/>
      <c r="CK212" s="2"/>
      <c r="CL212" s="2"/>
      <c r="CM212" s="2">
        <v>0</v>
      </c>
      <c r="CN212" s="2" t="s">
        <v>708</v>
      </c>
      <c r="CO212" s="2">
        <v>0</v>
      </c>
      <c r="CP212" s="2">
        <f t="shared" si="186"/>
        <v>21.42</v>
      </c>
      <c r="CQ212" s="2">
        <f t="shared" si="187"/>
        <v>0</v>
      </c>
      <c r="CR212" s="2">
        <f>(ROUND((ROUND((((ET212*1.05*5))*AV212*1),2)*BB212),2)+ROUND((ROUND(((AE212-((EU212*1.05*5)))*AV212*1),2)*BS212),2))</f>
        <v>180.51</v>
      </c>
      <c r="CS212" s="2">
        <f t="shared" si="189"/>
        <v>11.98</v>
      </c>
      <c r="CT212" s="2">
        <f t="shared" si="190"/>
        <v>38.090000000000003</v>
      </c>
      <c r="CU212" s="2">
        <f t="shared" si="191"/>
        <v>0</v>
      </c>
      <c r="CV212" s="2">
        <f t="shared" si="192"/>
        <v>2.9132775000000004</v>
      </c>
      <c r="CW212" s="2">
        <f t="shared" si="193"/>
        <v>0</v>
      </c>
      <c r="CX212" s="2">
        <f t="shared" si="194"/>
        <v>0</v>
      </c>
      <c r="CY212" s="2">
        <f>((S212*BZ212)/100)</f>
        <v>6.0053000000000001</v>
      </c>
      <c r="CZ212" s="2">
        <f>((S212*CA212)/100)</f>
        <v>3.9911000000000003</v>
      </c>
      <c r="DA212" s="2"/>
      <c r="DB212" s="2"/>
      <c r="DC212" s="2" t="s">
        <v>3</v>
      </c>
      <c r="DD212" s="2" t="s">
        <v>3</v>
      </c>
      <c r="DE212" s="2" t="s">
        <v>326</v>
      </c>
      <c r="DF212" s="2" t="s">
        <v>326</v>
      </c>
      <c r="DG212" s="2" t="s">
        <v>326</v>
      </c>
      <c r="DH212" s="2" t="s">
        <v>3</v>
      </c>
      <c r="DI212" s="2" t="s">
        <v>326</v>
      </c>
      <c r="DJ212" s="2" t="s">
        <v>326</v>
      </c>
      <c r="DK212" s="2" t="s">
        <v>3</v>
      </c>
      <c r="DL212" s="2" t="s">
        <v>3</v>
      </c>
      <c r="DM212" s="2" t="s">
        <v>3</v>
      </c>
      <c r="DN212" s="2">
        <v>0</v>
      </c>
      <c r="DO212" s="2">
        <v>0</v>
      </c>
      <c r="DP212" s="2">
        <v>1</v>
      </c>
      <c r="DQ212" s="2">
        <v>1</v>
      </c>
      <c r="DR212" s="2"/>
      <c r="DS212" s="2"/>
      <c r="DT212" s="2"/>
      <c r="DU212" s="2">
        <v>1013</v>
      </c>
      <c r="DV212" s="2" t="s">
        <v>95</v>
      </c>
      <c r="DW212" s="2" t="s">
        <v>95</v>
      </c>
      <c r="DX212" s="2">
        <v>1</v>
      </c>
      <c r="DY212" s="2"/>
      <c r="DZ212" s="2" t="s">
        <v>3</v>
      </c>
      <c r="EA212" s="2" t="s">
        <v>3</v>
      </c>
      <c r="EB212" s="2" t="s">
        <v>3</v>
      </c>
      <c r="EC212" s="2" t="s">
        <v>3</v>
      </c>
      <c r="ED212" s="2"/>
      <c r="EE212" s="2">
        <v>51696197</v>
      </c>
      <c r="EF212" s="2">
        <v>30</v>
      </c>
      <c r="EG212" s="2" t="s">
        <v>23</v>
      </c>
      <c r="EH212" s="2">
        <v>0</v>
      </c>
      <c r="EI212" s="2" t="s">
        <v>3</v>
      </c>
      <c r="EJ212" s="2">
        <v>1</v>
      </c>
      <c r="EK212" s="2">
        <v>158</v>
      </c>
      <c r="EL212" s="2" t="s">
        <v>313</v>
      </c>
      <c r="EM212" s="2" t="s">
        <v>314</v>
      </c>
      <c r="EN212" s="2"/>
      <c r="EO212" s="2" t="s">
        <v>26</v>
      </c>
      <c r="EP212" s="2"/>
      <c r="EQ212" s="2">
        <v>131072</v>
      </c>
      <c r="ER212" s="2">
        <v>39.770000000000003</v>
      </c>
      <c r="ES212" s="2">
        <v>0</v>
      </c>
      <c r="ET212" s="2">
        <v>32.840000000000003</v>
      </c>
      <c r="EU212" s="2">
        <v>2.1800000000000002</v>
      </c>
      <c r="EV212" s="2">
        <v>6.93</v>
      </c>
      <c r="EW212" s="2">
        <v>0.53</v>
      </c>
      <c r="EX212" s="2">
        <v>0</v>
      </c>
      <c r="EY212" s="2">
        <v>0</v>
      </c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>
        <v>0</v>
      </c>
      <c r="FR212" s="2">
        <v>0</v>
      </c>
      <c r="FS212" s="2">
        <v>0</v>
      </c>
      <c r="FT212" s="2"/>
      <c r="FU212" s="2"/>
      <c r="FV212" s="2"/>
      <c r="FW212" s="2"/>
      <c r="FX212" s="2">
        <v>161</v>
      </c>
      <c r="FY212" s="2">
        <v>107</v>
      </c>
      <c r="FZ212" s="2"/>
      <c r="GA212" s="2" t="s">
        <v>3</v>
      </c>
      <c r="GB212" s="2"/>
      <c r="GC212" s="2"/>
      <c r="GD212" s="2">
        <v>0</v>
      </c>
      <c r="GE212" s="2"/>
      <c r="GF212" s="2">
        <v>-1968364840</v>
      </c>
      <c r="GG212" s="2">
        <v>2</v>
      </c>
      <c r="GH212" s="2">
        <v>1</v>
      </c>
      <c r="GI212" s="2">
        <v>-2</v>
      </c>
      <c r="GJ212" s="2">
        <v>0</v>
      </c>
      <c r="GK212" s="2">
        <f>ROUND(R212*(R12)/100,2)</f>
        <v>2.0499999999999998</v>
      </c>
      <c r="GL212" s="2">
        <f t="shared" si="195"/>
        <v>0</v>
      </c>
      <c r="GM212" s="2">
        <f t="shared" si="196"/>
        <v>33.47</v>
      </c>
      <c r="GN212" s="2">
        <f t="shared" si="197"/>
        <v>33.47</v>
      </c>
      <c r="GO212" s="2">
        <f t="shared" si="198"/>
        <v>0</v>
      </c>
      <c r="GP212" s="2">
        <f t="shared" si="199"/>
        <v>0</v>
      </c>
      <c r="GQ212" s="2"/>
      <c r="GR212" s="2">
        <v>0</v>
      </c>
      <c r="GS212" s="2">
        <v>0</v>
      </c>
      <c r="GT212" s="2">
        <v>0</v>
      </c>
      <c r="GU212" s="2" t="s">
        <v>3</v>
      </c>
      <c r="GV212" s="2">
        <f t="shared" si="200"/>
        <v>0</v>
      </c>
      <c r="GW212" s="2">
        <v>1</v>
      </c>
      <c r="GX212" s="2">
        <f t="shared" si="201"/>
        <v>0</v>
      </c>
      <c r="GY212" s="2"/>
      <c r="GZ212" s="2"/>
      <c r="HA212" s="2">
        <v>0</v>
      </c>
      <c r="HB212" s="2">
        <v>0</v>
      </c>
      <c r="HC212" s="2">
        <f t="shared" si="202"/>
        <v>0</v>
      </c>
      <c r="HD212" s="2"/>
      <c r="HE212" s="2" t="s">
        <v>3</v>
      </c>
      <c r="HF212" s="2" t="s">
        <v>3</v>
      </c>
      <c r="HG212" s="2"/>
      <c r="HH212" s="2"/>
      <c r="HI212" s="2"/>
      <c r="HJ212" s="2"/>
      <c r="HK212" s="2"/>
      <c r="HL212" s="2"/>
      <c r="HM212" s="2" t="s">
        <v>3</v>
      </c>
      <c r="HN212" s="2" t="s">
        <v>3</v>
      </c>
      <c r="HO212" s="2" t="s">
        <v>3</v>
      </c>
      <c r="HP212" s="2" t="s">
        <v>3</v>
      </c>
      <c r="HQ212" s="2" t="s">
        <v>3</v>
      </c>
      <c r="HR212" s="2"/>
      <c r="HS212" s="2">
        <v>0</v>
      </c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>
        <v>0</v>
      </c>
      <c r="IL212" s="2"/>
      <c r="IM212" s="2"/>
      <c r="IN212" s="2"/>
      <c r="IO212" s="2"/>
      <c r="IP212" s="2"/>
      <c r="IQ212" s="2"/>
      <c r="IR212" s="2"/>
      <c r="IS212" s="2"/>
      <c r="IT212" s="2"/>
      <c r="IU212" s="2"/>
    </row>
    <row r="213" spans="1:255" x14ac:dyDescent="0.2">
      <c r="A213">
        <v>17</v>
      </c>
      <c r="B213">
        <v>1</v>
      </c>
      <c r="C213">
        <f>ROW(SmtRes!A36)</f>
        <v>36</v>
      </c>
      <c r="D213">
        <f>ROW(EtalonRes!A448)</f>
        <v>448</v>
      </c>
      <c r="E213" t="s">
        <v>322</v>
      </c>
      <c r="F213" t="s">
        <v>323</v>
      </c>
      <c r="G213" t="s">
        <v>324</v>
      </c>
      <c r="H213" t="s">
        <v>95</v>
      </c>
      <c r="I213">
        <f>ROUND(9.8/100,9)</f>
        <v>9.8000000000000004E-2</v>
      </c>
      <c r="J213">
        <v>0</v>
      </c>
      <c r="K213">
        <f>ROUND(9.8/100,9)</f>
        <v>9.8000000000000004E-2</v>
      </c>
      <c r="O213">
        <f t="shared" si="168"/>
        <v>337.11</v>
      </c>
      <c r="P213">
        <f t="shared" si="169"/>
        <v>0</v>
      </c>
      <c r="Q213">
        <f>(ROUND((ROUND((((ET213*1.05*5))*AV213*I213),2)*BB213),2)+ROUND((ROUND(((AE213-((EU213*1.05*5)))*AV213*I213),2)*BS213),2))</f>
        <v>208.39</v>
      </c>
      <c r="R213">
        <f t="shared" si="171"/>
        <v>40.380000000000003</v>
      </c>
      <c r="S213">
        <f t="shared" si="172"/>
        <v>128.72</v>
      </c>
      <c r="T213">
        <f t="shared" si="173"/>
        <v>0</v>
      </c>
      <c r="U213">
        <f t="shared" si="174"/>
        <v>0.28550119500000004</v>
      </c>
      <c r="V213">
        <f t="shared" si="175"/>
        <v>0</v>
      </c>
      <c r="W213">
        <f t="shared" si="176"/>
        <v>0</v>
      </c>
      <c r="X213">
        <f t="shared" si="177"/>
        <v>172.48</v>
      </c>
      <c r="Y213">
        <f t="shared" si="178"/>
        <v>70.8</v>
      </c>
      <c r="AA213">
        <v>56610029</v>
      </c>
      <c r="AB213">
        <f t="shared" si="179"/>
        <v>208.79249999999999</v>
      </c>
      <c r="AC213">
        <f t="shared" si="180"/>
        <v>0</v>
      </c>
      <c r="AD213">
        <f>ROUND(((((ET213*1.05*5))-((EU213*1.05*5)))+AE213),6)</f>
        <v>172.41</v>
      </c>
      <c r="AE213">
        <f>ROUND(((EU213*1.05*5)),6)</f>
        <v>11.445</v>
      </c>
      <c r="AF213">
        <f>ROUND(((EV213*1.05*5)),6)</f>
        <v>36.3825</v>
      </c>
      <c r="AG213">
        <f t="shared" si="183"/>
        <v>0</v>
      </c>
      <c r="AH213">
        <f>((EW213*1.05*5))</f>
        <v>2.7825000000000006</v>
      </c>
      <c r="AI213">
        <f>((EX213*1.05*5))</f>
        <v>0</v>
      </c>
      <c r="AJ213">
        <f t="shared" si="185"/>
        <v>0</v>
      </c>
      <c r="AK213">
        <v>39.770000000000003</v>
      </c>
      <c r="AL213">
        <v>0</v>
      </c>
      <c r="AM213">
        <v>32.840000000000003</v>
      </c>
      <c r="AN213">
        <v>2.1800000000000002</v>
      </c>
      <c r="AO213">
        <v>6.93</v>
      </c>
      <c r="AP213">
        <v>0</v>
      </c>
      <c r="AQ213">
        <v>0.53</v>
      </c>
      <c r="AR213">
        <v>0</v>
      </c>
      <c r="AS213">
        <v>0</v>
      </c>
      <c r="AT213">
        <v>134</v>
      </c>
      <c r="AU213">
        <v>55</v>
      </c>
      <c r="AV213">
        <v>1.0469999999999999</v>
      </c>
      <c r="AW213">
        <v>1</v>
      </c>
      <c r="AZ213">
        <v>1</v>
      </c>
      <c r="BA213">
        <v>34.51</v>
      </c>
      <c r="BB213">
        <v>11.78</v>
      </c>
      <c r="BC213">
        <v>1</v>
      </c>
      <c r="BD213" t="s">
        <v>3</v>
      </c>
      <c r="BE213" t="s">
        <v>3</v>
      </c>
      <c r="BF213" t="s">
        <v>3</v>
      </c>
      <c r="BG213" t="s">
        <v>3</v>
      </c>
      <c r="BH213">
        <v>0</v>
      </c>
      <c r="BI213">
        <v>1</v>
      </c>
      <c r="BJ213" t="s">
        <v>325</v>
      </c>
      <c r="BM213">
        <v>158</v>
      </c>
      <c r="BN213">
        <v>0</v>
      </c>
      <c r="BO213" t="s">
        <v>323</v>
      </c>
      <c r="BP213">
        <v>1</v>
      </c>
      <c r="BQ213">
        <v>30</v>
      </c>
      <c r="BR213">
        <v>0</v>
      </c>
      <c r="BS213">
        <v>34.51</v>
      </c>
      <c r="BT213">
        <v>1</v>
      </c>
      <c r="BU213">
        <v>1</v>
      </c>
      <c r="BV213">
        <v>1</v>
      </c>
      <c r="BW213">
        <v>1</v>
      </c>
      <c r="BX213">
        <v>1</v>
      </c>
      <c r="BY213" t="s">
        <v>3</v>
      </c>
      <c r="BZ213">
        <v>134</v>
      </c>
      <c r="CA213">
        <v>55</v>
      </c>
      <c r="CB213" t="s">
        <v>3</v>
      </c>
      <c r="CE213">
        <v>30</v>
      </c>
      <c r="CF213">
        <v>0</v>
      </c>
      <c r="CG213">
        <v>0</v>
      </c>
      <c r="CM213">
        <v>0</v>
      </c>
      <c r="CN213" t="s">
        <v>708</v>
      </c>
      <c r="CO213">
        <v>0</v>
      </c>
      <c r="CP213">
        <f t="shared" si="186"/>
        <v>337.11</v>
      </c>
      <c r="CQ213">
        <f t="shared" si="187"/>
        <v>0</v>
      </c>
      <c r="CR213">
        <f>(ROUND((ROUND((((ET213*1.05*5))*AV213*1),2)*BB213),2)+ROUND((ROUND(((AE213-((EU213*1.05*5)))*AV213*1),2)*BS213),2))</f>
        <v>2126.41</v>
      </c>
      <c r="CS213">
        <f t="shared" si="189"/>
        <v>413.43</v>
      </c>
      <c r="CT213">
        <f t="shared" si="190"/>
        <v>1314.49</v>
      </c>
      <c r="CU213">
        <f t="shared" si="191"/>
        <v>0</v>
      </c>
      <c r="CV213">
        <f t="shared" si="192"/>
        <v>2.9132775000000004</v>
      </c>
      <c r="CW213">
        <f t="shared" si="193"/>
        <v>0</v>
      </c>
      <c r="CX213">
        <f t="shared" si="194"/>
        <v>0</v>
      </c>
      <c r="CY213">
        <f>S213*(BZ213/100)</f>
        <v>172.48480000000001</v>
      </c>
      <c r="CZ213">
        <f>S213*(CA213/100)</f>
        <v>70.796000000000006</v>
      </c>
      <c r="DC213" t="s">
        <v>3</v>
      </c>
      <c r="DD213" t="s">
        <v>3</v>
      </c>
      <c r="DE213" t="s">
        <v>326</v>
      </c>
      <c r="DF213" t="s">
        <v>326</v>
      </c>
      <c r="DG213" t="s">
        <v>326</v>
      </c>
      <c r="DH213" t="s">
        <v>3</v>
      </c>
      <c r="DI213" t="s">
        <v>326</v>
      </c>
      <c r="DJ213" t="s">
        <v>326</v>
      </c>
      <c r="DK213" t="s">
        <v>3</v>
      </c>
      <c r="DL213" t="s">
        <v>3</v>
      </c>
      <c r="DM213" t="s">
        <v>3</v>
      </c>
      <c r="DN213">
        <v>161</v>
      </c>
      <c r="DO213">
        <v>107</v>
      </c>
      <c r="DP213">
        <v>1.0469999999999999</v>
      </c>
      <c r="DQ213">
        <v>1</v>
      </c>
      <c r="DU213">
        <v>1013</v>
      </c>
      <c r="DV213" t="s">
        <v>95</v>
      </c>
      <c r="DW213" t="s">
        <v>95</v>
      </c>
      <c r="DX213">
        <v>1</v>
      </c>
      <c r="DZ213" t="s">
        <v>3</v>
      </c>
      <c r="EA213" t="s">
        <v>3</v>
      </c>
      <c r="EB213" t="s">
        <v>3</v>
      </c>
      <c r="EC213" t="s">
        <v>3</v>
      </c>
      <c r="EE213">
        <v>51696197</v>
      </c>
      <c r="EF213">
        <v>30</v>
      </c>
      <c r="EG213" t="s">
        <v>23</v>
      </c>
      <c r="EH213">
        <v>0</v>
      </c>
      <c r="EI213" t="s">
        <v>3</v>
      </c>
      <c r="EJ213">
        <v>1</v>
      </c>
      <c r="EK213">
        <v>158</v>
      </c>
      <c r="EL213" t="s">
        <v>313</v>
      </c>
      <c r="EM213" t="s">
        <v>314</v>
      </c>
      <c r="EO213" t="s">
        <v>26</v>
      </c>
      <c r="EQ213">
        <v>131072</v>
      </c>
      <c r="ER213">
        <v>39.770000000000003</v>
      </c>
      <c r="ES213">
        <v>0</v>
      </c>
      <c r="ET213">
        <v>32.840000000000003</v>
      </c>
      <c r="EU213">
        <v>2.1800000000000002</v>
      </c>
      <c r="EV213">
        <v>6.93</v>
      </c>
      <c r="EW213">
        <v>0.53</v>
      </c>
      <c r="EX213">
        <v>0</v>
      </c>
      <c r="EY213">
        <v>0</v>
      </c>
      <c r="FQ213">
        <v>0</v>
      </c>
      <c r="FR213">
        <v>0</v>
      </c>
      <c r="FS213">
        <v>0</v>
      </c>
      <c r="FX213">
        <v>161</v>
      </c>
      <c r="FY213">
        <v>107</v>
      </c>
      <c r="GA213" t="s">
        <v>3</v>
      </c>
      <c r="GD213">
        <v>0</v>
      </c>
      <c r="GF213">
        <v>-1968364840</v>
      </c>
      <c r="GG213">
        <v>2</v>
      </c>
      <c r="GH213">
        <v>1</v>
      </c>
      <c r="GI213">
        <v>2</v>
      </c>
      <c r="GJ213">
        <v>0</v>
      </c>
      <c r="GK213">
        <f>ROUND(R213*(S12)/100,2)</f>
        <v>64.61</v>
      </c>
      <c r="GL213">
        <f t="shared" si="195"/>
        <v>0</v>
      </c>
      <c r="GM213">
        <f t="shared" si="196"/>
        <v>645</v>
      </c>
      <c r="GN213">
        <f t="shared" si="197"/>
        <v>645</v>
      </c>
      <c r="GO213">
        <f t="shared" si="198"/>
        <v>0</v>
      </c>
      <c r="GP213">
        <f t="shared" si="199"/>
        <v>0</v>
      </c>
      <c r="GR213">
        <v>0</v>
      </c>
      <c r="GS213">
        <v>3</v>
      </c>
      <c r="GT213">
        <v>0</v>
      </c>
      <c r="GU213" t="s">
        <v>3</v>
      </c>
      <c r="GV213">
        <f t="shared" si="200"/>
        <v>0</v>
      </c>
      <c r="GW213">
        <v>1</v>
      </c>
      <c r="GX213">
        <f t="shared" si="201"/>
        <v>0</v>
      </c>
      <c r="HA213">
        <v>0</v>
      </c>
      <c r="HB213">
        <v>0</v>
      </c>
      <c r="HC213">
        <f t="shared" si="202"/>
        <v>0</v>
      </c>
      <c r="HE213" t="s">
        <v>3</v>
      </c>
      <c r="HF213" t="s">
        <v>3</v>
      </c>
      <c r="HM213" t="s">
        <v>3</v>
      </c>
      <c r="HN213" t="s">
        <v>3</v>
      </c>
      <c r="HO213" t="s">
        <v>3</v>
      </c>
      <c r="HP213" t="s">
        <v>3</v>
      </c>
      <c r="HQ213" t="s">
        <v>3</v>
      </c>
      <c r="HS213">
        <v>0</v>
      </c>
      <c r="IK213">
        <v>0</v>
      </c>
    </row>
    <row r="214" spans="1:255" x14ac:dyDescent="0.2">
      <c r="A214" s="2">
        <v>18</v>
      </c>
      <c r="B214" s="2">
        <v>1</v>
      </c>
      <c r="C214" s="2">
        <v>35</v>
      </c>
      <c r="D214" s="2"/>
      <c r="E214" s="2" t="s">
        <v>327</v>
      </c>
      <c r="F214" s="2" t="s">
        <v>316</v>
      </c>
      <c r="G214" s="2" t="s">
        <v>317</v>
      </c>
      <c r="H214" s="2" t="s">
        <v>318</v>
      </c>
      <c r="I214" s="2">
        <f>I212*J214</f>
        <v>1.1759999999999999</v>
      </c>
      <c r="J214" s="2">
        <v>11.999999999999998</v>
      </c>
      <c r="K214" s="2">
        <v>2.4</v>
      </c>
      <c r="L214" s="2"/>
      <c r="M214" s="2"/>
      <c r="N214" s="2"/>
      <c r="O214" s="2">
        <f t="shared" si="168"/>
        <v>348.92</v>
      </c>
      <c r="P214" s="2">
        <f t="shared" si="169"/>
        <v>348.92</v>
      </c>
      <c r="Q214" s="2">
        <f>(ROUND((ROUND(((ET214)*AV214*I214),2)*BB214),2)+ROUND((ROUND(((AE214-(EU214))*AV214*I214),2)*BS214),2))</f>
        <v>0</v>
      </c>
      <c r="R214" s="2">
        <f t="shared" si="171"/>
        <v>0</v>
      </c>
      <c r="S214" s="2">
        <f t="shared" si="172"/>
        <v>0</v>
      </c>
      <c r="T214" s="2">
        <f t="shared" si="173"/>
        <v>0</v>
      </c>
      <c r="U214" s="2">
        <f t="shared" si="174"/>
        <v>0</v>
      </c>
      <c r="V214" s="2">
        <f t="shared" si="175"/>
        <v>0</v>
      </c>
      <c r="W214" s="2">
        <f t="shared" si="176"/>
        <v>0</v>
      </c>
      <c r="X214" s="2">
        <f t="shared" si="177"/>
        <v>0</v>
      </c>
      <c r="Y214" s="2">
        <f t="shared" si="178"/>
        <v>0</v>
      </c>
      <c r="Z214" s="2"/>
      <c r="AA214" s="2">
        <v>56622490</v>
      </c>
      <c r="AB214" s="2">
        <f t="shared" si="179"/>
        <v>296.7</v>
      </c>
      <c r="AC214" s="2">
        <f t="shared" si="180"/>
        <v>296.7</v>
      </c>
      <c r="AD214" s="2">
        <f>ROUND((((ET214)-(EU214))+AE214),6)</f>
        <v>0</v>
      </c>
      <c r="AE214" s="2">
        <f>ROUND((EU214),6)</f>
        <v>0</v>
      </c>
      <c r="AF214" s="2">
        <f>ROUND((EV214),6)</f>
        <v>0</v>
      </c>
      <c r="AG214" s="2">
        <f t="shared" si="183"/>
        <v>0</v>
      </c>
      <c r="AH214" s="2">
        <f>(EW214)</f>
        <v>0</v>
      </c>
      <c r="AI214" s="2">
        <f>(EX214)</f>
        <v>0</v>
      </c>
      <c r="AJ214" s="2">
        <f t="shared" si="185"/>
        <v>0</v>
      </c>
      <c r="AK214" s="2">
        <v>296.7</v>
      </c>
      <c r="AL214" s="2">
        <v>296.7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161</v>
      </c>
      <c r="AU214" s="2">
        <v>107</v>
      </c>
      <c r="AV214" s="2">
        <v>1.0469999999999999</v>
      </c>
      <c r="AW214" s="2">
        <v>1</v>
      </c>
      <c r="AX214" s="2"/>
      <c r="AY214" s="2"/>
      <c r="AZ214" s="2">
        <v>1</v>
      </c>
      <c r="BA214" s="2">
        <v>1</v>
      </c>
      <c r="BB214" s="2">
        <v>1</v>
      </c>
      <c r="BC214" s="2">
        <v>1</v>
      </c>
      <c r="BD214" s="2" t="s">
        <v>3</v>
      </c>
      <c r="BE214" s="2" t="s">
        <v>3</v>
      </c>
      <c r="BF214" s="2" t="s">
        <v>3</v>
      </c>
      <c r="BG214" s="2" t="s">
        <v>3</v>
      </c>
      <c r="BH214" s="2">
        <v>3</v>
      </c>
      <c r="BI214" s="2">
        <v>1</v>
      </c>
      <c r="BJ214" s="2" t="s">
        <v>319</v>
      </c>
      <c r="BK214" s="2"/>
      <c r="BL214" s="2"/>
      <c r="BM214" s="2">
        <v>158</v>
      </c>
      <c r="BN214" s="2">
        <v>0</v>
      </c>
      <c r="BO214" s="2" t="s">
        <v>3</v>
      </c>
      <c r="BP214" s="2">
        <v>0</v>
      </c>
      <c r="BQ214" s="2">
        <v>30</v>
      </c>
      <c r="BR214" s="2">
        <v>0</v>
      </c>
      <c r="BS214" s="2">
        <v>1</v>
      </c>
      <c r="BT214" s="2">
        <v>1</v>
      </c>
      <c r="BU214" s="2">
        <v>1</v>
      </c>
      <c r="BV214" s="2">
        <v>1</v>
      </c>
      <c r="BW214" s="2">
        <v>1</v>
      </c>
      <c r="BX214" s="2">
        <v>1</v>
      </c>
      <c r="BY214" s="2" t="s">
        <v>3</v>
      </c>
      <c r="BZ214" s="2">
        <v>161</v>
      </c>
      <c r="CA214" s="2">
        <v>107</v>
      </c>
      <c r="CB214" s="2" t="s">
        <v>3</v>
      </c>
      <c r="CC214" s="2"/>
      <c r="CD214" s="2"/>
      <c r="CE214" s="2">
        <v>30</v>
      </c>
      <c r="CF214" s="2">
        <v>0</v>
      </c>
      <c r="CG214" s="2">
        <v>0</v>
      </c>
      <c r="CH214" s="2"/>
      <c r="CI214" s="2"/>
      <c r="CJ214" s="2"/>
      <c r="CK214" s="2"/>
      <c r="CL214" s="2"/>
      <c r="CM214" s="2">
        <v>0</v>
      </c>
      <c r="CN214" s="2" t="s">
        <v>708</v>
      </c>
      <c r="CO214" s="2">
        <v>0</v>
      </c>
      <c r="CP214" s="2">
        <f t="shared" si="186"/>
        <v>348.92</v>
      </c>
      <c r="CQ214" s="2">
        <f t="shared" si="187"/>
        <v>296.7</v>
      </c>
      <c r="CR214" s="2">
        <f>(ROUND((ROUND(((ET214)*AV214*1),2)*BB214),2)+ROUND((ROUND(((AE214-(EU214))*AV214*1),2)*BS214),2))</f>
        <v>0</v>
      </c>
      <c r="CS214" s="2">
        <f t="shared" si="189"/>
        <v>0</v>
      </c>
      <c r="CT214" s="2">
        <f t="shared" si="190"/>
        <v>0</v>
      </c>
      <c r="CU214" s="2">
        <f t="shared" si="191"/>
        <v>0</v>
      </c>
      <c r="CV214" s="2">
        <f t="shared" si="192"/>
        <v>0</v>
      </c>
      <c r="CW214" s="2">
        <f t="shared" si="193"/>
        <v>0</v>
      </c>
      <c r="CX214" s="2">
        <f t="shared" si="194"/>
        <v>0</v>
      </c>
      <c r="CY214" s="2">
        <f>((S214*BZ214)/100)</f>
        <v>0</v>
      </c>
      <c r="CZ214" s="2">
        <f>((S214*CA214)/100)</f>
        <v>0</v>
      </c>
      <c r="DA214" s="2"/>
      <c r="DB214" s="2"/>
      <c r="DC214" s="2" t="s">
        <v>3</v>
      </c>
      <c r="DD214" s="2" t="s">
        <v>3</v>
      </c>
      <c r="DE214" s="2" t="s">
        <v>3</v>
      </c>
      <c r="DF214" s="2" t="s">
        <v>3</v>
      </c>
      <c r="DG214" s="2" t="s">
        <v>3</v>
      </c>
      <c r="DH214" s="2" t="s">
        <v>3</v>
      </c>
      <c r="DI214" s="2" t="s">
        <v>3</v>
      </c>
      <c r="DJ214" s="2" t="s">
        <v>3</v>
      </c>
      <c r="DK214" s="2" t="s">
        <v>3</v>
      </c>
      <c r="DL214" s="2" t="s">
        <v>3</v>
      </c>
      <c r="DM214" s="2" t="s">
        <v>3</v>
      </c>
      <c r="DN214" s="2">
        <v>0</v>
      </c>
      <c r="DO214" s="2">
        <v>0</v>
      </c>
      <c r="DP214" s="2">
        <v>1</v>
      </c>
      <c r="DQ214" s="2">
        <v>1</v>
      </c>
      <c r="DR214" s="2"/>
      <c r="DS214" s="2"/>
      <c r="DT214" s="2"/>
      <c r="DU214" s="2">
        <v>1009</v>
      </c>
      <c r="DV214" s="2" t="s">
        <v>318</v>
      </c>
      <c r="DW214" s="2" t="s">
        <v>318</v>
      </c>
      <c r="DX214" s="2">
        <v>1000</v>
      </c>
      <c r="DY214" s="2"/>
      <c r="DZ214" s="2" t="s">
        <v>3</v>
      </c>
      <c r="EA214" s="2" t="s">
        <v>3</v>
      </c>
      <c r="EB214" s="2" t="s">
        <v>3</v>
      </c>
      <c r="EC214" s="2" t="s">
        <v>3</v>
      </c>
      <c r="ED214" s="2"/>
      <c r="EE214" s="2">
        <v>51696197</v>
      </c>
      <c r="EF214" s="2">
        <v>30</v>
      </c>
      <c r="EG214" s="2" t="s">
        <v>23</v>
      </c>
      <c r="EH214" s="2">
        <v>0</v>
      </c>
      <c r="EI214" s="2" t="s">
        <v>3</v>
      </c>
      <c r="EJ214" s="2">
        <v>1</v>
      </c>
      <c r="EK214" s="2">
        <v>158</v>
      </c>
      <c r="EL214" s="2" t="s">
        <v>313</v>
      </c>
      <c r="EM214" s="2" t="s">
        <v>314</v>
      </c>
      <c r="EN214" s="2"/>
      <c r="EO214" s="2" t="s">
        <v>26</v>
      </c>
      <c r="EP214" s="2"/>
      <c r="EQ214" s="2">
        <v>0</v>
      </c>
      <c r="ER214" s="2">
        <v>296.7</v>
      </c>
      <c r="ES214" s="2">
        <v>296.7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>
        <v>0</v>
      </c>
      <c r="FR214" s="2">
        <v>0</v>
      </c>
      <c r="FS214" s="2">
        <v>0</v>
      </c>
      <c r="FT214" s="2"/>
      <c r="FU214" s="2"/>
      <c r="FV214" s="2"/>
      <c r="FW214" s="2"/>
      <c r="FX214" s="2">
        <v>161</v>
      </c>
      <c r="FY214" s="2">
        <v>107</v>
      </c>
      <c r="FZ214" s="2"/>
      <c r="GA214" s="2" t="s">
        <v>3</v>
      </c>
      <c r="GB214" s="2"/>
      <c r="GC214" s="2"/>
      <c r="GD214" s="2">
        <v>0</v>
      </c>
      <c r="GE214" s="2"/>
      <c r="GF214" s="2">
        <v>1855215121</v>
      </c>
      <c r="GG214" s="2">
        <v>2</v>
      </c>
      <c r="GH214" s="2">
        <v>1</v>
      </c>
      <c r="GI214" s="2">
        <v>-2</v>
      </c>
      <c r="GJ214" s="2">
        <v>0</v>
      </c>
      <c r="GK214" s="2">
        <f>ROUND(R214*(R12)/100,2)</f>
        <v>0</v>
      </c>
      <c r="GL214" s="2">
        <f t="shared" si="195"/>
        <v>0</v>
      </c>
      <c r="GM214" s="2">
        <f t="shared" si="196"/>
        <v>348.92</v>
      </c>
      <c r="GN214" s="2">
        <f t="shared" si="197"/>
        <v>348.92</v>
      </c>
      <c r="GO214" s="2">
        <f t="shared" si="198"/>
        <v>0</v>
      </c>
      <c r="GP214" s="2">
        <f t="shared" si="199"/>
        <v>0</v>
      </c>
      <c r="GQ214" s="2"/>
      <c r="GR214" s="2">
        <v>0</v>
      </c>
      <c r="GS214" s="2">
        <v>0</v>
      </c>
      <c r="GT214" s="2">
        <v>0</v>
      </c>
      <c r="GU214" s="2" t="s">
        <v>3</v>
      </c>
      <c r="GV214" s="2">
        <f t="shared" si="200"/>
        <v>0</v>
      </c>
      <c r="GW214" s="2">
        <v>1</v>
      </c>
      <c r="GX214" s="2">
        <f t="shared" si="201"/>
        <v>0</v>
      </c>
      <c r="GY214" s="2"/>
      <c r="GZ214" s="2"/>
      <c r="HA214" s="2">
        <v>0</v>
      </c>
      <c r="HB214" s="2">
        <v>0</v>
      </c>
      <c r="HC214" s="2">
        <f t="shared" si="202"/>
        <v>0</v>
      </c>
      <c r="HD214" s="2"/>
      <c r="HE214" s="2" t="s">
        <v>3</v>
      </c>
      <c r="HF214" s="2" t="s">
        <v>3</v>
      </c>
      <c r="HG214" s="2"/>
      <c r="HH214" s="2"/>
      <c r="HI214" s="2"/>
      <c r="HJ214" s="2"/>
      <c r="HK214" s="2"/>
      <c r="HL214" s="2"/>
      <c r="HM214" s="2" t="s">
        <v>328</v>
      </c>
      <c r="HN214" s="2" t="s">
        <v>3</v>
      </c>
      <c r="HO214" s="2" t="s">
        <v>3</v>
      </c>
      <c r="HP214" s="2" t="s">
        <v>3</v>
      </c>
      <c r="HQ214" s="2" t="s">
        <v>3</v>
      </c>
      <c r="HR214" s="2"/>
      <c r="HS214" s="2">
        <v>0</v>
      </c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>
        <v>0</v>
      </c>
      <c r="IL214" s="2"/>
      <c r="IM214" s="2"/>
      <c r="IN214" s="2"/>
      <c r="IO214" s="2"/>
      <c r="IP214" s="2"/>
      <c r="IQ214" s="2"/>
      <c r="IR214" s="2"/>
      <c r="IS214" s="2"/>
      <c r="IT214" s="2"/>
      <c r="IU214" s="2"/>
    </row>
    <row r="215" spans="1:255" x14ac:dyDescent="0.2">
      <c r="A215">
        <v>18</v>
      </c>
      <c r="B215">
        <v>1</v>
      </c>
      <c r="C215">
        <v>36</v>
      </c>
      <c r="E215" t="s">
        <v>327</v>
      </c>
      <c r="F215" t="s">
        <v>316</v>
      </c>
      <c r="G215" t="s">
        <v>317</v>
      </c>
      <c r="H215" t="s">
        <v>318</v>
      </c>
      <c r="I215">
        <f>I213*J215</f>
        <v>1.1759999999999999</v>
      </c>
      <c r="J215">
        <v>11.999999999999998</v>
      </c>
      <c r="K215">
        <v>2.4</v>
      </c>
      <c r="O215">
        <f t="shared" si="168"/>
        <v>5369.88</v>
      </c>
      <c r="P215">
        <f t="shared" si="169"/>
        <v>5369.88</v>
      </c>
      <c r="Q215">
        <f>(ROUND((ROUND(((ET215)*AV215*I215),2)*BB215),2)+ROUND((ROUND(((AE215-(EU215))*AV215*I215),2)*BS215),2))</f>
        <v>0</v>
      </c>
      <c r="R215">
        <f t="shared" si="171"/>
        <v>0</v>
      </c>
      <c r="S215">
        <f t="shared" si="172"/>
        <v>0</v>
      </c>
      <c r="T215">
        <f t="shared" si="173"/>
        <v>0</v>
      </c>
      <c r="U215">
        <f t="shared" si="174"/>
        <v>0</v>
      </c>
      <c r="V215">
        <f t="shared" si="175"/>
        <v>0</v>
      </c>
      <c r="W215">
        <f t="shared" si="176"/>
        <v>0</v>
      </c>
      <c r="X215">
        <f t="shared" si="177"/>
        <v>0</v>
      </c>
      <c r="Y215">
        <f t="shared" si="178"/>
        <v>0</v>
      </c>
      <c r="AA215">
        <v>56610029</v>
      </c>
      <c r="AB215">
        <f t="shared" si="179"/>
        <v>296.7</v>
      </c>
      <c r="AC215">
        <f t="shared" si="180"/>
        <v>296.7</v>
      </c>
      <c r="AD215">
        <f>ROUND((((ET215)-(EU215))+AE215),6)</f>
        <v>0</v>
      </c>
      <c r="AE215">
        <f>ROUND((EU215),6)</f>
        <v>0</v>
      </c>
      <c r="AF215">
        <f>ROUND((EV215),6)</f>
        <v>0</v>
      </c>
      <c r="AG215">
        <f t="shared" si="183"/>
        <v>0</v>
      </c>
      <c r="AH215">
        <f>(EW215)</f>
        <v>0</v>
      </c>
      <c r="AI215">
        <f>(EX215)</f>
        <v>0</v>
      </c>
      <c r="AJ215">
        <f t="shared" si="185"/>
        <v>0</v>
      </c>
      <c r="AK215">
        <v>296.7</v>
      </c>
      <c r="AL215">
        <v>296.7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  <c r="AW215">
        <v>1</v>
      </c>
      <c r="AZ215">
        <v>1</v>
      </c>
      <c r="BA215">
        <v>1</v>
      </c>
      <c r="BB215">
        <v>1</v>
      </c>
      <c r="BC215">
        <v>15.39</v>
      </c>
      <c r="BD215" t="s">
        <v>3</v>
      </c>
      <c r="BE215" t="s">
        <v>3</v>
      </c>
      <c r="BF215" t="s">
        <v>3</v>
      </c>
      <c r="BG215" t="s">
        <v>3</v>
      </c>
      <c r="BH215">
        <v>3</v>
      </c>
      <c r="BI215">
        <v>1</v>
      </c>
      <c r="BJ215" t="s">
        <v>319</v>
      </c>
      <c r="BM215">
        <v>158</v>
      </c>
      <c r="BN215">
        <v>0</v>
      </c>
      <c r="BO215" t="s">
        <v>316</v>
      </c>
      <c r="BP215">
        <v>1</v>
      </c>
      <c r="BQ215">
        <v>30</v>
      </c>
      <c r="BR215">
        <v>0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 t="s">
        <v>3</v>
      </c>
      <c r="BZ215">
        <v>0</v>
      </c>
      <c r="CA215">
        <v>0</v>
      </c>
      <c r="CB215" t="s">
        <v>3</v>
      </c>
      <c r="CE215">
        <v>30</v>
      </c>
      <c r="CF215">
        <v>0</v>
      </c>
      <c r="CG215">
        <v>0</v>
      </c>
      <c r="CM215">
        <v>0</v>
      </c>
      <c r="CN215" t="s">
        <v>708</v>
      </c>
      <c r="CO215">
        <v>0</v>
      </c>
      <c r="CP215">
        <f t="shared" si="186"/>
        <v>5369.88</v>
      </c>
      <c r="CQ215">
        <f t="shared" si="187"/>
        <v>4566.21</v>
      </c>
      <c r="CR215">
        <f>(ROUND((ROUND(((ET215)*AV215*1),2)*BB215),2)+ROUND((ROUND(((AE215-(EU215))*AV215*1),2)*BS215),2))</f>
        <v>0</v>
      </c>
      <c r="CS215">
        <f t="shared" si="189"/>
        <v>0</v>
      </c>
      <c r="CT215">
        <f t="shared" si="190"/>
        <v>0</v>
      </c>
      <c r="CU215">
        <f t="shared" si="191"/>
        <v>0</v>
      </c>
      <c r="CV215">
        <f t="shared" si="192"/>
        <v>0</v>
      </c>
      <c r="CW215">
        <f t="shared" si="193"/>
        <v>0</v>
      </c>
      <c r="CX215">
        <f t="shared" si="194"/>
        <v>0</v>
      </c>
      <c r="CY215">
        <f>S215*(BZ215/100)</f>
        <v>0</v>
      </c>
      <c r="CZ215">
        <f>S215*(CA215/100)</f>
        <v>0</v>
      </c>
      <c r="DC215" t="s">
        <v>3</v>
      </c>
      <c r="DD215" t="s">
        <v>3</v>
      </c>
      <c r="DE215" t="s">
        <v>3</v>
      </c>
      <c r="DF215" t="s">
        <v>3</v>
      </c>
      <c r="DG215" t="s">
        <v>3</v>
      </c>
      <c r="DH215" t="s">
        <v>3</v>
      </c>
      <c r="DI215" t="s">
        <v>3</v>
      </c>
      <c r="DJ215" t="s">
        <v>3</v>
      </c>
      <c r="DK215" t="s">
        <v>3</v>
      </c>
      <c r="DL215" t="s">
        <v>3</v>
      </c>
      <c r="DM215" t="s">
        <v>3</v>
      </c>
      <c r="DN215">
        <v>161</v>
      </c>
      <c r="DO215">
        <v>107</v>
      </c>
      <c r="DP215">
        <v>1.0469999999999999</v>
      </c>
      <c r="DQ215">
        <v>1</v>
      </c>
      <c r="DU215">
        <v>1009</v>
      </c>
      <c r="DV215" t="s">
        <v>318</v>
      </c>
      <c r="DW215" t="s">
        <v>318</v>
      </c>
      <c r="DX215">
        <v>1000</v>
      </c>
      <c r="DZ215" t="s">
        <v>3</v>
      </c>
      <c r="EA215" t="s">
        <v>3</v>
      </c>
      <c r="EB215" t="s">
        <v>3</v>
      </c>
      <c r="EC215" t="s">
        <v>3</v>
      </c>
      <c r="EE215">
        <v>51696197</v>
      </c>
      <c r="EF215">
        <v>30</v>
      </c>
      <c r="EG215" t="s">
        <v>23</v>
      </c>
      <c r="EH215">
        <v>0</v>
      </c>
      <c r="EI215" t="s">
        <v>3</v>
      </c>
      <c r="EJ215">
        <v>1</v>
      </c>
      <c r="EK215">
        <v>158</v>
      </c>
      <c r="EL215" t="s">
        <v>313</v>
      </c>
      <c r="EM215" t="s">
        <v>314</v>
      </c>
      <c r="EO215" t="s">
        <v>26</v>
      </c>
      <c r="EQ215">
        <v>0</v>
      </c>
      <c r="ER215">
        <v>296.7</v>
      </c>
      <c r="ES215">
        <v>296.7</v>
      </c>
      <c r="ET215">
        <v>0</v>
      </c>
      <c r="EU215">
        <v>0</v>
      </c>
      <c r="EV215">
        <v>0</v>
      </c>
      <c r="EW215">
        <v>0</v>
      </c>
      <c r="EX215">
        <v>0</v>
      </c>
      <c r="FQ215">
        <v>0</v>
      </c>
      <c r="FR215">
        <v>0</v>
      </c>
      <c r="FS215">
        <v>0</v>
      </c>
      <c r="FX215">
        <v>161</v>
      </c>
      <c r="FY215">
        <v>107</v>
      </c>
      <c r="GA215" t="s">
        <v>3</v>
      </c>
      <c r="GD215">
        <v>0</v>
      </c>
      <c r="GF215">
        <v>1855215121</v>
      </c>
      <c r="GG215">
        <v>2</v>
      </c>
      <c r="GH215">
        <v>1</v>
      </c>
      <c r="GI215">
        <v>2</v>
      </c>
      <c r="GJ215">
        <v>0</v>
      </c>
      <c r="GK215">
        <f>ROUND(R215*(S12)/100,2)</f>
        <v>0</v>
      </c>
      <c r="GL215">
        <f t="shared" si="195"/>
        <v>0</v>
      </c>
      <c r="GM215">
        <f t="shared" si="196"/>
        <v>5369.88</v>
      </c>
      <c r="GN215">
        <f t="shared" si="197"/>
        <v>5369.88</v>
      </c>
      <c r="GO215">
        <f t="shared" si="198"/>
        <v>0</v>
      </c>
      <c r="GP215">
        <f t="shared" si="199"/>
        <v>0</v>
      </c>
      <c r="GR215">
        <v>0</v>
      </c>
      <c r="GS215">
        <v>3</v>
      </c>
      <c r="GT215">
        <v>0</v>
      </c>
      <c r="GU215" t="s">
        <v>3</v>
      </c>
      <c r="GV215">
        <f t="shared" si="200"/>
        <v>0</v>
      </c>
      <c r="GW215">
        <v>1</v>
      </c>
      <c r="GX215">
        <f t="shared" si="201"/>
        <v>0</v>
      </c>
      <c r="HA215">
        <v>0</v>
      </c>
      <c r="HB215">
        <v>0</v>
      </c>
      <c r="HC215">
        <f t="shared" si="202"/>
        <v>0</v>
      </c>
      <c r="HE215" t="s">
        <v>3</v>
      </c>
      <c r="HF215" t="s">
        <v>3</v>
      </c>
      <c r="HM215" t="s">
        <v>328</v>
      </c>
      <c r="HN215" t="s">
        <v>3</v>
      </c>
      <c r="HO215" t="s">
        <v>3</v>
      </c>
      <c r="HP215" t="s">
        <v>3</v>
      </c>
      <c r="HQ215" t="s">
        <v>3</v>
      </c>
      <c r="HS215">
        <v>0</v>
      </c>
      <c r="IK215">
        <v>0</v>
      </c>
    </row>
    <row r="216" spans="1:255" x14ac:dyDescent="0.2">
      <c r="A216" s="2">
        <v>17</v>
      </c>
      <c r="B216" s="2">
        <v>1</v>
      </c>
      <c r="C216" s="2">
        <f>ROW(SmtRes!A37)</f>
        <v>37</v>
      </c>
      <c r="D216" s="2">
        <f>ROW(EtalonRes!A459)</f>
        <v>459</v>
      </c>
      <c r="E216" s="2" t="s">
        <v>329</v>
      </c>
      <c r="F216" s="2" t="s">
        <v>310</v>
      </c>
      <c r="G216" s="2" t="s">
        <v>311</v>
      </c>
      <c r="H216" s="2" t="s">
        <v>95</v>
      </c>
      <c r="I216" s="2">
        <f>ROUND(27/100,9)</f>
        <v>0.27</v>
      </c>
      <c r="J216" s="2">
        <v>0</v>
      </c>
      <c r="K216" s="2">
        <f>ROUND(27/100,9)</f>
        <v>0.27</v>
      </c>
      <c r="L216" s="2"/>
      <c r="M216" s="2"/>
      <c r="N216" s="2"/>
      <c r="O216" s="2">
        <f t="shared" si="168"/>
        <v>189.11</v>
      </c>
      <c r="P216" s="2">
        <f t="shared" si="169"/>
        <v>15.61</v>
      </c>
      <c r="Q216" s="2">
        <f>(ROUND((ROUND((((ET216*1.05))*AV216*I216),2)*BB216),2)+ROUND((ROUND(((AE216-((EU216*1.05)))*AV216*I216),2)*BS216),2))</f>
        <v>158.01</v>
      </c>
      <c r="R216" s="2">
        <f t="shared" si="171"/>
        <v>13.83</v>
      </c>
      <c r="S216" s="2">
        <f t="shared" si="172"/>
        <v>15.49</v>
      </c>
      <c r="T216" s="2">
        <f t="shared" si="173"/>
        <v>0</v>
      </c>
      <c r="U216" s="2">
        <f t="shared" si="174"/>
        <v>1.273377105</v>
      </c>
      <c r="V216" s="2">
        <f t="shared" si="175"/>
        <v>0</v>
      </c>
      <c r="W216" s="2">
        <f t="shared" si="176"/>
        <v>0</v>
      </c>
      <c r="X216" s="2">
        <f t="shared" si="177"/>
        <v>24.94</v>
      </c>
      <c r="Y216" s="2">
        <f t="shared" si="178"/>
        <v>16.57</v>
      </c>
      <c r="Z216" s="2"/>
      <c r="AA216" s="2">
        <v>56622490</v>
      </c>
      <c r="AB216" s="2">
        <f t="shared" si="179"/>
        <v>671.57600000000002</v>
      </c>
      <c r="AC216" s="2">
        <f t="shared" si="180"/>
        <v>57.83</v>
      </c>
      <c r="AD216" s="2">
        <f>ROUND(((((ET216*1.05))-((EU216*1.05)))+AE216),6)</f>
        <v>558.96749999999997</v>
      </c>
      <c r="AE216" s="2">
        <f>ROUND(((EU216*1.05)),6)</f>
        <v>48.908999999999999</v>
      </c>
      <c r="AF216" s="2">
        <f>ROUND(((EV216*1.05)),6)</f>
        <v>54.778500000000001</v>
      </c>
      <c r="AG216" s="2">
        <f t="shared" si="183"/>
        <v>0</v>
      </c>
      <c r="AH216" s="2">
        <f>((EW216*1.05))</f>
        <v>4.5045000000000002</v>
      </c>
      <c r="AI216" s="2">
        <f>((EX216*1.05))</f>
        <v>0</v>
      </c>
      <c r="AJ216" s="2">
        <f t="shared" si="185"/>
        <v>0</v>
      </c>
      <c r="AK216" s="2">
        <v>642.35</v>
      </c>
      <c r="AL216" s="2">
        <v>57.83</v>
      </c>
      <c r="AM216" s="2">
        <v>532.35</v>
      </c>
      <c r="AN216" s="2">
        <v>46.58</v>
      </c>
      <c r="AO216" s="2">
        <v>52.17</v>
      </c>
      <c r="AP216" s="2">
        <v>0</v>
      </c>
      <c r="AQ216" s="2">
        <v>4.29</v>
      </c>
      <c r="AR216" s="2">
        <v>0</v>
      </c>
      <c r="AS216" s="2">
        <v>0</v>
      </c>
      <c r="AT216" s="2">
        <v>161</v>
      </c>
      <c r="AU216" s="2">
        <v>107</v>
      </c>
      <c r="AV216" s="2">
        <v>1.0469999999999999</v>
      </c>
      <c r="AW216" s="2">
        <v>1</v>
      </c>
      <c r="AX216" s="2"/>
      <c r="AY216" s="2"/>
      <c r="AZ216" s="2">
        <v>1</v>
      </c>
      <c r="BA216" s="2">
        <v>1</v>
      </c>
      <c r="BB216" s="2">
        <v>1</v>
      </c>
      <c r="BC216" s="2">
        <v>1</v>
      </c>
      <c r="BD216" s="2" t="s">
        <v>3</v>
      </c>
      <c r="BE216" s="2" t="s">
        <v>3</v>
      </c>
      <c r="BF216" s="2" t="s">
        <v>3</v>
      </c>
      <c r="BG216" s="2" t="s">
        <v>3</v>
      </c>
      <c r="BH216" s="2">
        <v>0</v>
      </c>
      <c r="BI216" s="2">
        <v>1</v>
      </c>
      <c r="BJ216" s="2" t="s">
        <v>312</v>
      </c>
      <c r="BK216" s="2"/>
      <c r="BL216" s="2"/>
      <c r="BM216" s="2">
        <v>158</v>
      </c>
      <c r="BN216" s="2">
        <v>0</v>
      </c>
      <c r="BO216" s="2" t="s">
        <v>3</v>
      </c>
      <c r="BP216" s="2">
        <v>0</v>
      </c>
      <c r="BQ216" s="2">
        <v>30</v>
      </c>
      <c r="BR216" s="2">
        <v>0</v>
      </c>
      <c r="BS216" s="2">
        <v>1</v>
      </c>
      <c r="BT216" s="2">
        <v>1</v>
      </c>
      <c r="BU216" s="2">
        <v>1</v>
      </c>
      <c r="BV216" s="2">
        <v>1</v>
      </c>
      <c r="BW216" s="2">
        <v>1</v>
      </c>
      <c r="BX216" s="2">
        <v>1</v>
      </c>
      <c r="BY216" s="2" t="s">
        <v>3</v>
      </c>
      <c r="BZ216" s="2">
        <v>161</v>
      </c>
      <c r="CA216" s="2">
        <v>107</v>
      </c>
      <c r="CB216" s="2" t="s">
        <v>3</v>
      </c>
      <c r="CC216" s="2"/>
      <c r="CD216" s="2"/>
      <c r="CE216" s="2">
        <v>30</v>
      </c>
      <c r="CF216" s="2">
        <v>0</v>
      </c>
      <c r="CG216" s="2">
        <v>0</v>
      </c>
      <c r="CH216" s="2"/>
      <c r="CI216" s="2"/>
      <c r="CJ216" s="2"/>
      <c r="CK216" s="2"/>
      <c r="CL216" s="2"/>
      <c r="CM216" s="2">
        <v>0</v>
      </c>
      <c r="CN216" s="2" t="s">
        <v>708</v>
      </c>
      <c r="CO216" s="2">
        <v>0</v>
      </c>
      <c r="CP216" s="2">
        <f t="shared" si="186"/>
        <v>189.11</v>
      </c>
      <c r="CQ216" s="2">
        <f t="shared" si="187"/>
        <v>57.83</v>
      </c>
      <c r="CR216" s="2">
        <f>(ROUND((ROUND((((ET216*1.05))*AV216*1),2)*BB216),2)+ROUND((ROUND(((AE216-((EU216*1.05)))*AV216*1),2)*BS216),2))</f>
        <v>585.24</v>
      </c>
      <c r="CS216" s="2">
        <f t="shared" si="189"/>
        <v>51.21</v>
      </c>
      <c r="CT216" s="2">
        <f t="shared" si="190"/>
        <v>57.35</v>
      </c>
      <c r="CU216" s="2">
        <f t="shared" si="191"/>
        <v>0</v>
      </c>
      <c r="CV216" s="2">
        <f t="shared" si="192"/>
        <v>4.7162115</v>
      </c>
      <c r="CW216" s="2">
        <f t="shared" si="193"/>
        <v>0</v>
      </c>
      <c r="CX216" s="2">
        <f t="shared" si="194"/>
        <v>0</v>
      </c>
      <c r="CY216" s="2">
        <f>((S216*BZ216)/100)</f>
        <v>24.9389</v>
      </c>
      <c r="CZ216" s="2">
        <f>((S216*CA216)/100)</f>
        <v>16.574300000000001</v>
      </c>
      <c r="DA216" s="2"/>
      <c r="DB216" s="2">
        <v>99</v>
      </c>
      <c r="DC216" s="2" t="s">
        <v>3</v>
      </c>
      <c r="DD216" s="2" t="s">
        <v>3</v>
      </c>
      <c r="DE216" s="2" t="s">
        <v>22</v>
      </c>
      <c r="DF216" s="2" t="s">
        <v>22</v>
      </c>
      <c r="DG216" s="2" t="s">
        <v>22</v>
      </c>
      <c r="DH216" s="2" t="s">
        <v>3</v>
      </c>
      <c r="DI216" s="2" t="s">
        <v>22</v>
      </c>
      <c r="DJ216" s="2" t="s">
        <v>22</v>
      </c>
      <c r="DK216" s="2" t="s">
        <v>3</v>
      </c>
      <c r="DL216" s="2" t="s">
        <v>3</v>
      </c>
      <c r="DM216" s="2" t="s">
        <v>3</v>
      </c>
      <c r="DN216" s="2">
        <v>0</v>
      </c>
      <c r="DO216" s="2">
        <v>0</v>
      </c>
      <c r="DP216" s="2">
        <v>1</v>
      </c>
      <c r="DQ216" s="2">
        <v>1</v>
      </c>
      <c r="DR216" s="2"/>
      <c r="DS216" s="2"/>
      <c r="DT216" s="2"/>
      <c r="DU216" s="2">
        <v>1013</v>
      </c>
      <c r="DV216" s="2" t="s">
        <v>95</v>
      </c>
      <c r="DW216" s="2" t="s">
        <v>95</v>
      </c>
      <c r="DX216" s="2">
        <v>1</v>
      </c>
      <c r="DY216" s="2"/>
      <c r="DZ216" s="2" t="s">
        <v>3</v>
      </c>
      <c r="EA216" s="2" t="s">
        <v>3</v>
      </c>
      <c r="EB216" s="2" t="s">
        <v>3</v>
      </c>
      <c r="EC216" s="2" t="s">
        <v>3</v>
      </c>
      <c r="ED216" s="2"/>
      <c r="EE216" s="2">
        <v>51696197</v>
      </c>
      <c r="EF216" s="2">
        <v>30</v>
      </c>
      <c r="EG216" s="2" t="s">
        <v>23</v>
      </c>
      <c r="EH216" s="2">
        <v>0</v>
      </c>
      <c r="EI216" s="2" t="s">
        <v>3</v>
      </c>
      <c r="EJ216" s="2">
        <v>1</v>
      </c>
      <c r="EK216" s="2">
        <v>158</v>
      </c>
      <c r="EL216" s="2" t="s">
        <v>313</v>
      </c>
      <c r="EM216" s="2" t="s">
        <v>314</v>
      </c>
      <c r="EN216" s="2"/>
      <c r="EO216" s="2" t="s">
        <v>26</v>
      </c>
      <c r="EP216" s="2"/>
      <c r="EQ216" s="2">
        <v>131072</v>
      </c>
      <c r="ER216" s="2">
        <v>642.35</v>
      </c>
      <c r="ES216" s="2">
        <v>57.83</v>
      </c>
      <c r="ET216" s="2">
        <v>532.35</v>
      </c>
      <c r="EU216" s="2">
        <v>46.58</v>
      </c>
      <c r="EV216" s="2">
        <v>52.17</v>
      </c>
      <c r="EW216" s="2">
        <v>4.29</v>
      </c>
      <c r="EX216" s="2">
        <v>0</v>
      </c>
      <c r="EY216" s="2">
        <v>0</v>
      </c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>
        <v>0</v>
      </c>
      <c r="FR216" s="2">
        <v>0</v>
      </c>
      <c r="FS216" s="2">
        <v>0</v>
      </c>
      <c r="FT216" s="2"/>
      <c r="FU216" s="2"/>
      <c r="FV216" s="2"/>
      <c r="FW216" s="2"/>
      <c r="FX216" s="2">
        <v>161</v>
      </c>
      <c r="FY216" s="2">
        <v>107</v>
      </c>
      <c r="FZ216" s="2"/>
      <c r="GA216" s="2" t="s">
        <v>3</v>
      </c>
      <c r="GB216" s="2"/>
      <c r="GC216" s="2"/>
      <c r="GD216" s="2">
        <v>0</v>
      </c>
      <c r="GE216" s="2"/>
      <c r="GF216" s="2">
        <v>-399398241</v>
      </c>
      <c r="GG216" s="2">
        <v>2</v>
      </c>
      <c r="GH216" s="2">
        <v>1</v>
      </c>
      <c r="GI216" s="2">
        <v>-2</v>
      </c>
      <c r="GJ216" s="2">
        <v>0</v>
      </c>
      <c r="GK216" s="2">
        <f>ROUND(R216*(R12)/100,2)</f>
        <v>24.2</v>
      </c>
      <c r="GL216" s="2">
        <f t="shared" si="195"/>
        <v>0</v>
      </c>
      <c r="GM216" s="2">
        <f t="shared" si="196"/>
        <v>254.82</v>
      </c>
      <c r="GN216" s="2">
        <f t="shared" si="197"/>
        <v>254.82</v>
      </c>
      <c r="GO216" s="2">
        <f t="shared" si="198"/>
        <v>0</v>
      </c>
      <c r="GP216" s="2">
        <f t="shared" si="199"/>
        <v>0</v>
      </c>
      <c r="GQ216" s="2"/>
      <c r="GR216" s="2">
        <v>0</v>
      </c>
      <c r="GS216" s="2">
        <v>0</v>
      </c>
      <c r="GT216" s="2">
        <v>0</v>
      </c>
      <c r="GU216" s="2" t="s">
        <v>3</v>
      </c>
      <c r="GV216" s="2">
        <f t="shared" si="200"/>
        <v>0</v>
      </c>
      <c r="GW216" s="2">
        <v>1</v>
      </c>
      <c r="GX216" s="2">
        <f t="shared" si="201"/>
        <v>0</v>
      </c>
      <c r="GY216" s="2"/>
      <c r="GZ216" s="2"/>
      <c r="HA216" s="2">
        <v>0</v>
      </c>
      <c r="HB216" s="2">
        <v>0</v>
      </c>
      <c r="HC216" s="2">
        <f t="shared" si="202"/>
        <v>0</v>
      </c>
      <c r="HD216" s="2"/>
      <c r="HE216" s="2" t="s">
        <v>3</v>
      </c>
      <c r="HF216" s="2" t="s">
        <v>3</v>
      </c>
      <c r="HG216" s="2"/>
      <c r="HH216" s="2"/>
      <c r="HI216" s="2"/>
      <c r="HJ216" s="2"/>
      <c r="HK216" s="2"/>
      <c r="HL216" s="2"/>
      <c r="HM216" s="2" t="s">
        <v>3</v>
      </c>
      <c r="HN216" s="2" t="s">
        <v>3</v>
      </c>
      <c r="HO216" s="2" t="s">
        <v>3</v>
      </c>
      <c r="HP216" s="2" t="s">
        <v>3</v>
      </c>
      <c r="HQ216" s="2" t="s">
        <v>3</v>
      </c>
      <c r="HR216" s="2"/>
      <c r="HS216" s="2">
        <v>0</v>
      </c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>
        <v>0</v>
      </c>
      <c r="IL216" s="2"/>
      <c r="IM216" s="2"/>
      <c r="IN216" s="2"/>
      <c r="IO216" s="2"/>
      <c r="IP216" s="2"/>
      <c r="IQ216" s="2"/>
      <c r="IR216" s="2"/>
      <c r="IS216" s="2"/>
      <c r="IT216" s="2"/>
      <c r="IU216" s="2"/>
    </row>
    <row r="217" spans="1:255" x14ac:dyDescent="0.2">
      <c r="A217">
        <v>17</v>
      </c>
      <c r="B217">
        <v>1</v>
      </c>
      <c r="C217">
        <f>ROW(SmtRes!A38)</f>
        <v>38</v>
      </c>
      <c r="D217">
        <f>ROW(EtalonRes!A470)</f>
        <v>470</v>
      </c>
      <c r="E217" t="s">
        <v>329</v>
      </c>
      <c r="F217" t="s">
        <v>310</v>
      </c>
      <c r="G217" t="s">
        <v>311</v>
      </c>
      <c r="H217" t="s">
        <v>95</v>
      </c>
      <c r="I217">
        <f>ROUND(27/100,9)</f>
        <v>0.27</v>
      </c>
      <c r="J217">
        <v>0</v>
      </c>
      <c r="K217">
        <f>ROUND(27/100,9)</f>
        <v>0.27</v>
      </c>
      <c r="O217">
        <f t="shared" si="168"/>
        <v>2678.3</v>
      </c>
      <c r="P217">
        <f t="shared" si="169"/>
        <v>257.10000000000002</v>
      </c>
      <c r="Q217">
        <f>(ROUND((ROUND((((ET217*1.05))*AV217*I217),2)*BB217),2)+ROUND((ROUND(((AE217-((EU217*1.05)))*AV217*I217),2)*BS217),2))</f>
        <v>1886.64</v>
      </c>
      <c r="R217">
        <f t="shared" si="171"/>
        <v>477.27</v>
      </c>
      <c r="S217">
        <f t="shared" si="172"/>
        <v>534.55999999999995</v>
      </c>
      <c r="T217">
        <f t="shared" si="173"/>
        <v>0</v>
      </c>
      <c r="U217">
        <f t="shared" si="174"/>
        <v>1.273377105</v>
      </c>
      <c r="V217">
        <f t="shared" si="175"/>
        <v>0</v>
      </c>
      <c r="W217">
        <f t="shared" si="176"/>
        <v>0</v>
      </c>
      <c r="X217">
        <f t="shared" si="177"/>
        <v>716.31</v>
      </c>
      <c r="Y217">
        <f t="shared" si="178"/>
        <v>294.01</v>
      </c>
      <c r="AA217">
        <v>56610029</v>
      </c>
      <c r="AB217">
        <f t="shared" si="179"/>
        <v>671.57600000000002</v>
      </c>
      <c r="AC217">
        <f t="shared" si="180"/>
        <v>57.83</v>
      </c>
      <c r="AD217">
        <f>ROUND(((((ET217*1.05))-((EU217*1.05)))+AE217),6)</f>
        <v>558.96749999999997</v>
      </c>
      <c r="AE217">
        <f>ROUND(((EU217*1.05)),6)</f>
        <v>48.908999999999999</v>
      </c>
      <c r="AF217">
        <f>ROUND(((EV217*1.05)),6)</f>
        <v>54.778500000000001</v>
      </c>
      <c r="AG217">
        <f t="shared" si="183"/>
        <v>0</v>
      </c>
      <c r="AH217">
        <f>((EW217*1.05))</f>
        <v>4.5045000000000002</v>
      </c>
      <c r="AI217">
        <f>((EX217*1.05))</f>
        <v>0</v>
      </c>
      <c r="AJ217">
        <f t="shared" si="185"/>
        <v>0</v>
      </c>
      <c r="AK217">
        <v>642.35</v>
      </c>
      <c r="AL217">
        <v>57.83</v>
      </c>
      <c r="AM217">
        <v>532.35</v>
      </c>
      <c r="AN217">
        <v>46.58</v>
      </c>
      <c r="AO217">
        <v>52.17</v>
      </c>
      <c r="AP217">
        <v>0</v>
      </c>
      <c r="AQ217">
        <v>4.29</v>
      </c>
      <c r="AR217">
        <v>0</v>
      </c>
      <c r="AS217">
        <v>0</v>
      </c>
      <c r="AT217">
        <v>134</v>
      </c>
      <c r="AU217">
        <v>55</v>
      </c>
      <c r="AV217">
        <v>1.0469999999999999</v>
      </c>
      <c r="AW217">
        <v>1</v>
      </c>
      <c r="AZ217">
        <v>1</v>
      </c>
      <c r="BA217">
        <v>34.51</v>
      </c>
      <c r="BB217">
        <v>11.94</v>
      </c>
      <c r="BC217">
        <v>16.47</v>
      </c>
      <c r="BD217" t="s">
        <v>3</v>
      </c>
      <c r="BE217" t="s">
        <v>3</v>
      </c>
      <c r="BF217" t="s">
        <v>3</v>
      </c>
      <c r="BG217" t="s">
        <v>3</v>
      </c>
      <c r="BH217">
        <v>0</v>
      </c>
      <c r="BI217">
        <v>1</v>
      </c>
      <c r="BJ217" t="s">
        <v>312</v>
      </c>
      <c r="BM217">
        <v>158</v>
      </c>
      <c r="BN217">
        <v>0</v>
      </c>
      <c r="BO217" t="s">
        <v>310</v>
      </c>
      <c r="BP217">
        <v>1</v>
      </c>
      <c r="BQ217">
        <v>30</v>
      </c>
      <c r="BR217">
        <v>0</v>
      </c>
      <c r="BS217">
        <v>34.51</v>
      </c>
      <c r="BT217">
        <v>1</v>
      </c>
      <c r="BU217">
        <v>1</v>
      </c>
      <c r="BV217">
        <v>1</v>
      </c>
      <c r="BW217">
        <v>1</v>
      </c>
      <c r="BX217">
        <v>1</v>
      </c>
      <c r="BY217" t="s">
        <v>3</v>
      </c>
      <c r="BZ217">
        <v>134</v>
      </c>
      <c r="CA217">
        <v>55</v>
      </c>
      <c r="CB217" t="s">
        <v>3</v>
      </c>
      <c r="CE217">
        <v>30</v>
      </c>
      <c r="CF217">
        <v>0</v>
      </c>
      <c r="CG217">
        <v>0</v>
      </c>
      <c r="CM217">
        <v>0</v>
      </c>
      <c r="CN217" t="s">
        <v>708</v>
      </c>
      <c r="CO217">
        <v>0</v>
      </c>
      <c r="CP217">
        <f t="shared" si="186"/>
        <v>2678.3</v>
      </c>
      <c r="CQ217">
        <f t="shared" si="187"/>
        <v>952.46</v>
      </c>
      <c r="CR217">
        <f>(ROUND((ROUND((((ET217*1.05))*AV217*1),2)*BB217),2)+ROUND((ROUND(((AE217-((EU217*1.05)))*AV217*1),2)*BS217),2))</f>
        <v>6987.77</v>
      </c>
      <c r="CS217">
        <f t="shared" si="189"/>
        <v>1767.26</v>
      </c>
      <c r="CT217">
        <f t="shared" si="190"/>
        <v>1979.15</v>
      </c>
      <c r="CU217">
        <f t="shared" si="191"/>
        <v>0</v>
      </c>
      <c r="CV217">
        <f t="shared" si="192"/>
        <v>4.7162115</v>
      </c>
      <c r="CW217">
        <f t="shared" si="193"/>
        <v>0</v>
      </c>
      <c r="CX217">
        <f t="shared" si="194"/>
        <v>0</v>
      </c>
      <c r="CY217">
        <f>S217*(BZ217/100)</f>
        <v>716.31039999999996</v>
      </c>
      <c r="CZ217">
        <f>S217*(CA217/100)</f>
        <v>294.00799999999998</v>
      </c>
      <c r="DB217">
        <v>100</v>
      </c>
      <c r="DC217" t="s">
        <v>3</v>
      </c>
      <c r="DD217" t="s">
        <v>3</v>
      </c>
      <c r="DE217" t="s">
        <v>22</v>
      </c>
      <c r="DF217" t="s">
        <v>22</v>
      </c>
      <c r="DG217" t="s">
        <v>22</v>
      </c>
      <c r="DH217" t="s">
        <v>3</v>
      </c>
      <c r="DI217" t="s">
        <v>22</v>
      </c>
      <c r="DJ217" t="s">
        <v>22</v>
      </c>
      <c r="DK217" t="s">
        <v>3</v>
      </c>
      <c r="DL217" t="s">
        <v>3</v>
      </c>
      <c r="DM217" t="s">
        <v>3</v>
      </c>
      <c r="DN217">
        <v>161</v>
      </c>
      <c r="DO217">
        <v>107</v>
      </c>
      <c r="DP217">
        <v>1.0469999999999999</v>
      </c>
      <c r="DQ217">
        <v>1</v>
      </c>
      <c r="DU217">
        <v>1013</v>
      </c>
      <c r="DV217" t="s">
        <v>95</v>
      </c>
      <c r="DW217" t="s">
        <v>95</v>
      </c>
      <c r="DX217">
        <v>1</v>
      </c>
      <c r="DZ217" t="s">
        <v>3</v>
      </c>
      <c r="EA217" t="s">
        <v>3</v>
      </c>
      <c r="EB217" t="s">
        <v>3</v>
      </c>
      <c r="EC217" t="s">
        <v>3</v>
      </c>
      <c r="EE217">
        <v>51696197</v>
      </c>
      <c r="EF217">
        <v>30</v>
      </c>
      <c r="EG217" t="s">
        <v>23</v>
      </c>
      <c r="EH217">
        <v>0</v>
      </c>
      <c r="EI217" t="s">
        <v>3</v>
      </c>
      <c r="EJ217">
        <v>1</v>
      </c>
      <c r="EK217">
        <v>158</v>
      </c>
      <c r="EL217" t="s">
        <v>313</v>
      </c>
      <c r="EM217" t="s">
        <v>314</v>
      </c>
      <c r="EO217" t="s">
        <v>26</v>
      </c>
      <c r="EQ217">
        <v>131072</v>
      </c>
      <c r="ER217">
        <v>642.35</v>
      </c>
      <c r="ES217">
        <v>57.83</v>
      </c>
      <c r="ET217">
        <v>532.35</v>
      </c>
      <c r="EU217">
        <v>46.58</v>
      </c>
      <c r="EV217">
        <v>52.17</v>
      </c>
      <c r="EW217">
        <v>4.29</v>
      </c>
      <c r="EX217">
        <v>0</v>
      </c>
      <c r="EY217">
        <v>0</v>
      </c>
      <c r="FQ217">
        <v>0</v>
      </c>
      <c r="FR217">
        <v>0</v>
      </c>
      <c r="FS217">
        <v>0</v>
      </c>
      <c r="FX217">
        <v>161</v>
      </c>
      <c r="FY217">
        <v>107</v>
      </c>
      <c r="GA217" t="s">
        <v>3</v>
      </c>
      <c r="GD217">
        <v>0</v>
      </c>
      <c r="GF217">
        <v>-399398241</v>
      </c>
      <c r="GG217">
        <v>2</v>
      </c>
      <c r="GH217">
        <v>1</v>
      </c>
      <c r="GI217">
        <v>2</v>
      </c>
      <c r="GJ217">
        <v>0</v>
      </c>
      <c r="GK217">
        <f>ROUND(R217*(S12)/100,2)</f>
        <v>763.63</v>
      </c>
      <c r="GL217">
        <f t="shared" si="195"/>
        <v>0</v>
      </c>
      <c r="GM217">
        <f t="shared" si="196"/>
        <v>4452.25</v>
      </c>
      <c r="GN217">
        <f t="shared" si="197"/>
        <v>4452.25</v>
      </c>
      <c r="GO217">
        <f t="shared" si="198"/>
        <v>0</v>
      </c>
      <c r="GP217">
        <f t="shared" si="199"/>
        <v>0</v>
      </c>
      <c r="GR217">
        <v>0</v>
      </c>
      <c r="GS217">
        <v>3</v>
      </c>
      <c r="GT217">
        <v>0</v>
      </c>
      <c r="GU217" t="s">
        <v>3</v>
      </c>
      <c r="GV217">
        <f t="shared" si="200"/>
        <v>0</v>
      </c>
      <c r="GW217">
        <v>1</v>
      </c>
      <c r="GX217">
        <f t="shared" si="201"/>
        <v>0</v>
      </c>
      <c r="HA217">
        <v>0</v>
      </c>
      <c r="HB217">
        <v>0</v>
      </c>
      <c r="HC217">
        <f t="shared" si="202"/>
        <v>0</v>
      </c>
      <c r="HE217" t="s">
        <v>3</v>
      </c>
      <c r="HF217" t="s">
        <v>3</v>
      </c>
      <c r="HM217" t="s">
        <v>3</v>
      </c>
      <c r="HN217" t="s">
        <v>3</v>
      </c>
      <c r="HO217" t="s">
        <v>3</v>
      </c>
      <c r="HP217" t="s">
        <v>3</v>
      </c>
      <c r="HQ217" t="s">
        <v>3</v>
      </c>
      <c r="HS217">
        <v>0</v>
      </c>
      <c r="IK217">
        <v>0</v>
      </c>
    </row>
    <row r="218" spans="1:255" x14ac:dyDescent="0.2">
      <c r="A218" s="2">
        <v>18</v>
      </c>
      <c r="B218" s="2">
        <v>1</v>
      </c>
      <c r="C218" s="2">
        <v>37</v>
      </c>
      <c r="D218" s="2"/>
      <c r="E218" s="2" t="s">
        <v>330</v>
      </c>
      <c r="F218" s="2" t="s">
        <v>331</v>
      </c>
      <c r="G218" s="2" t="s">
        <v>332</v>
      </c>
      <c r="H218" s="2" t="s">
        <v>318</v>
      </c>
      <c r="I218" s="2">
        <f>I216*J218</f>
        <v>2.6082000000000001</v>
      </c>
      <c r="J218" s="2">
        <v>9.66</v>
      </c>
      <c r="K218" s="2">
        <v>9.66</v>
      </c>
      <c r="L218" s="2"/>
      <c r="M218" s="2"/>
      <c r="N218" s="2"/>
      <c r="O218" s="2">
        <f t="shared" si="168"/>
        <v>802.26</v>
      </c>
      <c r="P218" s="2">
        <f t="shared" si="169"/>
        <v>802.26</v>
      </c>
      <c r="Q218" s="2">
        <f>(ROUND((ROUND(((ET218)*AV218*I218),2)*BB218),2)+ROUND((ROUND(((AE218-(EU218))*AV218*I218),2)*BS218),2))</f>
        <v>0</v>
      </c>
      <c r="R218" s="2">
        <f t="shared" si="171"/>
        <v>0</v>
      </c>
      <c r="S218" s="2">
        <f t="shared" si="172"/>
        <v>0</v>
      </c>
      <c r="T218" s="2">
        <f t="shared" si="173"/>
        <v>0</v>
      </c>
      <c r="U218" s="2">
        <f t="shared" si="174"/>
        <v>0</v>
      </c>
      <c r="V218" s="2">
        <f t="shared" si="175"/>
        <v>0</v>
      </c>
      <c r="W218" s="2">
        <f t="shared" si="176"/>
        <v>0</v>
      </c>
      <c r="X218" s="2">
        <f t="shared" si="177"/>
        <v>0</v>
      </c>
      <c r="Y218" s="2">
        <f t="shared" si="178"/>
        <v>0</v>
      </c>
      <c r="Z218" s="2"/>
      <c r="AA218" s="2">
        <v>56622490</v>
      </c>
      <c r="AB218" s="2">
        <f t="shared" si="179"/>
        <v>307.58999999999997</v>
      </c>
      <c r="AC218" s="2">
        <f t="shared" si="180"/>
        <v>307.58999999999997</v>
      </c>
      <c r="AD218" s="2">
        <f>ROUND((((ET218)-(EU218))+AE218),6)</f>
        <v>0</v>
      </c>
      <c r="AE218" s="2">
        <f>ROUND((EU218),6)</f>
        <v>0</v>
      </c>
      <c r="AF218" s="2">
        <f>ROUND((EV218),6)</f>
        <v>0</v>
      </c>
      <c r="AG218" s="2">
        <f t="shared" si="183"/>
        <v>0</v>
      </c>
      <c r="AH218" s="2">
        <f>(EW218)</f>
        <v>0</v>
      </c>
      <c r="AI218" s="2">
        <f>(EX218)</f>
        <v>0</v>
      </c>
      <c r="AJ218" s="2">
        <f t="shared" si="185"/>
        <v>0</v>
      </c>
      <c r="AK218" s="2">
        <v>307.58999999999997</v>
      </c>
      <c r="AL218" s="2">
        <v>307.58999999999997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161</v>
      </c>
      <c r="AU218" s="2">
        <v>107</v>
      </c>
      <c r="AV218" s="2">
        <v>1.0469999999999999</v>
      </c>
      <c r="AW218" s="2">
        <v>1</v>
      </c>
      <c r="AX218" s="2"/>
      <c r="AY218" s="2"/>
      <c r="AZ218" s="2">
        <v>1</v>
      </c>
      <c r="BA218" s="2">
        <v>1</v>
      </c>
      <c r="BB218" s="2">
        <v>1</v>
      </c>
      <c r="BC218" s="2">
        <v>1</v>
      </c>
      <c r="BD218" s="2" t="s">
        <v>3</v>
      </c>
      <c r="BE218" s="2" t="s">
        <v>3</v>
      </c>
      <c r="BF218" s="2" t="s">
        <v>3</v>
      </c>
      <c r="BG218" s="2" t="s">
        <v>3</v>
      </c>
      <c r="BH218" s="2">
        <v>3</v>
      </c>
      <c r="BI218" s="2">
        <v>1</v>
      </c>
      <c r="BJ218" s="2" t="s">
        <v>333</v>
      </c>
      <c r="BK218" s="2"/>
      <c r="BL218" s="2"/>
      <c r="BM218" s="2">
        <v>158</v>
      </c>
      <c r="BN218" s="2">
        <v>0</v>
      </c>
      <c r="BO218" s="2" t="s">
        <v>3</v>
      </c>
      <c r="BP218" s="2">
        <v>0</v>
      </c>
      <c r="BQ218" s="2">
        <v>30</v>
      </c>
      <c r="BR218" s="2">
        <v>0</v>
      </c>
      <c r="BS218" s="2">
        <v>1</v>
      </c>
      <c r="BT218" s="2">
        <v>1</v>
      </c>
      <c r="BU218" s="2">
        <v>1</v>
      </c>
      <c r="BV218" s="2">
        <v>1</v>
      </c>
      <c r="BW218" s="2">
        <v>1</v>
      </c>
      <c r="BX218" s="2">
        <v>1</v>
      </c>
      <c r="BY218" s="2" t="s">
        <v>3</v>
      </c>
      <c r="BZ218" s="2">
        <v>161</v>
      </c>
      <c r="CA218" s="2">
        <v>107</v>
      </c>
      <c r="CB218" s="2" t="s">
        <v>3</v>
      </c>
      <c r="CC218" s="2"/>
      <c r="CD218" s="2"/>
      <c r="CE218" s="2">
        <v>30</v>
      </c>
      <c r="CF218" s="2">
        <v>0</v>
      </c>
      <c r="CG218" s="2">
        <v>0</v>
      </c>
      <c r="CH218" s="2"/>
      <c r="CI218" s="2"/>
      <c r="CJ218" s="2"/>
      <c r="CK218" s="2"/>
      <c r="CL218" s="2"/>
      <c r="CM218" s="2">
        <v>0</v>
      </c>
      <c r="CN218" s="2" t="s">
        <v>3</v>
      </c>
      <c r="CO218" s="2">
        <v>0</v>
      </c>
      <c r="CP218" s="2">
        <f t="shared" si="186"/>
        <v>802.26</v>
      </c>
      <c r="CQ218" s="2">
        <f t="shared" si="187"/>
        <v>307.58999999999997</v>
      </c>
      <c r="CR218" s="2">
        <f>(ROUND((ROUND(((ET218)*AV218*1),2)*BB218),2)+ROUND((ROUND(((AE218-(EU218))*AV218*1),2)*BS218),2))</f>
        <v>0</v>
      </c>
      <c r="CS218" s="2">
        <f t="shared" si="189"/>
        <v>0</v>
      </c>
      <c r="CT218" s="2">
        <f t="shared" si="190"/>
        <v>0</v>
      </c>
      <c r="CU218" s="2">
        <f t="shared" si="191"/>
        <v>0</v>
      </c>
      <c r="CV218" s="2">
        <f t="shared" si="192"/>
        <v>0</v>
      </c>
      <c r="CW218" s="2">
        <f t="shared" si="193"/>
        <v>0</v>
      </c>
      <c r="CX218" s="2">
        <f t="shared" si="194"/>
        <v>0</v>
      </c>
      <c r="CY218" s="2">
        <f>((S218*BZ218)/100)</f>
        <v>0</v>
      </c>
      <c r="CZ218" s="2">
        <f>((S218*CA218)/100)</f>
        <v>0</v>
      </c>
      <c r="DA218" s="2"/>
      <c r="DB218" s="2"/>
      <c r="DC218" s="2" t="s">
        <v>3</v>
      </c>
      <c r="DD218" s="2" t="s">
        <v>3</v>
      </c>
      <c r="DE218" s="2" t="s">
        <v>3</v>
      </c>
      <c r="DF218" s="2" t="s">
        <v>3</v>
      </c>
      <c r="DG218" s="2" t="s">
        <v>3</v>
      </c>
      <c r="DH218" s="2" t="s">
        <v>3</v>
      </c>
      <c r="DI218" s="2" t="s">
        <v>3</v>
      </c>
      <c r="DJ218" s="2" t="s">
        <v>3</v>
      </c>
      <c r="DK218" s="2" t="s">
        <v>3</v>
      </c>
      <c r="DL218" s="2" t="s">
        <v>3</v>
      </c>
      <c r="DM218" s="2" t="s">
        <v>3</v>
      </c>
      <c r="DN218" s="2">
        <v>0</v>
      </c>
      <c r="DO218" s="2">
        <v>0</v>
      </c>
      <c r="DP218" s="2">
        <v>1</v>
      </c>
      <c r="DQ218" s="2">
        <v>1</v>
      </c>
      <c r="DR218" s="2"/>
      <c r="DS218" s="2"/>
      <c r="DT218" s="2"/>
      <c r="DU218" s="2">
        <v>1009</v>
      </c>
      <c r="DV218" s="2" t="s">
        <v>318</v>
      </c>
      <c r="DW218" s="2" t="s">
        <v>318</v>
      </c>
      <c r="DX218" s="2">
        <v>1000</v>
      </c>
      <c r="DY218" s="2"/>
      <c r="DZ218" s="2" t="s">
        <v>3</v>
      </c>
      <c r="EA218" s="2" t="s">
        <v>3</v>
      </c>
      <c r="EB218" s="2" t="s">
        <v>3</v>
      </c>
      <c r="EC218" s="2" t="s">
        <v>3</v>
      </c>
      <c r="ED218" s="2"/>
      <c r="EE218" s="2">
        <v>51696197</v>
      </c>
      <c r="EF218" s="2">
        <v>30</v>
      </c>
      <c r="EG218" s="2" t="s">
        <v>23</v>
      </c>
      <c r="EH218" s="2">
        <v>0</v>
      </c>
      <c r="EI218" s="2" t="s">
        <v>3</v>
      </c>
      <c r="EJ218" s="2">
        <v>1</v>
      </c>
      <c r="EK218" s="2">
        <v>158</v>
      </c>
      <c r="EL218" s="2" t="s">
        <v>313</v>
      </c>
      <c r="EM218" s="2" t="s">
        <v>314</v>
      </c>
      <c r="EN218" s="2"/>
      <c r="EO218" s="2" t="s">
        <v>3</v>
      </c>
      <c r="EP218" s="2"/>
      <c r="EQ218" s="2">
        <v>0</v>
      </c>
      <c r="ER218" s="2">
        <v>307.58999999999997</v>
      </c>
      <c r="ES218" s="2">
        <v>307.58999999999997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>
        <v>0</v>
      </c>
      <c r="FR218" s="2">
        <v>0</v>
      </c>
      <c r="FS218" s="2">
        <v>0</v>
      </c>
      <c r="FT218" s="2"/>
      <c r="FU218" s="2"/>
      <c r="FV218" s="2"/>
      <c r="FW218" s="2"/>
      <c r="FX218" s="2">
        <v>161</v>
      </c>
      <c r="FY218" s="2">
        <v>107</v>
      </c>
      <c r="FZ218" s="2"/>
      <c r="GA218" s="2" t="s">
        <v>3</v>
      </c>
      <c r="GB218" s="2"/>
      <c r="GC218" s="2"/>
      <c r="GD218" s="2">
        <v>0</v>
      </c>
      <c r="GE218" s="2"/>
      <c r="GF218" s="2">
        <v>-1899420918</v>
      </c>
      <c r="GG218" s="2">
        <v>2</v>
      </c>
      <c r="GH218" s="2">
        <v>1</v>
      </c>
      <c r="GI218" s="2">
        <v>-2</v>
      </c>
      <c r="GJ218" s="2">
        <v>0</v>
      </c>
      <c r="GK218" s="2">
        <f>ROUND(R218*(R12)/100,2)</f>
        <v>0</v>
      </c>
      <c r="GL218" s="2">
        <f t="shared" si="195"/>
        <v>0</v>
      </c>
      <c r="GM218" s="2">
        <f t="shared" si="196"/>
        <v>802.26</v>
      </c>
      <c r="GN218" s="2">
        <f t="shared" si="197"/>
        <v>802.26</v>
      </c>
      <c r="GO218" s="2">
        <f t="shared" si="198"/>
        <v>0</v>
      </c>
      <c r="GP218" s="2">
        <f t="shared" si="199"/>
        <v>0</v>
      </c>
      <c r="GQ218" s="2"/>
      <c r="GR218" s="2">
        <v>0</v>
      </c>
      <c r="GS218" s="2">
        <v>0</v>
      </c>
      <c r="GT218" s="2">
        <v>0</v>
      </c>
      <c r="GU218" s="2" t="s">
        <v>3</v>
      </c>
      <c r="GV218" s="2">
        <f t="shared" si="200"/>
        <v>0</v>
      </c>
      <c r="GW218" s="2">
        <v>1</v>
      </c>
      <c r="GX218" s="2">
        <f t="shared" si="201"/>
        <v>0</v>
      </c>
      <c r="GY218" s="2"/>
      <c r="GZ218" s="2"/>
      <c r="HA218" s="2">
        <v>0</v>
      </c>
      <c r="HB218" s="2">
        <v>0</v>
      </c>
      <c r="HC218" s="2">
        <f t="shared" si="202"/>
        <v>0</v>
      </c>
      <c r="HD218" s="2"/>
      <c r="HE218" s="2" t="s">
        <v>3</v>
      </c>
      <c r="HF218" s="2" t="s">
        <v>3</v>
      </c>
      <c r="HG218" s="2"/>
      <c r="HH218" s="2"/>
      <c r="HI218" s="2"/>
      <c r="HJ218" s="2"/>
      <c r="HK218" s="2"/>
      <c r="HL218" s="2"/>
      <c r="HM218" s="2" t="s">
        <v>3</v>
      </c>
      <c r="HN218" s="2" t="s">
        <v>3</v>
      </c>
      <c r="HO218" s="2" t="s">
        <v>3</v>
      </c>
      <c r="HP218" s="2" t="s">
        <v>3</v>
      </c>
      <c r="HQ218" s="2" t="s">
        <v>3</v>
      </c>
      <c r="HR218" s="2"/>
      <c r="HS218" s="2">
        <v>0</v>
      </c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>
        <v>0</v>
      </c>
      <c r="IL218" s="2"/>
      <c r="IM218" s="2"/>
      <c r="IN218" s="2"/>
      <c r="IO218" s="2"/>
      <c r="IP218" s="2"/>
      <c r="IQ218" s="2"/>
      <c r="IR218" s="2"/>
      <c r="IS218" s="2"/>
      <c r="IT218" s="2"/>
      <c r="IU218" s="2"/>
    </row>
    <row r="219" spans="1:255" x14ac:dyDescent="0.2">
      <c r="A219">
        <v>18</v>
      </c>
      <c r="B219">
        <v>1</v>
      </c>
      <c r="C219">
        <v>38</v>
      </c>
      <c r="E219" t="s">
        <v>330</v>
      </c>
      <c r="F219" t="s">
        <v>331</v>
      </c>
      <c r="G219" t="s">
        <v>332</v>
      </c>
      <c r="H219" t="s">
        <v>318</v>
      </c>
      <c r="I219">
        <f>I217*J219</f>
        <v>2.6082000000000001</v>
      </c>
      <c r="J219">
        <v>9.66</v>
      </c>
      <c r="K219">
        <v>9.66</v>
      </c>
      <c r="O219">
        <f t="shared" si="168"/>
        <v>12290.62</v>
      </c>
      <c r="P219">
        <f t="shared" si="169"/>
        <v>12290.62</v>
      </c>
      <c r="Q219">
        <f>(ROUND((ROUND(((ET219)*AV219*I219),2)*BB219),2)+ROUND((ROUND(((AE219-(EU219))*AV219*I219),2)*BS219),2))</f>
        <v>0</v>
      </c>
      <c r="R219">
        <f t="shared" si="171"/>
        <v>0</v>
      </c>
      <c r="S219">
        <f t="shared" si="172"/>
        <v>0</v>
      </c>
      <c r="T219">
        <f t="shared" si="173"/>
        <v>0</v>
      </c>
      <c r="U219">
        <f t="shared" si="174"/>
        <v>0</v>
      </c>
      <c r="V219">
        <f t="shared" si="175"/>
        <v>0</v>
      </c>
      <c r="W219">
        <f t="shared" si="176"/>
        <v>0</v>
      </c>
      <c r="X219">
        <f t="shared" si="177"/>
        <v>0</v>
      </c>
      <c r="Y219">
        <f t="shared" si="178"/>
        <v>0</v>
      </c>
      <c r="AA219">
        <v>56610029</v>
      </c>
      <c r="AB219">
        <f t="shared" si="179"/>
        <v>307.58999999999997</v>
      </c>
      <c r="AC219">
        <f t="shared" si="180"/>
        <v>307.58999999999997</v>
      </c>
      <c r="AD219">
        <f>ROUND((((ET219)-(EU219))+AE219),6)</f>
        <v>0</v>
      </c>
      <c r="AE219">
        <f>ROUND((EU219),6)</f>
        <v>0</v>
      </c>
      <c r="AF219">
        <f>ROUND((EV219),6)</f>
        <v>0</v>
      </c>
      <c r="AG219">
        <f t="shared" si="183"/>
        <v>0</v>
      </c>
      <c r="AH219">
        <f>(EW219)</f>
        <v>0</v>
      </c>
      <c r="AI219">
        <f>(EX219)</f>
        <v>0</v>
      </c>
      <c r="AJ219">
        <f t="shared" si="185"/>
        <v>0</v>
      </c>
      <c r="AK219">
        <v>307.58999999999997</v>
      </c>
      <c r="AL219">
        <v>307.58999999999997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1</v>
      </c>
      <c r="AZ219">
        <v>1</v>
      </c>
      <c r="BA219">
        <v>1</v>
      </c>
      <c r="BB219">
        <v>1</v>
      </c>
      <c r="BC219">
        <v>15.32</v>
      </c>
      <c r="BD219" t="s">
        <v>3</v>
      </c>
      <c r="BE219" t="s">
        <v>3</v>
      </c>
      <c r="BF219" t="s">
        <v>3</v>
      </c>
      <c r="BG219" t="s">
        <v>3</v>
      </c>
      <c r="BH219">
        <v>3</v>
      </c>
      <c r="BI219">
        <v>1</v>
      </c>
      <c r="BJ219" t="s">
        <v>333</v>
      </c>
      <c r="BM219">
        <v>158</v>
      </c>
      <c r="BN219">
        <v>0</v>
      </c>
      <c r="BO219" t="s">
        <v>331</v>
      </c>
      <c r="BP219">
        <v>1</v>
      </c>
      <c r="BQ219">
        <v>30</v>
      </c>
      <c r="BR219">
        <v>0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 t="s">
        <v>3</v>
      </c>
      <c r="BZ219">
        <v>0</v>
      </c>
      <c r="CA219">
        <v>0</v>
      </c>
      <c r="CB219" t="s">
        <v>3</v>
      </c>
      <c r="CE219">
        <v>30</v>
      </c>
      <c r="CF219">
        <v>0</v>
      </c>
      <c r="CG219">
        <v>0</v>
      </c>
      <c r="CM219">
        <v>0</v>
      </c>
      <c r="CN219" t="s">
        <v>3</v>
      </c>
      <c r="CO219">
        <v>0</v>
      </c>
      <c r="CP219">
        <f t="shared" si="186"/>
        <v>12290.62</v>
      </c>
      <c r="CQ219">
        <f t="shared" si="187"/>
        <v>4712.28</v>
      </c>
      <c r="CR219">
        <f>(ROUND((ROUND(((ET219)*AV219*1),2)*BB219),2)+ROUND((ROUND(((AE219-(EU219))*AV219*1),2)*BS219),2))</f>
        <v>0</v>
      </c>
      <c r="CS219">
        <f t="shared" si="189"/>
        <v>0</v>
      </c>
      <c r="CT219">
        <f t="shared" si="190"/>
        <v>0</v>
      </c>
      <c r="CU219">
        <f t="shared" si="191"/>
        <v>0</v>
      </c>
      <c r="CV219">
        <f t="shared" si="192"/>
        <v>0</v>
      </c>
      <c r="CW219">
        <f t="shared" si="193"/>
        <v>0</v>
      </c>
      <c r="CX219">
        <f t="shared" si="194"/>
        <v>0</v>
      </c>
      <c r="CY219">
        <f>S219*(BZ219/100)</f>
        <v>0</v>
      </c>
      <c r="CZ219">
        <f>S219*(CA219/100)</f>
        <v>0</v>
      </c>
      <c r="DC219" t="s">
        <v>3</v>
      </c>
      <c r="DD219" t="s">
        <v>3</v>
      </c>
      <c r="DE219" t="s">
        <v>3</v>
      </c>
      <c r="DF219" t="s">
        <v>3</v>
      </c>
      <c r="DG219" t="s">
        <v>3</v>
      </c>
      <c r="DH219" t="s">
        <v>3</v>
      </c>
      <c r="DI219" t="s">
        <v>3</v>
      </c>
      <c r="DJ219" t="s">
        <v>3</v>
      </c>
      <c r="DK219" t="s">
        <v>3</v>
      </c>
      <c r="DL219" t="s">
        <v>3</v>
      </c>
      <c r="DM219" t="s">
        <v>3</v>
      </c>
      <c r="DN219">
        <v>161</v>
      </c>
      <c r="DO219">
        <v>107</v>
      </c>
      <c r="DP219">
        <v>1.0469999999999999</v>
      </c>
      <c r="DQ219">
        <v>1</v>
      </c>
      <c r="DU219">
        <v>1009</v>
      </c>
      <c r="DV219" t="s">
        <v>318</v>
      </c>
      <c r="DW219" t="s">
        <v>318</v>
      </c>
      <c r="DX219">
        <v>1000</v>
      </c>
      <c r="DZ219" t="s">
        <v>3</v>
      </c>
      <c r="EA219" t="s">
        <v>3</v>
      </c>
      <c r="EB219" t="s">
        <v>3</v>
      </c>
      <c r="EC219" t="s">
        <v>3</v>
      </c>
      <c r="EE219">
        <v>51696197</v>
      </c>
      <c r="EF219">
        <v>30</v>
      </c>
      <c r="EG219" t="s">
        <v>23</v>
      </c>
      <c r="EH219">
        <v>0</v>
      </c>
      <c r="EI219" t="s">
        <v>3</v>
      </c>
      <c r="EJ219">
        <v>1</v>
      </c>
      <c r="EK219">
        <v>158</v>
      </c>
      <c r="EL219" t="s">
        <v>313</v>
      </c>
      <c r="EM219" t="s">
        <v>314</v>
      </c>
      <c r="EO219" t="s">
        <v>3</v>
      </c>
      <c r="EQ219">
        <v>0</v>
      </c>
      <c r="ER219">
        <v>307.58999999999997</v>
      </c>
      <c r="ES219">
        <v>307.58999999999997</v>
      </c>
      <c r="ET219">
        <v>0</v>
      </c>
      <c r="EU219">
        <v>0</v>
      </c>
      <c r="EV219">
        <v>0</v>
      </c>
      <c r="EW219">
        <v>0</v>
      </c>
      <c r="EX219">
        <v>0</v>
      </c>
      <c r="FQ219">
        <v>0</v>
      </c>
      <c r="FR219">
        <v>0</v>
      </c>
      <c r="FS219">
        <v>0</v>
      </c>
      <c r="FX219">
        <v>161</v>
      </c>
      <c r="FY219">
        <v>107</v>
      </c>
      <c r="GA219" t="s">
        <v>3</v>
      </c>
      <c r="GD219">
        <v>0</v>
      </c>
      <c r="GF219">
        <v>-1899420918</v>
      </c>
      <c r="GG219">
        <v>2</v>
      </c>
      <c r="GH219">
        <v>1</v>
      </c>
      <c r="GI219">
        <v>2</v>
      </c>
      <c r="GJ219">
        <v>0</v>
      </c>
      <c r="GK219">
        <f>ROUND(R219*(S12)/100,2)</f>
        <v>0</v>
      </c>
      <c r="GL219">
        <f t="shared" si="195"/>
        <v>0</v>
      </c>
      <c r="GM219">
        <f t="shared" si="196"/>
        <v>12290.62</v>
      </c>
      <c r="GN219">
        <f t="shared" si="197"/>
        <v>12290.62</v>
      </c>
      <c r="GO219">
        <f t="shared" si="198"/>
        <v>0</v>
      </c>
      <c r="GP219">
        <f t="shared" si="199"/>
        <v>0</v>
      </c>
      <c r="GR219">
        <v>0</v>
      </c>
      <c r="GS219">
        <v>3</v>
      </c>
      <c r="GT219">
        <v>0</v>
      </c>
      <c r="GU219" t="s">
        <v>3</v>
      </c>
      <c r="GV219">
        <f t="shared" si="200"/>
        <v>0</v>
      </c>
      <c r="GW219">
        <v>1</v>
      </c>
      <c r="GX219">
        <f t="shared" si="201"/>
        <v>0</v>
      </c>
      <c r="HA219">
        <v>0</v>
      </c>
      <c r="HB219">
        <v>0</v>
      </c>
      <c r="HC219">
        <f t="shared" si="202"/>
        <v>0</v>
      </c>
      <c r="HE219" t="s">
        <v>3</v>
      </c>
      <c r="HF219" t="s">
        <v>3</v>
      </c>
      <c r="HM219" t="s">
        <v>3</v>
      </c>
      <c r="HN219" t="s">
        <v>3</v>
      </c>
      <c r="HO219" t="s">
        <v>3</v>
      </c>
      <c r="HP219" t="s">
        <v>3</v>
      </c>
      <c r="HQ219" t="s">
        <v>3</v>
      </c>
      <c r="HS219">
        <v>0</v>
      </c>
      <c r="IK219">
        <v>0</v>
      </c>
    </row>
    <row r="221" spans="1:255" x14ac:dyDescent="0.2">
      <c r="A221" s="3">
        <v>51</v>
      </c>
      <c r="B221" s="3">
        <f>B182</f>
        <v>1</v>
      </c>
      <c r="C221" s="3">
        <f>A182</f>
        <v>5</v>
      </c>
      <c r="D221" s="3">
        <f>ROW(A182)</f>
        <v>182</v>
      </c>
      <c r="E221" s="3"/>
      <c r="F221" s="3" t="str">
        <f>IF(F182&lt;&gt;"",F182,"")</f>
        <v>Новый подраздел</v>
      </c>
      <c r="G221" s="3" t="str">
        <f>IF(G182&lt;&gt;"",G182,"")</f>
        <v>Дорога</v>
      </c>
      <c r="H221" s="3">
        <v>0</v>
      </c>
      <c r="I221" s="3"/>
      <c r="J221" s="3"/>
      <c r="K221" s="3"/>
      <c r="L221" s="3"/>
      <c r="M221" s="3"/>
      <c r="N221" s="3"/>
      <c r="O221" s="3">
        <f t="shared" ref="O221:T221" si="203">ROUND(AB221,2)</f>
        <v>3740.44</v>
      </c>
      <c r="P221" s="3">
        <f t="shared" si="203"/>
        <v>3074.6</v>
      </c>
      <c r="Q221" s="3">
        <f t="shared" si="203"/>
        <v>540.91999999999996</v>
      </c>
      <c r="R221" s="3">
        <f t="shared" si="203"/>
        <v>61.78</v>
      </c>
      <c r="S221" s="3">
        <f t="shared" si="203"/>
        <v>124.92</v>
      </c>
      <c r="T221" s="3">
        <f t="shared" si="203"/>
        <v>0</v>
      </c>
      <c r="U221" s="3">
        <f>AH221</f>
        <v>10.8763048926</v>
      </c>
      <c r="V221" s="3">
        <f>AI221</f>
        <v>0</v>
      </c>
      <c r="W221" s="3">
        <f>ROUND(AJ221,2)</f>
        <v>0</v>
      </c>
      <c r="X221" s="3">
        <f>ROUND(AK221,2)</f>
        <v>156.47</v>
      </c>
      <c r="Y221" s="3">
        <f>ROUND(AL221,2)</f>
        <v>104.98</v>
      </c>
      <c r="Z221" s="3"/>
      <c r="AA221" s="3"/>
      <c r="AB221" s="3">
        <f>ROUND(SUMIF(AA186:AA219,"=56622490",O186:O219),2)</f>
        <v>3740.44</v>
      </c>
      <c r="AC221" s="3">
        <f>ROUND(SUMIF(AA186:AA219,"=56622490",P186:P219),2)</f>
        <v>3074.6</v>
      </c>
      <c r="AD221" s="3">
        <f>ROUND(SUMIF(AA186:AA219,"=56622490",Q186:Q219),2)</f>
        <v>540.91999999999996</v>
      </c>
      <c r="AE221" s="3">
        <f>ROUND(SUMIF(AA186:AA219,"=56622490",R186:R219),2)</f>
        <v>61.78</v>
      </c>
      <c r="AF221" s="3">
        <f>ROUND(SUMIF(AA186:AA219,"=56622490",S186:S219),2)</f>
        <v>124.92</v>
      </c>
      <c r="AG221" s="3">
        <f>ROUND(SUMIF(AA186:AA219,"=56622490",T186:T219),2)</f>
        <v>0</v>
      </c>
      <c r="AH221" s="3">
        <f>SUMIF(AA186:AA219,"=56622490",U186:U219)</f>
        <v>10.8763048926</v>
      </c>
      <c r="AI221" s="3">
        <f>SUMIF(AA186:AA219,"=56622490",V186:V219)</f>
        <v>0</v>
      </c>
      <c r="AJ221" s="3">
        <f>ROUND(SUMIF(AA186:AA219,"=56622490",W186:W219),2)</f>
        <v>0</v>
      </c>
      <c r="AK221" s="3">
        <f>ROUND(SUMIF(AA186:AA219,"=56622490",X186:X219),2)</f>
        <v>156.47</v>
      </c>
      <c r="AL221" s="3">
        <f>ROUND(SUMIF(AA186:AA219,"=56622490",Y186:Y219),2)</f>
        <v>104.98</v>
      </c>
      <c r="AM221" s="3"/>
      <c r="AN221" s="3"/>
      <c r="AO221" s="3">
        <f t="shared" ref="AO221:BD221" si="204">ROUND(BX221,2)</f>
        <v>0</v>
      </c>
      <c r="AP221" s="3">
        <f t="shared" si="204"/>
        <v>0</v>
      </c>
      <c r="AQ221" s="3">
        <f t="shared" si="204"/>
        <v>0</v>
      </c>
      <c r="AR221" s="3">
        <f t="shared" si="204"/>
        <v>4110.03</v>
      </c>
      <c r="AS221" s="3">
        <f t="shared" si="204"/>
        <v>4110.03</v>
      </c>
      <c r="AT221" s="3">
        <f t="shared" si="204"/>
        <v>0</v>
      </c>
      <c r="AU221" s="3">
        <f t="shared" si="204"/>
        <v>0</v>
      </c>
      <c r="AV221" s="3">
        <f t="shared" si="204"/>
        <v>3074.6</v>
      </c>
      <c r="AW221" s="3">
        <f t="shared" si="204"/>
        <v>3074.6</v>
      </c>
      <c r="AX221" s="3">
        <f t="shared" si="204"/>
        <v>0</v>
      </c>
      <c r="AY221" s="3">
        <f t="shared" si="204"/>
        <v>3074.6</v>
      </c>
      <c r="AZ221" s="3">
        <f t="shared" si="204"/>
        <v>0</v>
      </c>
      <c r="BA221" s="3">
        <f t="shared" si="204"/>
        <v>0</v>
      </c>
      <c r="BB221" s="3">
        <f t="shared" si="204"/>
        <v>0</v>
      </c>
      <c r="BC221" s="3">
        <f t="shared" si="204"/>
        <v>0</v>
      </c>
      <c r="BD221" s="3">
        <f t="shared" si="204"/>
        <v>0</v>
      </c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>
        <f>ROUND(SUMIF(AA186:AA219,"=56622490",FQ186:FQ219),2)</f>
        <v>0</v>
      </c>
      <c r="BY221" s="3">
        <f>ROUND(SUMIF(AA186:AA219,"=56622490",FR186:FR219),2)</f>
        <v>0</v>
      </c>
      <c r="BZ221" s="3">
        <f>ROUND(SUMIF(AA186:AA219,"=56622490",GL186:GL219),2)</f>
        <v>0</v>
      </c>
      <c r="CA221" s="3">
        <f>ROUND(SUMIF(AA186:AA219,"=56622490",GM186:GM219),2)</f>
        <v>4110.03</v>
      </c>
      <c r="CB221" s="3">
        <f>ROUND(SUMIF(AA186:AA219,"=56622490",GN186:GN219),2)</f>
        <v>4110.03</v>
      </c>
      <c r="CC221" s="3">
        <f>ROUND(SUMIF(AA186:AA219,"=56622490",GO186:GO219),2)</f>
        <v>0</v>
      </c>
      <c r="CD221" s="3">
        <f>ROUND(SUMIF(AA186:AA219,"=56622490",GP186:GP219),2)</f>
        <v>0</v>
      </c>
      <c r="CE221" s="3">
        <f>AC221-BX221</f>
        <v>3074.6</v>
      </c>
      <c r="CF221" s="3">
        <f>AC221-BY221</f>
        <v>3074.6</v>
      </c>
      <c r="CG221" s="3">
        <f>BX221-BZ221</f>
        <v>0</v>
      </c>
      <c r="CH221" s="3">
        <f>AC221-BX221-BY221+BZ221</f>
        <v>3074.6</v>
      </c>
      <c r="CI221" s="3">
        <f>BY221-BZ221</f>
        <v>0</v>
      </c>
      <c r="CJ221" s="3">
        <f>ROUND(SUMIF(AA186:AA219,"=56622490",GX186:GX219),2)</f>
        <v>0</v>
      </c>
      <c r="CK221" s="3">
        <f>ROUND(SUMIF(AA186:AA219,"=56622490",GY186:GY219),2)</f>
        <v>0</v>
      </c>
      <c r="CL221" s="3">
        <f>ROUND(SUMIF(AA186:AA219,"=56622490",GZ186:GZ219),2)</f>
        <v>0</v>
      </c>
      <c r="CM221" s="3">
        <f>ROUND(SUMIF(AA186:AA219,"=56622490",HD186:HD219),2)</f>
        <v>0</v>
      </c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4">
        <f t="shared" ref="DG221:DL221" si="205">ROUND(DT221,2)</f>
        <v>50950.04</v>
      </c>
      <c r="DH221" s="4">
        <f t="shared" si="205"/>
        <v>39858.300000000003</v>
      </c>
      <c r="DI221" s="4">
        <f t="shared" si="205"/>
        <v>6780.75</v>
      </c>
      <c r="DJ221" s="4">
        <f t="shared" si="205"/>
        <v>2132.0300000000002</v>
      </c>
      <c r="DK221" s="4">
        <f t="shared" si="205"/>
        <v>4310.99</v>
      </c>
      <c r="DL221" s="4">
        <f t="shared" si="205"/>
        <v>0</v>
      </c>
      <c r="DM221" s="4">
        <f>DZ221</f>
        <v>10.8763048926</v>
      </c>
      <c r="DN221" s="4">
        <f>EA221</f>
        <v>0</v>
      </c>
      <c r="DO221" s="4">
        <f>ROUND(EB221,2)</f>
        <v>0</v>
      </c>
      <c r="DP221" s="4">
        <f>ROUND(EC221,2)</f>
        <v>4559.3100000000004</v>
      </c>
      <c r="DQ221" s="4">
        <f>ROUND(ED221,2)</f>
        <v>2104.73</v>
      </c>
      <c r="DR221" s="4"/>
      <c r="DS221" s="4"/>
      <c r="DT221" s="4">
        <f>ROUND(SUMIF(AA186:AA219,"=56610029",O186:O219),2)</f>
        <v>50950.04</v>
      </c>
      <c r="DU221" s="4">
        <f>ROUND(SUMIF(AA186:AA219,"=56610029",P186:P219),2)</f>
        <v>39858.300000000003</v>
      </c>
      <c r="DV221" s="4">
        <f>ROUND(SUMIF(AA186:AA219,"=56610029",Q186:Q219),2)</f>
        <v>6780.75</v>
      </c>
      <c r="DW221" s="4">
        <f>ROUND(SUMIF(AA186:AA219,"=56610029",R186:R219),2)</f>
        <v>2132.0300000000002</v>
      </c>
      <c r="DX221" s="4">
        <f>ROUND(SUMIF(AA186:AA219,"=56610029",S186:S219),2)</f>
        <v>4310.99</v>
      </c>
      <c r="DY221" s="4">
        <f>ROUND(SUMIF(AA186:AA219,"=56610029",T186:T219),2)</f>
        <v>0</v>
      </c>
      <c r="DZ221" s="4">
        <f>SUMIF(AA186:AA219,"=56610029",U186:U219)</f>
        <v>10.8763048926</v>
      </c>
      <c r="EA221" s="4">
        <f>SUMIF(AA186:AA219,"=56610029",V186:V219)</f>
        <v>0</v>
      </c>
      <c r="EB221" s="4">
        <f>ROUND(SUMIF(AA186:AA219,"=56610029",W186:W219),2)</f>
        <v>0</v>
      </c>
      <c r="EC221" s="4">
        <f>ROUND(SUMIF(AA186:AA219,"=56610029",X186:X219),2)</f>
        <v>4559.3100000000004</v>
      </c>
      <c r="ED221" s="4">
        <f>ROUND(SUMIF(AA186:AA219,"=56610029",Y186:Y219),2)</f>
        <v>2104.73</v>
      </c>
      <c r="EE221" s="4"/>
      <c r="EF221" s="4"/>
      <c r="EG221" s="4">
        <f t="shared" ref="EG221:EV221" si="206">ROUND(FP221,2)</f>
        <v>0</v>
      </c>
      <c r="EH221" s="4">
        <f t="shared" si="206"/>
        <v>0</v>
      </c>
      <c r="EI221" s="4">
        <f t="shared" si="206"/>
        <v>0</v>
      </c>
      <c r="EJ221" s="4">
        <f t="shared" si="206"/>
        <v>61025.31</v>
      </c>
      <c r="EK221" s="4">
        <f t="shared" si="206"/>
        <v>61025.31</v>
      </c>
      <c r="EL221" s="4">
        <f t="shared" si="206"/>
        <v>0</v>
      </c>
      <c r="EM221" s="4">
        <f t="shared" si="206"/>
        <v>0</v>
      </c>
      <c r="EN221" s="4">
        <f t="shared" si="206"/>
        <v>39858.300000000003</v>
      </c>
      <c r="EO221" s="4">
        <f t="shared" si="206"/>
        <v>39858.300000000003</v>
      </c>
      <c r="EP221" s="4">
        <f t="shared" si="206"/>
        <v>0</v>
      </c>
      <c r="EQ221" s="4">
        <f t="shared" si="206"/>
        <v>39858.300000000003</v>
      </c>
      <c r="ER221" s="4">
        <f t="shared" si="206"/>
        <v>0</v>
      </c>
      <c r="ES221" s="4">
        <f t="shared" si="206"/>
        <v>0</v>
      </c>
      <c r="ET221" s="4">
        <f t="shared" si="206"/>
        <v>0</v>
      </c>
      <c r="EU221" s="4">
        <f t="shared" si="206"/>
        <v>0</v>
      </c>
      <c r="EV221" s="4">
        <f t="shared" si="206"/>
        <v>0</v>
      </c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>
        <f>ROUND(SUMIF(AA186:AA219,"=56610029",FQ186:FQ219),2)</f>
        <v>0</v>
      </c>
      <c r="FQ221" s="4">
        <f>ROUND(SUMIF(AA186:AA219,"=56610029",FR186:FR219),2)</f>
        <v>0</v>
      </c>
      <c r="FR221" s="4">
        <f>ROUND(SUMIF(AA186:AA219,"=56610029",GL186:GL219),2)</f>
        <v>0</v>
      </c>
      <c r="FS221" s="4">
        <f>ROUND(SUMIF(AA186:AA219,"=56610029",GM186:GM219),2)</f>
        <v>61025.31</v>
      </c>
      <c r="FT221" s="4">
        <f>ROUND(SUMIF(AA186:AA219,"=56610029",GN186:GN219),2)</f>
        <v>61025.31</v>
      </c>
      <c r="FU221" s="4">
        <f>ROUND(SUMIF(AA186:AA219,"=56610029",GO186:GO219),2)</f>
        <v>0</v>
      </c>
      <c r="FV221" s="4">
        <f>ROUND(SUMIF(AA186:AA219,"=56610029",GP186:GP219),2)</f>
        <v>0</v>
      </c>
      <c r="FW221" s="4">
        <f>DU221-FP221</f>
        <v>39858.300000000003</v>
      </c>
      <c r="FX221" s="4">
        <f>DU221-FQ221</f>
        <v>39858.300000000003</v>
      </c>
      <c r="FY221" s="4">
        <f>FP221-FR221</f>
        <v>0</v>
      </c>
      <c r="FZ221" s="4">
        <f>DU221-FP221-FQ221+FR221</f>
        <v>39858.300000000003</v>
      </c>
      <c r="GA221" s="4">
        <f>FQ221-FR221</f>
        <v>0</v>
      </c>
      <c r="GB221" s="4">
        <f>ROUND(SUMIF(AA186:AA219,"=56610029",GX186:GX219),2)</f>
        <v>0</v>
      </c>
      <c r="GC221" s="4">
        <f>ROUND(SUMIF(AA186:AA219,"=56610029",GY186:GY219),2)</f>
        <v>0</v>
      </c>
      <c r="GD221" s="4">
        <f>ROUND(SUMIF(AA186:AA219,"=56610029",GZ186:GZ219),2)</f>
        <v>0</v>
      </c>
      <c r="GE221" s="4">
        <f>ROUND(SUMIF(AA186:AA219,"=56610029",HD186:HD219),2)</f>
        <v>0</v>
      </c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>
        <v>0</v>
      </c>
    </row>
    <row r="223" spans="1:255" x14ac:dyDescent="0.2">
      <c r="A223" s="5">
        <v>50</v>
      </c>
      <c r="B223" s="5">
        <v>0</v>
      </c>
      <c r="C223" s="5">
        <v>0</v>
      </c>
      <c r="D223" s="5">
        <v>1</v>
      </c>
      <c r="E223" s="5">
        <v>201</v>
      </c>
      <c r="F223" s="5">
        <f>ROUND(Source!O221,O223)</f>
        <v>3740.44</v>
      </c>
      <c r="G223" s="5" t="s">
        <v>103</v>
      </c>
      <c r="H223" s="5" t="s">
        <v>104</v>
      </c>
      <c r="I223" s="5"/>
      <c r="J223" s="5"/>
      <c r="K223" s="5">
        <v>201</v>
      </c>
      <c r="L223" s="5">
        <v>1</v>
      </c>
      <c r="M223" s="5">
        <v>3</v>
      </c>
      <c r="N223" s="5" t="s">
        <v>3</v>
      </c>
      <c r="O223" s="5">
        <v>2</v>
      </c>
      <c r="P223" s="5">
        <f>ROUND(Source!DG221,O223)</f>
        <v>50950.04</v>
      </c>
      <c r="Q223" s="5"/>
      <c r="R223" s="5"/>
      <c r="S223" s="5"/>
      <c r="T223" s="5"/>
      <c r="U223" s="5"/>
      <c r="V223" s="5"/>
      <c r="W223" s="5">
        <v>3740.44</v>
      </c>
      <c r="X223" s="5">
        <v>1</v>
      </c>
      <c r="Y223" s="5">
        <v>3740.44</v>
      </c>
      <c r="Z223" s="5">
        <v>50950.04</v>
      </c>
      <c r="AA223" s="5">
        <v>1</v>
      </c>
      <c r="AB223" s="5">
        <v>50950.04</v>
      </c>
    </row>
    <row r="224" spans="1:255" x14ac:dyDescent="0.2">
      <c r="A224" s="5">
        <v>50</v>
      </c>
      <c r="B224" s="5">
        <v>0</v>
      </c>
      <c r="C224" s="5">
        <v>0</v>
      </c>
      <c r="D224" s="5">
        <v>1</v>
      </c>
      <c r="E224" s="5">
        <v>202</v>
      </c>
      <c r="F224" s="5">
        <f>ROUND(Source!P221,O224)</f>
        <v>3074.6</v>
      </c>
      <c r="G224" s="5" t="s">
        <v>105</v>
      </c>
      <c r="H224" s="5" t="s">
        <v>106</v>
      </c>
      <c r="I224" s="5"/>
      <c r="J224" s="5"/>
      <c r="K224" s="5">
        <v>202</v>
      </c>
      <c r="L224" s="5">
        <v>2</v>
      </c>
      <c r="M224" s="5">
        <v>3</v>
      </c>
      <c r="N224" s="5" t="s">
        <v>3</v>
      </c>
      <c r="O224" s="5">
        <v>2</v>
      </c>
      <c r="P224" s="5">
        <f>ROUND(Source!DH221,O224)</f>
        <v>39858.300000000003</v>
      </c>
      <c r="Q224" s="5"/>
      <c r="R224" s="5"/>
      <c r="S224" s="5"/>
      <c r="T224" s="5"/>
      <c r="U224" s="5"/>
      <c r="V224" s="5"/>
      <c r="W224" s="5">
        <v>3074.6</v>
      </c>
      <c r="X224" s="5">
        <v>1</v>
      </c>
      <c r="Y224" s="5">
        <v>3074.6</v>
      </c>
      <c r="Z224" s="5">
        <v>39858.300000000003</v>
      </c>
      <c r="AA224" s="5">
        <v>1</v>
      </c>
      <c r="AB224" s="5">
        <v>39858.300000000003</v>
      </c>
    </row>
    <row r="225" spans="1:28" x14ac:dyDescent="0.2">
      <c r="A225" s="5">
        <v>50</v>
      </c>
      <c r="B225" s="5">
        <v>0</v>
      </c>
      <c r="C225" s="5">
        <v>0</v>
      </c>
      <c r="D225" s="5">
        <v>1</v>
      </c>
      <c r="E225" s="5">
        <v>222</v>
      </c>
      <c r="F225" s="5">
        <f>ROUND(Source!AO221,O225)</f>
        <v>0</v>
      </c>
      <c r="G225" s="5" t="s">
        <v>107</v>
      </c>
      <c r="H225" s="5" t="s">
        <v>108</v>
      </c>
      <c r="I225" s="5"/>
      <c r="J225" s="5"/>
      <c r="K225" s="5">
        <v>222</v>
      </c>
      <c r="L225" s="5">
        <v>3</v>
      </c>
      <c r="M225" s="5">
        <v>3</v>
      </c>
      <c r="N225" s="5" t="s">
        <v>3</v>
      </c>
      <c r="O225" s="5">
        <v>2</v>
      </c>
      <c r="P225" s="5">
        <f>ROUND(Source!EG221,O225)</f>
        <v>0</v>
      </c>
      <c r="Q225" s="5"/>
      <c r="R225" s="5"/>
      <c r="S225" s="5"/>
      <c r="T225" s="5"/>
      <c r="U225" s="5"/>
      <c r="V225" s="5"/>
      <c r="W225" s="5">
        <v>0</v>
      </c>
      <c r="X225" s="5">
        <v>1</v>
      </c>
      <c r="Y225" s="5">
        <v>0</v>
      </c>
      <c r="Z225" s="5">
        <v>0</v>
      </c>
      <c r="AA225" s="5">
        <v>1</v>
      </c>
      <c r="AB225" s="5">
        <v>0</v>
      </c>
    </row>
    <row r="226" spans="1:28" x14ac:dyDescent="0.2">
      <c r="A226" s="5">
        <v>50</v>
      </c>
      <c r="B226" s="5">
        <v>0</v>
      </c>
      <c r="C226" s="5">
        <v>0</v>
      </c>
      <c r="D226" s="5">
        <v>1</v>
      </c>
      <c r="E226" s="5">
        <v>225</v>
      </c>
      <c r="F226" s="5">
        <f>ROUND(Source!AV221,O226)</f>
        <v>3074.6</v>
      </c>
      <c r="G226" s="5" t="s">
        <v>109</v>
      </c>
      <c r="H226" s="5" t="s">
        <v>110</v>
      </c>
      <c r="I226" s="5"/>
      <c r="J226" s="5"/>
      <c r="K226" s="5">
        <v>225</v>
      </c>
      <c r="L226" s="5">
        <v>4</v>
      </c>
      <c r="M226" s="5">
        <v>3</v>
      </c>
      <c r="N226" s="5" t="s">
        <v>3</v>
      </c>
      <c r="O226" s="5">
        <v>2</v>
      </c>
      <c r="P226" s="5">
        <f>ROUND(Source!EN221,O226)</f>
        <v>39858.300000000003</v>
      </c>
      <c r="Q226" s="5"/>
      <c r="R226" s="5"/>
      <c r="S226" s="5"/>
      <c r="T226" s="5"/>
      <c r="U226" s="5"/>
      <c r="V226" s="5"/>
      <c r="W226" s="5">
        <v>3074.6</v>
      </c>
      <c r="X226" s="5">
        <v>1</v>
      </c>
      <c r="Y226" s="5">
        <v>3074.6</v>
      </c>
      <c r="Z226" s="5">
        <v>39858.300000000003</v>
      </c>
      <c r="AA226" s="5">
        <v>1</v>
      </c>
      <c r="AB226" s="5">
        <v>39858.300000000003</v>
      </c>
    </row>
    <row r="227" spans="1:28" x14ac:dyDescent="0.2">
      <c r="A227" s="5">
        <v>50</v>
      </c>
      <c r="B227" s="5">
        <v>0</v>
      </c>
      <c r="C227" s="5">
        <v>0</v>
      </c>
      <c r="D227" s="5">
        <v>1</v>
      </c>
      <c r="E227" s="5">
        <v>226</v>
      </c>
      <c r="F227" s="5">
        <f>ROUND(Source!AW221,O227)</f>
        <v>3074.6</v>
      </c>
      <c r="G227" s="5" t="s">
        <v>111</v>
      </c>
      <c r="H227" s="5" t="s">
        <v>112</v>
      </c>
      <c r="I227" s="5"/>
      <c r="J227" s="5"/>
      <c r="K227" s="5">
        <v>226</v>
      </c>
      <c r="L227" s="5">
        <v>5</v>
      </c>
      <c r="M227" s="5">
        <v>3</v>
      </c>
      <c r="N227" s="5" t="s">
        <v>3</v>
      </c>
      <c r="O227" s="5">
        <v>2</v>
      </c>
      <c r="P227" s="5">
        <f>ROUND(Source!EO221,O227)</f>
        <v>39858.300000000003</v>
      </c>
      <c r="Q227" s="5"/>
      <c r="R227" s="5"/>
      <c r="S227" s="5"/>
      <c r="T227" s="5"/>
      <c r="U227" s="5"/>
      <c r="V227" s="5"/>
      <c r="W227" s="5">
        <v>3074.6</v>
      </c>
      <c r="X227" s="5">
        <v>1</v>
      </c>
      <c r="Y227" s="5">
        <v>3074.6</v>
      </c>
      <c r="Z227" s="5">
        <v>39858.300000000003</v>
      </c>
      <c r="AA227" s="5">
        <v>1</v>
      </c>
      <c r="AB227" s="5">
        <v>39858.300000000003</v>
      </c>
    </row>
    <row r="228" spans="1:28" x14ac:dyDescent="0.2">
      <c r="A228" s="5">
        <v>50</v>
      </c>
      <c r="B228" s="5">
        <v>0</v>
      </c>
      <c r="C228" s="5">
        <v>0</v>
      </c>
      <c r="D228" s="5">
        <v>1</v>
      </c>
      <c r="E228" s="5">
        <v>227</v>
      </c>
      <c r="F228" s="5">
        <f>ROUND(Source!AX221,O228)</f>
        <v>0</v>
      </c>
      <c r="G228" s="5" t="s">
        <v>113</v>
      </c>
      <c r="H228" s="5" t="s">
        <v>114</v>
      </c>
      <c r="I228" s="5"/>
      <c r="J228" s="5"/>
      <c r="K228" s="5">
        <v>227</v>
      </c>
      <c r="L228" s="5">
        <v>6</v>
      </c>
      <c r="M228" s="5">
        <v>3</v>
      </c>
      <c r="N228" s="5" t="s">
        <v>3</v>
      </c>
      <c r="O228" s="5">
        <v>2</v>
      </c>
      <c r="P228" s="5">
        <f>ROUND(Source!EP221,O228)</f>
        <v>0</v>
      </c>
      <c r="Q228" s="5"/>
      <c r="R228" s="5"/>
      <c r="S228" s="5"/>
      <c r="T228" s="5"/>
      <c r="U228" s="5"/>
      <c r="V228" s="5"/>
      <c r="W228" s="5">
        <v>0</v>
      </c>
      <c r="X228" s="5">
        <v>1</v>
      </c>
      <c r="Y228" s="5">
        <v>0</v>
      </c>
      <c r="Z228" s="5">
        <v>0</v>
      </c>
      <c r="AA228" s="5">
        <v>1</v>
      </c>
      <c r="AB228" s="5">
        <v>0</v>
      </c>
    </row>
    <row r="229" spans="1:28" x14ac:dyDescent="0.2">
      <c r="A229" s="5">
        <v>50</v>
      </c>
      <c r="B229" s="5">
        <v>0</v>
      </c>
      <c r="C229" s="5">
        <v>0</v>
      </c>
      <c r="D229" s="5">
        <v>1</v>
      </c>
      <c r="E229" s="5">
        <v>228</v>
      </c>
      <c r="F229" s="5">
        <f>ROUND(Source!AY221,O229)</f>
        <v>3074.6</v>
      </c>
      <c r="G229" s="5" t="s">
        <v>115</v>
      </c>
      <c r="H229" s="5" t="s">
        <v>116</v>
      </c>
      <c r="I229" s="5"/>
      <c r="J229" s="5"/>
      <c r="K229" s="5">
        <v>228</v>
      </c>
      <c r="L229" s="5">
        <v>7</v>
      </c>
      <c r="M229" s="5">
        <v>3</v>
      </c>
      <c r="N229" s="5" t="s">
        <v>3</v>
      </c>
      <c r="O229" s="5">
        <v>2</v>
      </c>
      <c r="P229" s="5">
        <f>ROUND(Source!EQ221,O229)</f>
        <v>39858.300000000003</v>
      </c>
      <c r="Q229" s="5"/>
      <c r="R229" s="5"/>
      <c r="S229" s="5"/>
      <c r="T229" s="5"/>
      <c r="U229" s="5"/>
      <c r="V229" s="5"/>
      <c r="W229" s="5">
        <v>3074.6</v>
      </c>
      <c r="X229" s="5">
        <v>1</v>
      </c>
      <c r="Y229" s="5">
        <v>3074.6</v>
      </c>
      <c r="Z229" s="5">
        <v>39858.300000000003</v>
      </c>
      <c r="AA229" s="5">
        <v>1</v>
      </c>
      <c r="AB229" s="5">
        <v>39858.300000000003</v>
      </c>
    </row>
    <row r="230" spans="1:28" x14ac:dyDescent="0.2">
      <c r="A230" s="5">
        <v>50</v>
      </c>
      <c r="B230" s="5">
        <v>0</v>
      </c>
      <c r="C230" s="5">
        <v>0</v>
      </c>
      <c r="D230" s="5">
        <v>1</v>
      </c>
      <c r="E230" s="5">
        <v>216</v>
      </c>
      <c r="F230" s="5">
        <f>ROUND(Source!AP221,O230)</f>
        <v>0</v>
      </c>
      <c r="G230" s="5" t="s">
        <v>117</v>
      </c>
      <c r="H230" s="5" t="s">
        <v>118</v>
      </c>
      <c r="I230" s="5"/>
      <c r="J230" s="5"/>
      <c r="K230" s="5">
        <v>216</v>
      </c>
      <c r="L230" s="5">
        <v>8</v>
      </c>
      <c r="M230" s="5">
        <v>3</v>
      </c>
      <c r="N230" s="5" t="s">
        <v>3</v>
      </c>
      <c r="O230" s="5">
        <v>2</v>
      </c>
      <c r="P230" s="5">
        <f>ROUND(Source!EH221,O230)</f>
        <v>0</v>
      </c>
      <c r="Q230" s="5"/>
      <c r="R230" s="5"/>
      <c r="S230" s="5"/>
      <c r="T230" s="5"/>
      <c r="U230" s="5"/>
      <c r="V230" s="5"/>
      <c r="W230" s="5">
        <v>0</v>
      </c>
      <c r="X230" s="5">
        <v>1</v>
      </c>
      <c r="Y230" s="5">
        <v>0</v>
      </c>
      <c r="Z230" s="5">
        <v>0</v>
      </c>
      <c r="AA230" s="5">
        <v>1</v>
      </c>
      <c r="AB230" s="5">
        <v>0</v>
      </c>
    </row>
    <row r="231" spans="1:28" x14ac:dyDescent="0.2">
      <c r="A231" s="5">
        <v>50</v>
      </c>
      <c r="B231" s="5">
        <v>0</v>
      </c>
      <c r="C231" s="5">
        <v>0</v>
      </c>
      <c r="D231" s="5">
        <v>1</v>
      </c>
      <c r="E231" s="5">
        <v>223</v>
      </c>
      <c r="F231" s="5">
        <f>ROUND(Source!AQ221,O231)</f>
        <v>0</v>
      </c>
      <c r="G231" s="5" t="s">
        <v>119</v>
      </c>
      <c r="H231" s="5" t="s">
        <v>120</v>
      </c>
      <c r="I231" s="5"/>
      <c r="J231" s="5"/>
      <c r="K231" s="5">
        <v>223</v>
      </c>
      <c r="L231" s="5">
        <v>9</v>
      </c>
      <c r="M231" s="5">
        <v>3</v>
      </c>
      <c r="N231" s="5" t="s">
        <v>3</v>
      </c>
      <c r="O231" s="5">
        <v>2</v>
      </c>
      <c r="P231" s="5">
        <f>ROUND(Source!EI221,O231)</f>
        <v>0</v>
      </c>
      <c r="Q231" s="5"/>
      <c r="R231" s="5"/>
      <c r="S231" s="5"/>
      <c r="T231" s="5"/>
      <c r="U231" s="5"/>
      <c r="V231" s="5"/>
      <c r="W231" s="5">
        <v>0</v>
      </c>
      <c r="X231" s="5">
        <v>1</v>
      </c>
      <c r="Y231" s="5">
        <v>0</v>
      </c>
      <c r="Z231" s="5">
        <v>0</v>
      </c>
      <c r="AA231" s="5">
        <v>1</v>
      </c>
      <c r="AB231" s="5">
        <v>0</v>
      </c>
    </row>
    <row r="232" spans="1:28" x14ac:dyDescent="0.2">
      <c r="A232" s="5">
        <v>50</v>
      </c>
      <c r="B232" s="5">
        <v>0</v>
      </c>
      <c r="C232" s="5">
        <v>0</v>
      </c>
      <c r="D232" s="5">
        <v>1</v>
      </c>
      <c r="E232" s="5">
        <v>229</v>
      </c>
      <c r="F232" s="5">
        <f>ROUND(Source!AZ221,O232)</f>
        <v>0</v>
      </c>
      <c r="G232" s="5" t="s">
        <v>121</v>
      </c>
      <c r="H232" s="5" t="s">
        <v>122</v>
      </c>
      <c r="I232" s="5"/>
      <c r="J232" s="5"/>
      <c r="K232" s="5">
        <v>229</v>
      </c>
      <c r="L232" s="5">
        <v>10</v>
      </c>
      <c r="M232" s="5">
        <v>3</v>
      </c>
      <c r="N232" s="5" t="s">
        <v>3</v>
      </c>
      <c r="O232" s="5">
        <v>2</v>
      </c>
      <c r="P232" s="5">
        <f>ROUND(Source!ER221,O232)</f>
        <v>0</v>
      </c>
      <c r="Q232" s="5"/>
      <c r="R232" s="5"/>
      <c r="S232" s="5"/>
      <c r="T232" s="5"/>
      <c r="U232" s="5"/>
      <c r="V232" s="5"/>
      <c r="W232" s="5">
        <v>0</v>
      </c>
      <c r="X232" s="5">
        <v>1</v>
      </c>
      <c r="Y232" s="5">
        <v>0</v>
      </c>
      <c r="Z232" s="5">
        <v>0</v>
      </c>
      <c r="AA232" s="5">
        <v>1</v>
      </c>
      <c r="AB232" s="5">
        <v>0</v>
      </c>
    </row>
    <row r="233" spans="1:28" x14ac:dyDescent="0.2">
      <c r="A233" s="5">
        <v>50</v>
      </c>
      <c r="B233" s="5">
        <v>0</v>
      </c>
      <c r="C233" s="5">
        <v>0</v>
      </c>
      <c r="D233" s="5">
        <v>1</v>
      </c>
      <c r="E233" s="5">
        <v>203</v>
      </c>
      <c r="F233" s="5">
        <f>ROUND(Source!Q221,O233)</f>
        <v>540.91999999999996</v>
      </c>
      <c r="G233" s="5" t="s">
        <v>123</v>
      </c>
      <c r="H233" s="5" t="s">
        <v>124</v>
      </c>
      <c r="I233" s="5"/>
      <c r="J233" s="5"/>
      <c r="K233" s="5">
        <v>203</v>
      </c>
      <c r="L233" s="5">
        <v>11</v>
      </c>
      <c r="M233" s="5">
        <v>3</v>
      </c>
      <c r="N233" s="5" t="s">
        <v>3</v>
      </c>
      <c r="O233" s="5">
        <v>2</v>
      </c>
      <c r="P233" s="5">
        <f>ROUND(Source!DI221,O233)</f>
        <v>6780.75</v>
      </c>
      <c r="Q233" s="5"/>
      <c r="R233" s="5"/>
      <c r="S233" s="5"/>
      <c r="T233" s="5"/>
      <c r="U233" s="5"/>
      <c r="V233" s="5"/>
      <c r="W233" s="5">
        <v>540.91999999999996</v>
      </c>
      <c r="X233" s="5">
        <v>1</v>
      </c>
      <c r="Y233" s="5">
        <v>540.91999999999996</v>
      </c>
      <c r="Z233" s="5">
        <v>6780.75</v>
      </c>
      <c r="AA233" s="5">
        <v>1</v>
      </c>
      <c r="AB233" s="5">
        <v>6780.75</v>
      </c>
    </row>
    <row r="234" spans="1:28" x14ac:dyDescent="0.2">
      <c r="A234" s="5">
        <v>50</v>
      </c>
      <c r="B234" s="5">
        <v>0</v>
      </c>
      <c r="C234" s="5">
        <v>0</v>
      </c>
      <c r="D234" s="5">
        <v>1</v>
      </c>
      <c r="E234" s="5">
        <v>231</v>
      </c>
      <c r="F234" s="5">
        <f>ROUND(Source!BB221,O234)</f>
        <v>0</v>
      </c>
      <c r="G234" s="5" t="s">
        <v>125</v>
      </c>
      <c r="H234" s="5" t="s">
        <v>126</v>
      </c>
      <c r="I234" s="5"/>
      <c r="J234" s="5"/>
      <c r="K234" s="5">
        <v>231</v>
      </c>
      <c r="L234" s="5">
        <v>12</v>
      </c>
      <c r="M234" s="5">
        <v>3</v>
      </c>
      <c r="N234" s="5" t="s">
        <v>3</v>
      </c>
      <c r="O234" s="5">
        <v>2</v>
      </c>
      <c r="P234" s="5">
        <f>ROUND(Source!ET221,O234)</f>
        <v>0</v>
      </c>
      <c r="Q234" s="5"/>
      <c r="R234" s="5"/>
      <c r="S234" s="5"/>
      <c r="T234" s="5"/>
      <c r="U234" s="5"/>
      <c r="V234" s="5"/>
      <c r="W234" s="5">
        <v>0</v>
      </c>
      <c r="X234" s="5">
        <v>1</v>
      </c>
      <c r="Y234" s="5">
        <v>0</v>
      </c>
      <c r="Z234" s="5">
        <v>0</v>
      </c>
      <c r="AA234" s="5">
        <v>1</v>
      </c>
      <c r="AB234" s="5">
        <v>0</v>
      </c>
    </row>
    <row r="235" spans="1:28" x14ac:dyDescent="0.2">
      <c r="A235" s="5">
        <v>50</v>
      </c>
      <c r="B235" s="5">
        <v>0</v>
      </c>
      <c r="C235" s="5">
        <v>0</v>
      </c>
      <c r="D235" s="5">
        <v>1</v>
      </c>
      <c r="E235" s="5">
        <v>204</v>
      </c>
      <c r="F235" s="5">
        <f>ROUND(Source!R221,O235)</f>
        <v>61.78</v>
      </c>
      <c r="G235" s="5" t="s">
        <v>127</v>
      </c>
      <c r="H235" s="5" t="s">
        <v>128</v>
      </c>
      <c r="I235" s="5"/>
      <c r="J235" s="5"/>
      <c r="K235" s="5">
        <v>204</v>
      </c>
      <c r="L235" s="5">
        <v>13</v>
      </c>
      <c r="M235" s="5">
        <v>3</v>
      </c>
      <c r="N235" s="5" t="s">
        <v>3</v>
      </c>
      <c r="O235" s="5">
        <v>2</v>
      </c>
      <c r="P235" s="5">
        <f>ROUND(Source!DJ221,O235)</f>
        <v>2132.0300000000002</v>
      </c>
      <c r="Q235" s="5"/>
      <c r="R235" s="5"/>
      <c r="S235" s="5"/>
      <c r="T235" s="5"/>
      <c r="U235" s="5"/>
      <c r="V235" s="5"/>
      <c r="W235" s="5">
        <v>61.78</v>
      </c>
      <c r="X235" s="5">
        <v>1</v>
      </c>
      <c r="Y235" s="5">
        <v>61.78</v>
      </c>
      <c r="Z235" s="5">
        <v>2132.0300000000002</v>
      </c>
      <c r="AA235" s="5">
        <v>1</v>
      </c>
      <c r="AB235" s="5">
        <v>2132.0300000000002</v>
      </c>
    </row>
    <row r="236" spans="1:28" x14ac:dyDescent="0.2">
      <c r="A236" s="5">
        <v>50</v>
      </c>
      <c r="B236" s="5">
        <v>0</v>
      </c>
      <c r="C236" s="5">
        <v>0</v>
      </c>
      <c r="D236" s="5">
        <v>1</v>
      </c>
      <c r="E236" s="5">
        <v>205</v>
      </c>
      <c r="F236" s="5">
        <f>ROUND(Source!S221,O236)</f>
        <v>124.92</v>
      </c>
      <c r="G236" s="5" t="s">
        <v>129</v>
      </c>
      <c r="H236" s="5" t="s">
        <v>130</v>
      </c>
      <c r="I236" s="5"/>
      <c r="J236" s="5"/>
      <c r="K236" s="5">
        <v>205</v>
      </c>
      <c r="L236" s="5">
        <v>14</v>
      </c>
      <c r="M236" s="5">
        <v>3</v>
      </c>
      <c r="N236" s="5" t="s">
        <v>3</v>
      </c>
      <c r="O236" s="5">
        <v>2</v>
      </c>
      <c r="P236" s="5">
        <f>ROUND(Source!DK221,O236)</f>
        <v>4310.99</v>
      </c>
      <c r="Q236" s="5"/>
      <c r="R236" s="5"/>
      <c r="S236" s="5"/>
      <c r="T236" s="5"/>
      <c r="U236" s="5"/>
      <c r="V236" s="5"/>
      <c r="W236" s="5">
        <v>124.92</v>
      </c>
      <c r="X236" s="5">
        <v>1</v>
      </c>
      <c r="Y236" s="5">
        <v>124.92</v>
      </c>
      <c r="Z236" s="5">
        <v>4310.99</v>
      </c>
      <c r="AA236" s="5">
        <v>1</v>
      </c>
      <c r="AB236" s="5">
        <v>4310.99</v>
      </c>
    </row>
    <row r="237" spans="1:28" x14ac:dyDescent="0.2">
      <c r="A237" s="5">
        <v>50</v>
      </c>
      <c r="B237" s="5">
        <v>0</v>
      </c>
      <c r="C237" s="5">
        <v>0</v>
      </c>
      <c r="D237" s="5">
        <v>1</v>
      </c>
      <c r="E237" s="5">
        <v>232</v>
      </c>
      <c r="F237" s="5">
        <f>ROUND(Source!BC221,O237)</f>
        <v>0</v>
      </c>
      <c r="G237" s="5" t="s">
        <v>131</v>
      </c>
      <c r="H237" s="5" t="s">
        <v>132</v>
      </c>
      <c r="I237" s="5"/>
      <c r="J237" s="5"/>
      <c r="K237" s="5">
        <v>232</v>
      </c>
      <c r="L237" s="5">
        <v>15</v>
      </c>
      <c r="M237" s="5">
        <v>3</v>
      </c>
      <c r="N237" s="5" t="s">
        <v>3</v>
      </c>
      <c r="O237" s="5">
        <v>2</v>
      </c>
      <c r="P237" s="5">
        <f>ROUND(Source!EU221,O237)</f>
        <v>0</v>
      </c>
      <c r="Q237" s="5"/>
      <c r="R237" s="5"/>
      <c r="S237" s="5"/>
      <c r="T237" s="5"/>
      <c r="U237" s="5"/>
      <c r="V237" s="5"/>
      <c r="W237" s="5">
        <v>0</v>
      </c>
      <c r="X237" s="5">
        <v>1</v>
      </c>
      <c r="Y237" s="5">
        <v>0</v>
      </c>
      <c r="Z237" s="5">
        <v>0</v>
      </c>
      <c r="AA237" s="5">
        <v>1</v>
      </c>
      <c r="AB237" s="5">
        <v>0</v>
      </c>
    </row>
    <row r="238" spans="1:28" x14ac:dyDescent="0.2">
      <c r="A238" s="5">
        <v>50</v>
      </c>
      <c r="B238" s="5">
        <v>0</v>
      </c>
      <c r="C238" s="5">
        <v>0</v>
      </c>
      <c r="D238" s="5">
        <v>1</v>
      </c>
      <c r="E238" s="5">
        <v>214</v>
      </c>
      <c r="F238" s="5">
        <f>ROUND(Source!AS221,O238)</f>
        <v>4110.03</v>
      </c>
      <c r="G238" s="5" t="s">
        <v>133</v>
      </c>
      <c r="H238" s="5" t="s">
        <v>134</v>
      </c>
      <c r="I238" s="5"/>
      <c r="J238" s="5"/>
      <c r="K238" s="5">
        <v>214</v>
      </c>
      <c r="L238" s="5">
        <v>16</v>
      </c>
      <c r="M238" s="5">
        <v>3</v>
      </c>
      <c r="N238" s="5" t="s">
        <v>3</v>
      </c>
      <c r="O238" s="5">
        <v>2</v>
      </c>
      <c r="P238" s="5">
        <f>ROUND(Source!EK221,O238)</f>
        <v>61025.31</v>
      </c>
      <c r="Q238" s="5"/>
      <c r="R238" s="5"/>
      <c r="S238" s="5"/>
      <c r="T238" s="5"/>
      <c r="U238" s="5"/>
      <c r="V238" s="5"/>
      <c r="W238" s="5">
        <v>4110.03</v>
      </c>
      <c r="X238" s="5">
        <v>1</v>
      </c>
      <c r="Y238" s="5">
        <v>4110.03</v>
      </c>
      <c r="Z238" s="5">
        <v>61025.31</v>
      </c>
      <c r="AA238" s="5">
        <v>1</v>
      </c>
      <c r="AB238" s="5">
        <v>61025.31</v>
      </c>
    </row>
    <row r="239" spans="1:28" x14ac:dyDescent="0.2">
      <c r="A239" s="5">
        <v>50</v>
      </c>
      <c r="B239" s="5">
        <v>0</v>
      </c>
      <c r="C239" s="5">
        <v>0</v>
      </c>
      <c r="D239" s="5">
        <v>1</v>
      </c>
      <c r="E239" s="5">
        <v>215</v>
      </c>
      <c r="F239" s="5">
        <f>ROUND(Source!AT221,O239)</f>
        <v>0</v>
      </c>
      <c r="G239" s="5" t="s">
        <v>135</v>
      </c>
      <c r="H239" s="5" t="s">
        <v>136</v>
      </c>
      <c r="I239" s="5"/>
      <c r="J239" s="5"/>
      <c r="K239" s="5">
        <v>215</v>
      </c>
      <c r="L239" s="5">
        <v>17</v>
      </c>
      <c r="M239" s="5">
        <v>3</v>
      </c>
      <c r="N239" s="5" t="s">
        <v>3</v>
      </c>
      <c r="O239" s="5">
        <v>2</v>
      </c>
      <c r="P239" s="5">
        <f>ROUND(Source!EL221,O239)</f>
        <v>0</v>
      </c>
      <c r="Q239" s="5"/>
      <c r="R239" s="5"/>
      <c r="S239" s="5"/>
      <c r="T239" s="5"/>
      <c r="U239" s="5"/>
      <c r="V239" s="5"/>
      <c r="W239" s="5">
        <v>0</v>
      </c>
      <c r="X239" s="5">
        <v>1</v>
      </c>
      <c r="Y239" s="5">
        <v>0</v>
      </c>
      <c r="Z239" s="5">
        <v>0</v>
      </c>
      <c r="AA239" s="5">
        <v>1</v>
      </c>
      <c r="AB239" s="5">
        <v>0</v>
      </c>
    </row>
    <row r="240" spans="1:28" x14ac:dyDescent="0.2">
      <c r="A240" s="5">
        <v>50</v>
      </c>
      <c r="B240" s="5">
        <v>0</v>
      </c>
      <c r="C240" s="5">
        <v>0</v>
      </c>
      <c r="D240" s="5">
        <v>1</v>
      </c>
      <c r="E240" s="5">
        <v>217</v>
      </c>
      <c r="F240" s="5">
        <f>ROUND(Source!AU221,O240)</f>
        <v>0</v>
      </c>
      <c r="G240" s="5" t="s">
        <v>137</v>
      </c>
      <c r="H240" s="5" t="s">
        <v>138</v>
      </c>
      <c r="I240" s="5"/>
      <c r="J240" s="5"/>
      <c r="K240" s="5">
        <v>217</v>
      </c>
      <c r="L240" s="5">
        <v>18</v>
      </c>
      <c r="M240" s="5">
        <v>3</v>
      </c>
      <c r="N240" s="5" t="s">
        <v>3</v>
      </c>
      <c r="O240" s="5">
        <v>2</v>
      </c>
      <c r="P240" s="5">
        <f>ROUND(Source!EM221,O240)</f>
        <v>0</v>
      </c>
      <c r="Q240" s="5"/>
      <c r="R240" s="5"/>
      <c r="S240" s="5"/>
      <c r="T240" s="5"/>
      <c r="U240" s="5"/>
      <c r="V240" s="5"/>
      <c r="W240" s="5">
        <v>0</v>
      </c>
      <c r="X240" s="5">
        <v>1</v>
      </c>
      <c r="Y240" s="5">
        <v>0</v>
      </c>
      <c r="Z240" s="5">
        <v>0</v>
      </c>
      <c r="AA240" s="5">
        <v>1</v>
      </c>
      <c r="AB240" s="5">
        <v>0</v>
      </c>
    </row>
    <row r="241" spans="1:255" x14ac:dyDescent="0.2">
      <c r="A241" s="5">
        <v>50</v>
      </c>
      <c r="B241" s="5">
        <v>0</v>
      </c>
      <c r="C241" s="5">
        <v>0</v>
      </c>
      <c r="D241" s="5">
        <v>1</v>
      </c>
      <c r="E241" s="5">
        <v>230</v>
      </c>
      <c r="F241" s="5">
        <f>ROUND(Source!BA221,O241)</f>
        <v>0</v>
      </c>
      <c r="G241" s="5" t="s">
        <v>139</v>
      </c>
      <c r="H241" s="5" t="s">
        <v>140</v>
      </c>
      <c r="I241" s="5"/>
      <c r="J241" s="5"/>
      <c r="K241" s="5">
        <v>230</v>
      </c>
      <c r="L241" s="5">
        <v>19</v>
      </c>
      <c r="M241" s="5">
        <v>3</v>
      </c>
      <c r="N241" s="5" t="s">
        <v>3</v>
      </c>
      <c r="O241" s="5">
        <v>2</v>
      </c>
      <c r="P241" s="5">
        <f>ROUND(Source!ES221,O241)</f>
        <v>0</v>
      </c>
      <c r="Q241" s="5"/>
      <c r="R241" s="5"/>
      <c r="S241" s="5"/>
      <c r="T241" s="5"/>
      <c r="U241" s="5"/>
      <c r="V241" s="5"/>
      <c r="W241" s="5">
        <v>0</v>
      </c>
      <c r="X241" s="5">
        <v>1</v>
      </c>
      <c r="Y241" s="5">
        <v>0</v>
      </c>
      <c r="Z241" s="5">
        <v>0</v>
      </c>
      <c r="AA241" s="5">
        <v>1</v>
      </c>
      <c r="AB241" s="5">
        <v>0</v>
      </c>
    </row>
    <row r="242" spans="1:255" x14ac:dyDescent="0.2">
      <c r="A242" s="5">
        <v>50</v>
      </c>
      <c r="B242" s="5">
        <v>0</v>
      </c>
      <c r="C242" s="5">
        <v>0</v>
      </c>
      <c r="D242" s="5">
        <v>1</v>
      </c>
      <c r="E242" s="5">
        <v>206</v>
      </c>
      <c r="F242" s="5">
        <f>ROUND(Source!T221,O242)</f>
        <v>0</v>
      </c>
      <c r="G242" s="5" t="s">
        <v>141</v>
      </c>
      <c r="H242" s="5" t="s">
        <v>142</v>
      </c>
      <c r="I242" s="5"/>
      <c r="J242" s="5"/>
      <c r="K242" s="5">
        <v>206</v>
      </c>
      <c r="L242" s="5">
        <v>20</v>
      </c>
      <c r="M242" s="5">
        <v>3</v>
      </c>
      <c r="N242" s="5" t="s">
        <v>3</v>
      </c>
      <c r="O242" s="5">
        <v>2</v>
      </c>
      <c r="P242" s="5">
        <f>ROUND(Source!DL221,O242)</f>
        <v>0</v>
      </c>
      <c r="Q242" s="5"/>
      <c r="R242" s="5"/>
      <c r="S242" s="5"/>
      <c r="T242" s="5"/>
      <c r="U242" s="5"/>
      <c r="V242" s="5"/>
      <c r="W242" s="5">
        <v>0</v>
      </c>
      <c r="X242" s="5">
        <v>1</v>
      </c>
      <c r="Y242" s="5">
        <v>0</v>
      </c>
      <c r="Z242" s="5">
        <v>0</v>
      </c>
      <c r="AA242" s="5">
        <v>1</v>
      </c>
      <c r="AB242" s="5">
        <v>0</v>
      </c>
    </row>
    <row r="243" spans="1:255" x14ac:dyDescent="0.2">
      <c r="A243" s="5">
        <v>50</v>
      </c>
      <c r="B243" s="5">
        <v>0</v>
      </c>
      <c r="C243" s="5">
        <v>0</v>
      </c>
      <c r="D243" s="5">
        <v>1</v>
      </c>
      <c r="E243" s="5">
        <v>207</v>
      </c>
      <c r="F243" s="5">
        <f>Source!U221</f>
        <v>10.8763048926</v>
      </c>
      <c r="G243" s="5" t="s">
        <v>143</v>
      </c>
      <c r="H243" s="5" t="s">
        <v>144</v>
      </c>
      <c r="I243" s="5"/>
      <c r="J243" s="5"/>
      <c r="K243" s="5">
        <v>207</v>
      </c>
      <c r="L243" s="5">
        <v>21</v>
      </c>
      <c r="M243" s="5">
        <v>3</v>
      </c>
      <c r="N243" s="5" t="s">
        <v>3</v>
      </c>
      <c r="O243" s="5">
        <v>-1</v>
      </c>
      <c r="P243" s="5">
        <f>Source!DM221</f>
        <v>10.8763048926</v>
      </c>
      <c r="Q243" s="5"/>
      <c r="R243" s="5"/>
      <c r="S243" s="5"/>
      <c r="T243" s="5"/>
      <c r="U243" s="5"/>
      <c r="V243" s="5"/>
      <c r="W243" s="5">
        <v>10.876304892600004</v>
      </c>
      <c r="X243" s="5">
        <v>1</v>
      </c>
      <c r="Y243" s="5">
        <v>10.876304892600004</v>
      </c>
      <c r="Z243" s="5">
        <v>10.876304892600004</v>
      </c>
      <c r="AA243" s="5">
        <v>1</v>
      </c>
      <c r="AB243" s="5">
        <v>10.876304892600004</v>
      </c>
    </row>
    <row r="244" spans="1:255" x14ac:dyDescent="0.2">
      <c r="A244" s="5">
        <v>50</v>
      </c>
      <c r="B244" s="5">
        <v>0</v>
      </c>
      <c r="C244" s="5">
        <v>0</v>
      </c>
      <c r="D244" s="5">
        <v>1</v>
      </c>
      <c r="E244" s="5">
        <v>208</v>
      </c>
      <c r="F244" s="5">
        <f>Source!V221</f>
        <v>0</v>
      </c>
      <c r="G244" s="5" t="s">
        <v>145</v>
      </c>
      <c r="H244" s="5" t="s">
        <v>146</v>
      </c>
      <c r="I244" s="5"/>
      <c r="J244" s="5"/>
      <c r="K244" s="5">
        <v>208</v>
      </c>
      <c r="L244" s="5">
        <v>22</v>
      </c>
      <c r="M244" s="5">
        <v>3</v>
      </c>
      <c r="N244" s="5" t="s">
        <v>3</v>
      </c>
      <c r="O244" s="5">
        <v>-1</v>
      </c>
      <c r="P244" s="5">
        <f>Source!DN221</f>
        <v>0</v>
      </c>
      <c r="Q244" s="5"/>
      <c r="R244" s="5"/>
      <c r="S244" s="5"/>
      <c r="T244" s="5"/>
      <c r="U244" s="5"/>
      <c r="V244" s="5"/>
      <c r="W244" s="5">
        <v>0</v>
      </c>
      <c r="X244" s="5">
        <v>1</v>
      </c>
      <c r="Y244" s="5">
        <v>0</v>
      </c>
      <c r="Z244" s="5">
        <v>0</v>
      </c>
      <c r="AA244" s="5">
        <v>1</v>
      </c>
      <c r="AB244" s="5">
        <v>0</v>
      </c>
    </row>
    <row r="245" spans="1:255" x14ac:dyDescent="0.2">
      <c r="A245" s="5">
        <v>50</v>
      </c>
      <c r="B245" s="5">
        <v>0</v>
      </c>
      <c r="C245" s="5">
        <v>0</v>
      </c>
      <c r="D245" s="5">
        <v>1</v>
      </c>
      <c r="E245" s="5">
        <v>209</v>
      </c>
      <c r="F245" s="5">
        <f>ROUND(Source!W221,O245)</f>
        <v>0</v>
      </c>
      <c r="G245" s="5" t="s">
        <v>147</v>
      </c>
      <c r="H245" s="5" t="s">
        <v>148</v>
      </c>
      <c r="I245" s="5"/>
      <c r="J245" s="5"/>
      <c r="K245" s="5">
        <v>209</v>
      </c>
      <c r="L245" s="5">
        <v>23</v>
      </c>
      <c r="M245" s="5">
        <v>3</v>
      </c>
      <c r="N245" s="5" t="s">
        <v>3</v>
      </c>
      <c r="O245" s="5">
        <v>2</v>
      </c>
      <c r="P245" s="5">
        <f>ROUND(Source!DO221,O245)</f>
        <v>0</v>
      </c>
      <c r="Q245" s="5"/>
      <c r="R245" s="5"/>
      <c r="S245" s="5"/>
      <c r="T245" s="5"/>
      <c r="U245" s="5"/>
      <c r="V245" s="5"/>
      <c r="W245" s="5">
        <v>0</v>
      </c>
      <c r="X245" s="5">
        <v>1</v>
      </c>
      <c r="Y245" s="5">
        <v>0</v>
      </c>
      <c r="Z245" s="5">
        <v>0</v>
      </c>
      <c r="AA245" s="5">
        <v>1</v>
      </c>
      <c r="AB245" s="5">
        <v>0</v>
      </c>
    </row>
    <row r="246" spans="1:255" x14ac:dyDescent="0.2">
      <c r="A246" s="5">
        <v>50</v>
      </c>
      <c r="B246" s="5">
        <v>0</v>
      </c>
      <c r="C246" s="5">
        <v>0</v>
      </c>
      <c r="D246" s="5">
        <v>1</v>
      </c>
      <c r="E246" s="5">
        <v>233</v>
      </c>
      <c r="F246" s="5">
        <f>ROUND(Source!BD221,O246)</f>
        <v>0</v>
      </c>
      <c r="G246" s="5" t="s">
        <v>149</v>
      </c>
      <c r="H246" s="5" t="s">
        <v>150</v>
      </c>
      <c r="I246" s="5"/>
      <c r="J246" s="5"/>
      <c r="K246" s="5">
        <v>233</v>
      </c>
      <c r="L246" s="5">
        <v>24</v>
      </c>
      <c r="M246" s="5">
        <v>3</v>
      </c>
      <c r="N246" s="5" t="s">
        <v>3</v>
      </c>
      <c r="O246" s="5">
        <v>2</v>
      </c>
      <c r="P246" s="5">
        <f>ROUND(Source!EV221,O246)</f>
        <v>0</v>
      </c>
      <c r="Q246" s="5"/>
      <c r="R246" s="5"/>
      <c r="S246" s="5"/>
      <c r="T246" s="5"/>
      <c r="U246" s="5"/>
      <c r="V246" s="5"/>
      <c r="W246" s="5">
        <v>0</v>
      </c>
      <c r="X246" s="5">
        <v>1</v>
      </c>
      <c r="Y246" s="5">
        <v>0</v>
      </c>
      <c r="Z246" s="5">
        <v>0</v>
      </c>
      <c r="AA246" s="5">
        <v>1</v>
      </c>
      <c r="AB246" s="5">
        <v>0</v>
      </c>
    </row>
    <row r="247" spans="1:255" x14ac:dyDescent="0.2">
      <c r="A247" s="5">
        <v>50</v>
      </c>
      <c r="B247" s="5">
        <v>0</v>
      </c>
      <c r="C247" s="5">
        <v>0</v>
      </c>
      <c r="D247" s="5">
        <v>1</v>
      </c>
      <c r="E247" s="5">
        <v>210</v>
      </c>
      <c r="F247" s="5">
        <f>ROUND(Source!X221,O247)</f>
        <v>156.47</v>
      </c>
      <c r="G247" s="5" t="s">
        <v>151</v>
      </c>
      <c r="H247" s="5" t="s">
        <v>152</v>
      </c>
      <c r="I247" s="5"/>
      <c r="J247" s="5"/>
      <c r="K247" s="5">
        <v>210</v>
      </c>
      <c r="L247" s="5">
        <v>25</v>
      </c>
      <c r="M247" s="5">
        <v>3</v>
      </c>
      <c r="N247" s="5" t="s">
        <v>3</v>
      </c>
      <c r="O247" s="5">
        <v>2</v>
      </c>
      <c r="P247" s="5">
        <f>ROUND(Source!DP221,O247)</f>
        <v>4559.3100000000004</v>
      </c>
      <c r="Q247" s="5"/>
      <c r="R247" s="5"/>
      <c r="S247" s="5"/>
      <c r="T247" s="5"/>
      <c r="U247" s="5"/>
      <c r="V247" s="5"/>
      <c r="W247" s="5">
        <v>156.47</v>
      </c>
      <c r="X247" s="5">
        <v>1</v>
      </c>
      <c r="Y247" s="5">
        <v>156.47</v>
      </c>
      <c r="Z247" s="5">
        <v>4559.3100000000004</v>
      </c>
      <c r="AA247" s="5">
        <v>1</v>
      </c>
      <c r="AB247" s="5">
        <v>4559.3100000000004</v>
      </c>
    </row>
    <row r="248" spans="1:255" x14ac:dyDescent="0.2">
      <c r="A248" s="5">
        <v>50</v>
      </c>
      <c r="B248" s="5">
        <v>0</v>
      </c>
      <c r="C248" s="5">
        <v>0</v>
      </c>
      <c r="D248" s="5">
        <v>1</v>
      </c>
      <c r="E248" s="5">
        <v>211</v>
      </c>
      <c r="F248" s="5">
        <f>ROUND(Source!Y221,O248)</f>
        <v>104.98</v>
      </c>
      <c r="G248" s="5" t="s">
        <v>153</v>
      </c>
      <c r="H248" s="5" t="s">
        <v>154</v>
      </c>
      <c r="I248" s="5"/>
      <c r="J248" s="5"/>
      <c r="K248" s="5">
        <v>211</v>
      </c>
      <c r="L248" s="5">
        <v>26</v>
      </c>
      <c r="M248" s="5">
        <v>3</v>
      </c>
      <c r="N248" s="5" t="s">
        <v>3</v>
      </c>
      <c r="O248" s="5">
        <v>2</v>
      </c>
      <c r="P248" s="5">
        <f>ROUND(Source!DQ221,O248)</f>
        <v>2104.73</v>
      </c>
      <c r="Q248" s="5"/>
      <c r="R248" s="5"/>
      <c r="S248" s="5"/>
      <c r="T248" s="5"/>
      <c r="U248" s="5"/>
      <c r="V248" s="5"/>
      <c r="W248" s="5">
        <v>104.98</v>
      </c>
      <c r="X248" s="5">
        <v>1</v>
      </c>
      <c r="Y248" s="5">
        <v>104.98</v>
      </c>
      <c r="Z248" s="5">
        <v>2104.73</v>
      </c>
      <c r="AA248" s="5">
        <v>1</v>
      </c>
      <c r="AB248" s="5">
        <v>2104.73</v>
      </c>
    </row>
    <row r="249" spans="1:255" x14ac:dyDescent="0.2">
      <c r="A249" s="5">
        <v>50</v>
      </c>
      <c r="B249" s="5">
        <v>0</v>
      </c>
      <c r="C249" s="5">
        <v>0</v>
      </c>
      <c r="D249" s="5">
        <v>1</v>
      </c>
      <c r="E249" s="5">
        <v>224</v>
      </c>
      <c r="F249" s="5">
        <f>ROUND(Source!AR221,O249)</f>
        <v>4110.03</v>
      </c>
      <c r="G249" s="5" t="s">
        <v>155</v>
      </c>
      <c r="H249" s="5" t="s">
        <v>156</v>
      </c>
      <c r="I249" s="5"/>
      <c r="J249" s="5"/>
      <c r="K249" s="5">
        <v>224</v>
      </c>
      <c r="L249" s="5">
        <v>27</v>
      </c>
      <c r="M249" s="5">
        <v>3</v>
      </c>
      <c r="N249" s="5" t="s">
        <v>3</v>
      </c>
      <c r="O249" s="5">
        <v>2</v>
      </c>
      <c r="P249" s="5">
        <f>ROUND(Source!EJ221,O249)</f>
        <v>61025.31</v>
      </c>
      <c r="Q249" s="5"/>
      <c r="R249" s="5"/>
      <c r="S249" s="5"/>
      <c r="T249" s="5"/>
      <c r="U249" s="5"/>
      <c r="V249" s="5"/>
      <c r="W249" s="5">
        <v>4110.03</v>
      </c>
      <c r="X249" s="5">
        <v>1</v>
      </c>
      <c r="Y249" s="5">
        <v>4110.03</v>
      </c>
      <c r="Z249" s="5">
        <v>61025.31</v>
      </c>
      <c r="AA249" s="5">
        <v>1</v>
      </c>
      <c r="AB249" s="5">
        <v>61025.31</v>
      </c>
    </row>
    <row r="251" spans="1:255" x14ac:dyDescent="0.2">
      <c r="A251" s="1">
        <v>5</v>
      </c>
      <c r="B251" s="1">
        <v>1</v>
      </c>
      <c r="C251" s="1"/>
      <c r="D251" s="1">
        <f>ROW(A282)</f>
        <v>282</v>
      </c>
      <c r="E251" s="1"/>
      <c r="F251" s="1" t="s">
        <v>263</v>
      </c>
      <c r="G251" s="1" t="s">
        <v>334</v>
      </c>
      <c r="H251" s="1" t="s">
        <v>3</v>
      </c>
      <c r="I251" s="1">
        <v>0</v>
      </c>
      <c r="J251" s="1"/>
      <c r="K251" s="1">
        <v>0</v>
      </c>
      <c r="L251" s="1"/>
      <c r="M251" s="1" t="s">
        <v>3</v>
      </c>
      <c r="N251" s="1"/>
      <c r="O251" s="1"/>
      <c r="P251" s="1"/>
      <c r="Q251" s="1"/>
      <c r="R251" s="1"/>
      <c r="S251" s="1">
        <v>0</v>
      </c>
      <c r="T251" s="1">
        <v>0</v>
      </c>
      <c r="U251" s="1" t="s">
        <v>3</v>
      </c>
      <c r="V251" s="1">
        <v>0</v>
      </c>
      <c r="W251" s="1"/>
      <c r="X251" s="1"/>
      <c r="Y251" s="1"/>
      <c r="Z251" s="1"/>
      <c r="AA251" s="1"/>
      <c r="AB251" s="1" t="s">
        <v>3</v>
      </c>
      <c r="AC251" s="1" t="s">
        <v>3</v>
      </c>
      <c r="AD251" s="1" t="s">
        <v>3</v>
      </c>
      <c r="AE251" s="1" t="s">
        <v>3</v>
      </c>
      <c r="AF251" s="1" t="s">
        <v>3</v>
      </c>
      <c r="AG251" s="1" t="s">
        <v>3</v>
      </c>
      <c r="AH251" s="1"/>
      <c r="AI251" s="1"/>
      <c r="AJ251" s="1"/>
      <c r="AK251" s="1"/>
      <c r="AL251" s="1"/>
      <c r="AM251" s="1"/>
      <c r="AN251" s="1"/>
      <c r="AO251" s="1"/>
      <c r="AP251" s="1" t="s">
        <v>3</v>
      </c>
      <c r="AQ251" s="1" t="s">
        <v>3</v>
      </c>
      <c r="AR251" s="1" t="s">
        <v>3</v>
      </c>
      <c r="AS251" s="1"/>
      <c r="AT251" s="1"/>
      <c r="AU251" s="1"/>
      <c r="AV251" s="1"/>
      <c r="AW251" s="1"/>
      <c r="AX251" s="1"/>
      <c r="AY251" s="1"/>
      <c r="AZ251" s="1" t="s">
        <v>3</v>
      </c>
      <c r="BA251" s="1"/>
      <c r="BB251" s="1" t="s">
        <v>3</v>
      </c>
      <c r="BC251" s="1" t="s">
        <v>3</v>
      </c>
      <c r="BD251" s="1" t="s">
        <v>3</v>
      </c>
      <c r="BE251" s="1" t="s">
        <v>3</v>
      </c>
      <c r="BF251" s="1" t="s">
        <v>3</v>
      </c>
      <c r="BG251" s="1" t="s">
        <v>3</v>
      </c>
      <c r="BH251" s="1" t="s">
        <v>3</v>
      </c>
      <c r="BI251" s="1" t="s">
        <v>3</v>
      </c>
      <c r="BJ251" s="1" t="s">
        <v>3</v>
      </c>
      <c r="BK251" s="1" t="s">
        <v>3</v>
      </c>
      <c r="BL251" s="1" t="s">
        <v>3</v>
      </c>
      <c r="BM251" s="1" t="s">
        <v>3</v>
      </c>
      <c r="BN251" s="1" t="s">
        <v>3</v>
      </c>
      <c r="BO251" s="1" t="s">
        <v>3</v>
      </c>
      <c r="BP251" s="1" t="s">
        <v>3</v>
      </c>
      <c r="BQ251" s="1"/>
      <c r="BR251" s="1"/>
      <c r="BS251" s="1"/>
      <c r="BT251" s="1"/>
      <c r="BU251" s="1"/>
      <c r="BV251" s="1"/>
      <c r="BW251" s="1"/>
      <c r="BX251" s="1">
        <v>0</v>
      </c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>
        <v>0</v>
      </c>
    </row>
    <row r="253" spans="1:255" x14ac:dyDescent="0.2">
      <c r="A253" s="3">
        <v>52</v>
      </c>
      <c r="B253" s="3">
        <f t="shared" ref="B253:G253" si="207">B282</f>
        <v>1</v>
      </c>
      <c r="C253" s="3">
        <f t="shared" si="207"/>
        <v>5</v>
      </c>
      <c r="D253" s="3">
        <f t="shared" si="207"/>
        <v>251</v>
      </c>
      <c r="E253" s="3">
        <f t="shared" si="207"/>
        <v>0</v>
      </c>
      <c r="F253" s="3" t="str">
        <f t="shared" si="207"/>
        <v>Новый подраздел</v>
      </c>
      <c r="G253" s="3" t="str">
        <f t="shared" si="207"/>
        <v>Тротуар</v>
      </c>
      <c r="H253" s="3"/>
      <c r="I253" s="3"/>
      <c r="J253" s="3"/>
      <c r="K253" s="3"/>
      <c r="L253" s="3"/>
      <c r="M253" s="3"/>
      <c r="N253" s="3"/>
      <c r="O253" s="3">
        <f t="shared" ref="O253:AT253" si="208">O282</f>
        <v>0</v>
      </c>
      <c r="P253" s="3">
        <f t="shared" si="208"/>
        <v>0</v>
      </c>
      <c r="Q253" s="3">
        <f t="shared" si="208"/>
        <v>0</v>
      </c>
      <c r="R253" s="3">
        <f t="shared" si="208"/>
        <v>0</v>
      </c>
      <c r="S253" s="3">
        <f t="shared" si="208"/>
        <v>0</v>
      </c>
      <c r="T253" s="3">
        <f t="shared" si="208"/>
        <v>0</v>
      </c>
      <c r="U253" s="3">
        <f t="shared" si="208"/>
        <v>0</v>
      </c>
      <c r="V253" s="3">
        <f t="shared" si="208"/>
        <v>0</v>
      </c>
      <c r="W253" s="3">
        <f t="shared" si="208"/>
        <v>0</v>
      </c>
      <c r="X253" s="3">
        <f t="shared" si="208"/>
        <v>0</v>
      </c>
      <c r="Y253" s="3">
        <f t="shared" si="208"/>
        <v>0</v>
      </c>
      <c r="Z253" s="3">
        <f t="shared" si="208"/>
        <v>0</v>
      </c>
      <c r="AA253" s="3">
        <f t="shared" si="208"/>
        <v>0</v>
      </c>
      <c r="AB253" s="3">
        <f t="shared" si="208"/>
        <v>0</v>
      </c>
      <c r="AC253" s="3">
        <f t="shared" si="208"/>
        <v>0</v>
      </c>
      <c r="AD253" s="3">
        <f t="shared" si="208"/>
        <v>0</v>
      </c>
      <c r="AE253" s="3">
        <f t="shared" si="208"/>
        <v>0</v>
      </c>
      <c r="AF253" s="3">
        <f t="shared" si="208"/>
        <v>0</v>
      </c>
      <c r="AG253" s="3">
        <f t="shared" si="208"/>
        <v>0</v>
      </c>
      <c r="AH253" s="3">
        <f t="shared" si="208"/>
        <v>0</v>
      </c>
      <c r="AI253" s="3">
        <f t="shared" si="208"/>
        <v>0</v>
      </c>
      <c r="AJ253" s="3">
        <f t="shared" si="208"/>
        <v>0</v>
      </c>
      <c r="AK253" s="3">
        <f t="shared" si="208"/>
        <v>0</v>
      </c>
      <c r="AL253" s="3">
        <f t="shared" si="208"/>
        <v>0</v>
      </c>
      <c r="AM253" s="3">
        <f t="shared" si="208"/>
        <v>0</v>
      </c>
      <c r="AN253" s="3">
        <f t="shared" si="208"/>
        <v>0</v>
      </c>
      <c r="AO253" s="3">
        <f t="shared" si="208"/>
        <v>0</v>
      </c>
      <c r="AP253" s="3">
        <f t="shared" si="208"/>
        <v>0</v>
      </c>
      <c r="AQ253" s="3">
        <f t="shared" si="208"/>
        <v>0</v>
      </c>
      <c r="AR253" s="3">
        <f t="shared" si="208"/>
        <v>0</v>
      </c>
      <c r="AS253" s="3">
        <f t="shared" si="208"/>
        <v>0</v>
      </c>
      <c r="AT253" s="3">
        <f t="shared" si="208"/>
        <v>0</v>
      </c>
      <c r="AU253" s="3">
        <f t="shared" ref="AU253:BZ253" si="209">AU282</f>
        <v>0</v>
      </c>
      <c r="AV253" s="3">
        <f t="shared" si="209"/>
        <v>0</v>
      </c>
      <c r="AW253" s="3">
        <f t="shared" si="209"/>
        <v>0</v>
      </c>
      <c r="AX253" s="3">
        <f t="shared" si="209"/>
        <v>0</v>
      </c>
      <c r="AY253" s="3">
        <f t="shared" si="209"/>
        <v>0</v>
      </c>
      <c r="AZ253" s="3">
        <f t="shared" si="209"/>
        <v>0</v>
      </c>
      <c r="BA253" s="3">
        <f t="shared" si="209"/>
        <v>0</v>
      </c>
      <c r="BB253" s="3">
        <f t="shared" si="209"/>
        <v>0</v>
      </c>
      <c r="BC253" s="3">
        <f t="shared" si="209"/>
        <v>0</v>
      </c>
      <c r="BD253" s="3">
        <f t="shared" si="209"/>
        <v>0</v>
      </c>
      <c r="BE253" s="3">
        <f t="shared" si="209"/>
        <v>0</v>
      </c>
      <c r="BF253" s="3">
        <f t="shared" si="209"/>
        <v>0</v>
      </c>
      <c r="BG253" s="3">
        <f t="shared" si="209"/>
        <v>0</v>
      </c>
      <c r="BH253" s="3">
        <f t="shared" si="209"/>
        <v>0</v>
      </c>
      <c r="BI253" s="3">
        <f t="shared" si="209"/>
        <v>0</v>
      </c>
      <c r="BJ253" s="3">
        <f t="shared" si="209"/>
        <v>0</v>
      </c>
      <c r="BK253" s="3">
        <f t="shared" si="209"/>
        <v>0</v>
      </c>
      <c r="BL253" s="3">
        <f t="shared" si="209"/>
        <v>0</v>
      </c>
      <c r="BM253" s="3">
        <f t="shared" si="209"/>
        <v>0</v>
      </c>
      <c r="BN253" s="3">
        <f t="shared" si="209"/>
        <v>0</v>
      </c>
      <c r="BO253" s="3">
        <f t="shared" si="209"/>
        <v>0</v>
      </c>
      <c r="BP253" s="3">
        <f t="shared" si="209"/>
        <v>0</v>
      </c>
      <c r="BQ253" s="3">
        <f t="shared" si="209"/>
        <v>0</v>
      </c>
      <c r="BR253" s="3">
        <f t="shared" si="209"/>
        <v>0</v>
      </c>
      <c r="BS253" s="3">
        <f t="shared" si="209"/>
        <v>0</v>
      </c>
      <c r="BT253" s="3">
        <f t="shared" si="209"/>
        <v>0</v>
      </c>
      <c r="BU253" s="3">
        <f t="shared" si="209"/>
        <v>0</v>
      </c>
      <c r="BV253" s="3">
        <f t="shared" si="209"/>
        <v>0</v>
      </c>
      <c r="BW253" s="3">
        <f t="shared" si="209"/>
        <v>0</v>
      </c>
      <c r="BX253" s="3">
        <f t="shared" si="209"/>
        <v>0</v>
      </c>
      <c r="BY253" s="3">
        <f t="shared" si="209"/>
        <v>0</v>
      </c>
      <c r="BZ253" s="3">
        <f t="shared" si="209"/>
        <v>0</v>
      </c>
      <c r="CA253" s="3">
        <f t="shared" ref="CA253:DF253" si="210">CA282</f>
        <v>0</v>
      </c>
      <c r="CB253" s="3">
        <f t="shared" si="210"/>
        <v>0</v>
      </c>
      <c r="CC253" s="3">
        <f t="shared" si="210"/>
        <v>0</v>
      </c>
      <c r="CD253" s="3">
        <f t="shared" si="210"/>
        <v>0</v>
      </c>
      <c r="CE253" s="3">
        <f t="shared" si="210"/>
        <v>0</v>
      </c>
      <c r="CF253" s="3">
        <f t="shared" si="210"/>
        <v>0</v>
      </c>
      <c r="CG253" s="3">
        <f t="shared" si="210"/>
        <v>0</v>
      </c>
      <c r="CH253" s="3">
        <f t="shared" si="210"/>
        <v>0</v>
      </c>
      <c r="CI253" s="3">
        <f t="shared" si="210"/>
        <v>0</v>
      </c>
      <c r="CJ253" s="3">
        <f t="shared" si="210"/>
        <v>0</v>
      </c>
      <c r="CK253" s="3">
        <f t="shared" si="210"/>
        <v>0</v>
      </c>
      <c r="CL253" s="3">
        <f t="shared" si="210"/>
        <v>0</v>
      </c>
      <c r="CM253" s="3">
        <f t="shared" si="210"/>
        <v>0</v>
      </c>
      <c r="CN253" s="3">
        <f t="shared" si="210"/>
        <v>0</v>
      </c>
      <c r="CO253" s="3">
        <f t="shared" si="210"/>
        <v>0</v>
      </c>
      <c r="CP253" s="3">
        <f t="shared" si="210"/>
        <v>0</v>
      </c>
      <c r="CQ253" s="3">
        <f t="shared" si="210"/>
        <v>0</v>
      </c>
      <c r="CR253" s="3">
        <f t="shared" si="210"/>
        <v>0</v>
      </c>
      <c r="CS253" s="3">
        <f t="shared" si="210"/>
        <v>0</v>
      </c>
      <c r="CT253" s="3">
        <f t="shared" si="210"/>
        <v>0</v>
      </c>
      <c r="CU253" s="3">
        <f t="shared" si="210"/>
        <v>0</v>
      </c>
      <c r="CV253" s="3">
        <f t="shared" si="210"/>
        <v>0</v>
      </c>
      <c r="CW253" s="3">
        <f t="shared" si="210"/>
        <v>0</v>
      </c>
      <c r="CX253" s="3">
        <f t="shared" si="210"/>
        <v>0</v>
      </c>
      <c r="CY253" s="3">
        <f t="shared" si="210"/>
        <v>0</v>
      </c>
      <c r="CZ253" s="3">
        <f t="shared" si="210"/>
        <v>0</v>
      </c>
      <c r="DA253" s="3">
        <f t="shared" si="210"/>
        <v>0</v>
      </c>
      <c r="DB253" s="3">
        <f t="shared" si="210"/>
        <v>0</v>
      </c>
      <c r="DC253" s="3">
        <f t="shared" si="210"/>
        <v>0</v>
      </c>
      <c r="DD253" s="3">
        <f t="shared" si="210"/>
        <v>0</v>
      </c>
      <c r="DE253" s="3">
        <f t="shared" si="210"/>
        <v>0</v>
      </c>
      <c r="DF253" s="3">
        <f t="shared" si="210"/>
        <v>0</v>
      </c>
      <c r="DG253" s="4">
        <f t="shared" ref="DG253:EL253" si="211">DG282</f>
        <v>0</v>
      </c>
      <c r="DH253" s="4">
        <f t="shared" si="211"/>
        <v>0</v>
      </c>
      <c r="DI253" s="4">
        <f t="shared" si="211"/>
        <v>0</v>
      </c>
      <c r="DJ253" s="4">
        <f t="shared" si="211"/>
        <v>0</v>
      </c>
      <c r="DK253" s="4">
        <f t="shared" si="211"/>
        <v>0</v>
      </c>
      <c r="DL253" s="4">
        <f t="shared" si="211"/>
        <v>0</v>
      </c>
      <c r="DM253" s="4">
        <f t="shared" si="211"/>
        <v>0</v>
      </c>
      <c r="DN253" s="4">
        <f t="shared" si="211"/>
        <v>0</v>
      </c>
      <c r="DO253" s="4">
        <f t="shared" si="211"/>
        <v>0</v>
      </c>
      <c r="DP253" s="4">
        <f t="shared" si="211"/>
        <v>0</v>
      </c>
      <c r="DQ253" s="4">
        <f t="shared" si="211"/>
        <v>0</v>
      </c>
      <c r="DR253" s="4">
        <f t="shared" si="211"/>
        <v>0</v>
      </c>
      <c r="DS253" s="4">
        <f t="shared" si="211"/>
        <v>0</v>
      </c>
      <c r="DT253" s="4">
        <f t="shared" si="211"/>
        <v>0</v>
      </c>
      <c r="DU253" s="4">
        <f t="shared" si="211"/>
        <v>0</v>
      </c>
      <c r="DV253" s="4">
        <f t="shared" si="211"/>
        <v>0</v>
      </c>
      <c r="DW253" s="4">
        <f t="shared" si="211"/>
        <v>0</v>
      </c>
      <c r="DX253" s="4">
        <f t="shared" si="211"/>
        <v>0</v>
      </c>
      <c r="DY253" s="4">
        <f t="shared" si="211"/>
        <v>0</v>
      </c>
      <c r="DZ253" s="4">
        <f t="shared" si="211"/>
        <v>0</v>
      </c>
      <c r="EA253" s="4">
        <f t="shared" si="211"/>
        <v>0</v>
      </c>
      <c r="EB253" s="4">
        <f t="shared" si="211"/>
        <v>0</v>
      </c>
      <c r="EC253" s="4">
        <f t="shared" si="211"/>
        <v>0</v>
      </c>
      <c r="ED253" s="4">
        <f t="shared" si="211"/>
        <v>0</v>
      </c>
      <c r="EE253" s="4">
        <f t="shared" si="211"/>
        <v>0</v>
      </c>
      <c r="EF253" s="4">
        <f t="shared" si="211"/>
        <v>0</v>
      </c>
      <c r="EG253" s="4">
        <f t="shared" si="211"/>
        <v>0</v>
      </c>
      <c r="EH253" s="4">
        <f t="shared" si="211"/>
        <v>0</v>
      </c>
      <c r="EI253" s="4">
        <f t="shared" si="211"/>
        <v>0</v>
      </c>
      <c r="EJ253" s="4">
        <f t="shared" si="211"/>
        <v>0</v>
      </c>
      <c r="EK253" s="4">
        <f t="shared" si="211"/>
        <v>0</v>
      </c>
      <c r="EL253" s="4">
        <f t="shared" si="211"/>
        <v>0</v>
      </c>
      <c r="EM253" s="4">
        <f t="shared" ref="EM253:FR253" si="212">EM282</f>
        <v>0</v>
      </c>
      <c r="EN253" s="4">
        <f t="shared" si="212"/>
        <v>0</v>
      </c>
      <c r="EO253" s="4">
        <f t="shared" si="212"/>
        <v>0</v>
      </c>
      <c r="EP253" s="4">
        <f t="shared" si="212"/>
        <v>0</v>
      </c>
      <c r="EQ253" s="4">
        <f t="shared" si="212"/>
        <v>0</v>
      </c>
      <c r="ER253" s="4">
        <f t="shared" si="212"/>
        <v>0</v>
      </c>
      <c r="ES253" s="4">
        <f t="shared" si="212"/>
        <v>0</v>
      </c>
      <c r="ET253" s="4">
        <f t="shared" si="212"/>
        <v>0</v>
      </c>
      <c r="EU253" s="4">
        <f t="shared" si="212"/>
        <v>0</v>
      </c>
      <c r="EV253" s="4">
        <f t="shared" si="212"/>
        <v>0</v>
      </c>
      <c r="EW253" s="4">
        <f t="shared" si="212"/>
        <v>0</v>
      </c>
      <c r="EX253" s="4">
        <f t="shared" si="212"/>
        <v>0</v>
      </c>
      <c r="EY253" s="4">
        <f t="shared" si="212"/>
        <v>0</v>
      </c>
      <c r="EZ253" s="4">
        <f t="shared" si="212"/>
        <v>0</v>
      </c>
      <c r="FA253" s="4">
        <f t="shared" si="212"/>
        <v>0</v>
      </c>
      <c r="FB253" s="4">
        <f t="shared" si="212"/>
        <v>0</v>
      </c>
      <c r="FC253" s="4">
        <f t="shared" si="212"/>
        <v>0</v>
      </c>
      <c r="FD253" s="4">
        <f t="shared" si="212"/>
        <v>0</v>
      </c>
      <c r="FE253" s="4">
        <f t="shared" si="212"/>
        <v>0</v>
      </c>
      <c r="FF253" s="4">
        <f t="shared" si="212"/>
        <v>0</v>
      </c>
      <c r="FG253" s="4">
        <f t="shared" si="212"/>
        <v>0</v>
      </c>
      <c r="FH253" s="4">
        <f t="shared" si="212"/>
        <v>0</v>
      </c>
      <c r="FI253" s="4">
        <f t="shared" si="212"/>
        <v>0</v>
      </c>
      <c r="FJ253" s="4">
        <f t="shared" si="212"/>
        <v>0</v>
      </c>
      <c r="FK253" s="4">
        <f t="shared" si="212"/>
        <v>0</v>
      </c>
      <c r="FL253" s="4">
        <f t="shared" si="212"/>
        <v>0</v>
      </c>
      <c r="FM253" s="4">
        <f t="shared" si="212"/>
        <v>0</v>
      </c>
      <c r="FN253" s="4">
        <f t="shared" si="212"/>
        <v>0</v>
      </c>
      <c r="FO253" s="4">
        <f t="shared" si="212"/>
        <v>0</v>
      </c>
      <c r="FP253" s="4">
        <f t="shared" si="212"/>
        <v>0</v>
      </c>
      <c r="FQ253" s="4">
        <f t="shared" si="212"/>
        <v>0</v>
      </c>
      <c r="FR253" s="4">
        <f t="shared" si="212"/>
        <v>0</v>
      </c>
      <c r="FS253" s="4">
        <f t="shared" ref="FS253:GX253" si="213">FS282</f>
        <v>0</v>
      </c>
      <c r="FT253" s="4">
        <f t="shared" si="213"/>
        <v>0</v>
      </c>
      <c r="FU253" s="4">
        <f t="shared" si="213"/>
        <v>0</v>
      </c>
      <c r="FV253" s="4">
        <f t="shared" si="213"/>
        <v>0</v>
      </c>
      <c r="FW253" s="4">
        <f t="shared" si="213"/>
        <v>0</v>
      </c>
      <c r="FX253" s="4">
        <f t="shared" si="213"/>
        <v>0</v>
      </c>
      <c r="FY253" s="4">
        <f t="shared" si="213"/>
        <v>0</v>
      </c>
      <c r="FZ253" s="4">
        <f t="shared" si="213"/>
        <v>0</v>
      </c>
      <c r="GA253" s="4">
        <f t="shared" si="213"/>
        <v>0</v>
      </c>
      <c r="GB253" s="4">
        <f t="shared" si="213"/>
        <v>0</v>
      </c>
      <c r="GC253" s="4">
        <f t="shared" si="213"/>
        <v>0</v>
      </c>
      <c r="GD253" s="4">
        <f t="shared" si="213"/>
        <v>0</v>
      </c>
      <c r="GE253" s="4">
        <f t="shared" si="213"/>
        <v>0</v>
      </c>
      <c r="GF253" s="4">
        <f t="shared" si="213"/>
        <v>0</v>
      </c>
      <c r="GG253" s="4">
        <f t="shared" si="213"/>
        <v>0</v>
      </c>
      <c r="GH253" s="4">
        <f t="shared" si="213"/>
        <v>0</v>
      </c>
      <c r="GI253" s="4">
        <f t="shared" si="213"/>
        <v>0</v>
      </c>
      <c r="GJ253" s="4">
        <f t="shared" si="213"/>
        <v>0</v>
      </c>
      <c r="GK253" s="4">
        <f t="shared" si="213"/>
        <v>0</v>
      </c>
      <c r="GL253" s="4">
        <f t="shared" si="213"/>
        <v>0</v>
      </c>
      <c r="GM253" s="4">
        <f t="shared" si="213"/>
        <v>0</v>
      </c>
      <c r="GN253" s="4">
        <f t="shared" si="213"/>
        <v>0</v>
      </c>
      <c r="GO253" s="4">
        <f t="shared" si="213"/>
        <v>0</v>
      </c>
      <c r="GP253" s="4">
        <f t="shared" si="213"/>
        <v>0</v>
      </c>
      <c r="GQ253" s="4">
        <f t="shared" si="213"/>
        <v>0</v>
      </c>
      <c r="GR253" s="4">
        <f t="shared" si="213"/>
        <v>0</v>
      </c>
      <c r="GS253" s="4">
        <f t="shared" si="213"/>
        <v>0</v>
      </c>
      <c r="GT253" s="4">
        <f t="shared" si="213"/>
        <v>0</v>
      </c>
      <c r="GU253" s="4">
        <f t="shared" si="213"/>
        <v>0</v>
      </c>
      <c r="GV253" s="4">
        <f t="shared" si="213"/>
        <v>0</v>
      </c>
      <c r="GW253" s="4">
        <f t="shared" si="213"/>
        <v>0</v>
      </c>
      <c r="GX253" s="4">
        <f t="shared" si="213"/>
        <v>0</v>
      </c>
    </row>
    <row r="255" spans="1:255" x14ac:dyDescent="0.2">
      <c r="A255" s="2">
        <v>17</v>
      </c>
      <c r="B255" s="2">
        <v>1</v>
      </c>
      <c r="C255" s="2"/>
      <c r="D255" s="2">
        <f>ROW(EtalonRes!A475)</f>
        <v>475</v>
      </c>
      <c r="E255" s="2" t="s">
        <v>335</v>
      </c>
      <c r="F255" s="2" t="s">
        <v>266</v>
      </c>
      <c r="G255" s="2" t="s">
        <v>267</v>
      </c>
      <c r="H255" s="2" t="s">
        <v>268</v>
      </c>
      <c r="I255" s="2">
        <v>0</v>
      </c>
      <c r="J255" s="2">
        <v>0</v>
      </c>
      <c r="K255" s="2">
        <v>0</v>
      </c>
      <c r="L255" s="2"/>
      <c r="M255" s="2"/>
      <c r="N255" s="2"/>
      <c r="O255" s="2">
        <f t="shared" ref="O255:O280" si="214">ROUND(CP255,2)</f>
        <v>0</v>
      </c>
      <c r="P255" s="2">
        <f t="shared" ref="P255:P280" si="215">ROUND((ROUND((AC255*AW255*I255),2)*BC255),2)</f>
        <v>0</v>
      </c>
      <c r="Q255" s="2">
        <f t="shared" ref="Q255:Q262" si="216">(ROUND((ROUND((((ET255*1.05))*AV255*I255),2)*BB255),2)+ROUND((ROUND(((AE255-((EU255*1.05)))*AV255*I255),2)*BS255),2))</f>
        <v>0</v>
      </c>
      <c r="R255" s="2">
        <f t="shared" ref="R255:R280" si="217">ROUND((ROUND((AE255*AV255*I255),2)*BS255),2)</f>
        <v>0</v>
      </c>
      <c r="S255" s="2">
        <f t="shared" ref="S255:S280" si="218">ROUND((ROUND((AF255*AV255*I255),2)*BA255),2)</f>
        <v>0</v>
      </c>
      <c r="T255" s="2">
        <f t="shared" ref="T255:T280" si="219">ROUND(CU255*I255,2)</f>
        <v>0</v>
      </c>
      <c r="U255" s="2">
        <f t="shared" ref="U255:U280" si="220">CV255*I255</f>
        <v>0</v>
      </c>
      <c r="V255" s="2">
        <f t="shared" ref="V255:V280" si="221">CW255*I255</f>
        <v>0</v>
      </c>
      <c r="W255" s="2">
        <f t="shared" ref="W255:W280" si="222">ROUND(CX255*I255,2)</f>
        <v>0</v>
      </c>
      <c r="X255" s="2">
        <f t="shared" ref="X255:X280" si="223">ROUND(CY255,2)</f>
        <v>0</v>
      </c>
      <c r="Y255" s="2">
        <f t="shared" ref="Y255:Y280" si="224">ROUND(CZ255,2)</f>
        <v>0</v>
      </c>
      <c r="Z255" s="2"/>
      <c r="AA255" s="2">
        <v>56622490</v>
      </c>
      <c r="AB255" s="2">
        <f t="shared" ref="AB255:AB280" si="225">ROUND((AC255+AD255+AF255),6)</f>
        <v>3805.0740000000001</v>
      </c>
      <c r="AC255" s="2">
        <f t="shared" ref="AC255:AC280" si="226">ROUND((ES255),6)</f>
        <v>0</v>
      </c>
      <c r="AD255" s="2">
        <f t="shared" ref="AD255:AD262" si="227">ROUND(((((ET255*1.05))-((EU255*1.05)))+AE255),6)</f>
        <v>2032.7265</v>
      </c>
      <c r="AE255" s="2">
        <f t="shared" ref="AE255:AF262" si="228">ROUND(((EU255*1.05)),6)</f>
        <v>528.1395</v>
      </c>
      <c r="AF255" s="2">
        <f t="shared" si="228"/>
        <v>1772.3475000000001</v>
      </c>
      <c r="AG255" s="2">
        <f t="shared" ref="AG255:AG280" si="229">ROUND((AP255),6)</f>
        <v>0</v>
      </c>
      <c r="AH255" s="2">
        <f t="shared" ref="AH255:AI262" si="230">((EW255*1.05))</f>
        <v>162.75</v>
      </c>
      <c r="AI255" s="2">
        <f t="shared" si="230"/>
        <v>0</v>
      </c>
      <c r="AJ255" s="2">
        <f t="shared" ref="AJ255:AJ280" si="231">(AS255)</f>
        <v>0</v>
      </c>
      <c r="AK255" s="2">
        <v>3623.88</v>
      </c>
      <c r="AL255" s="2">
        <v>0</v>
      </c>
      <c r="AM255" s="2">
        <v>1935.93</v>
      </c>
      <c r="AN255" s="2">
        <v>502.99</v>
      </c>
      <c r="AO255" s="2">
        <v>1687.95</v>
      </c>
      <c r="AP255" s="2">
        <v>0</v>
      </c>
      <c r="AQ255" s="2">
        <v>155</v>
      </c>
      <c r="AR255" s="2">
        <v>0</v>
      </c>
      <c r="AS255" s="2">
        <v>0</v>
      </c>
      <c r="AT255" s="2">
        <v>80</v>
      </c>
      <c r="AU255" s="2">
        <v>55</v>
      </c>
      <c r="AV255" s="2">
        <v>1.0469999999999999</v>
      </c>
      <c r="AW255" s="2">
        <v>1</v>
      </c>
      <c r="AX255" s="2"/>
      <c r="AY255" s="2"/>
      <c r="AZ255" s="2">
        <v>1</v>
      </c>
      <c r="BA255" s="2">
        <v>1</v>
      </c>
      <c r="BB255" s="2">
        <v>1</v>
      </c>
      <c r="BC255" s="2">
        <v>1</v>
      </c>
      <c r="BD255" s="2" t="s">
        <v>3</v>
      </c>
      <c r="BE255" s="2" t="s">
        <v>3</v>
      </c>
      <c r="BF255" s="2" t="s">
        <v>3</v>
      </c>
      <c r="BG255" s="2" t="s">
        <v>3</v>
      </c>
      <c r="BH255" s="2">
        <v>0</v>
      </c>
      <c r="BI255" s="2">
        <v>1</v>
      </c>
      <c r="BJ255" s="2" t="s">
        <v>269</v>
      </c>
      <c r="BK255" s="2"/>
      <c r="BL255" s="2"/>
      <c r="BM255" s="2">
        <v>674</v>
      </c>
      <c r="BN255" s="2">
        <v>0</v>
      </c>
      <c r="BO255" s="2" t="s">
        <v>3</v>
      </c>
      <c r="BP255" s="2">
        <v>0</v>
      </c>
      <c r="BQ255" s="2">
        <v>60</v>
      </c>
      <c r="BR255" s="2">
        <v>0</v>
      </c>
      <c r="BS255" s="2">
        <v>1</v>
      </c>
      <c r="BT255" s="2">
        <v>1</v>
      </c>
      <c r="BU255" s="2">
        <v>1</v>
      </c>
      <c r="BV255" s="2">
        <v>1</v>
      </c>
      <c r="BW255" s="2">
        <v>1</v>
      </c>
      <c r="BX255" s="2">
        <v>1</v>
      </c>
      <c r="BY255" s="2" t="s">
        <v>3</v>
      </c>
      <c r="BZ255" s="2">
        <v>80</v>
      </c>
      <c r="CA255" s="2">
        <v>55</v>
      </c>
      <c r="CB255" s="2" t="s">
        <v>3</v>
      </c>
      <c r="CC255" s="2"/>
      <c r="CD255" s="2"/>
      <c r="CE255" s="2">
        <v>30</v>
      </c>
      <c r="CF255" s="2">
        <v>0</v>
      </c>
      <c r="CG255" s="2">
        <v>0</v>
      </c>
      <c r="CH255" s="2"/>
      <c r="CI255" s="2"/>
      <c r="CJ255" s="2"/>
      <c r="CK255" s="2"/>
      <c r="CL255" s="2"/>
      <c r="CM255" s="2">
        <v>0</v>
      </c>
      <c r="CN255" s="2" t="s">
        <v>708</v>
      </c>
      <c r="CO255" s="2">
        <v>0</v>
      </c>
      <c r="CP255" s="2">
        <f t="shared" ref="CP255:CP280" si="232">(P255+Q255+S255)</f>
        <v>0</v>
      </c>
      <c r="CQ255" s="2">
        <f t="shared" ref="CQ255:CQ280" si="233">ROUND((ROUND((AC255*AW255*1),2)*BC255),2)</f>
        <v>0</v>
      </c>
      <c r="CR255" s="2">
        <f t="shared" ref="CR255:CR262" si="234">(ROUND((ROUND((((ET255*1.05))*AV255*1),2)*BB255),2)+ROUND((ROUND(((AE255-((EU255*1.05)))*AV255*1),2)*BS255),2))</f>
        <v>2128.2600000000002</v>
      </c>
      <c r="CS255" s="2">
        <f t="shared" ref="CS255:CS280" si="235">ROUND((ROUND((AE255*AV255*1),2)*BS255),2)</f>
        <v>552.96</v>
      </c>
      <c r="CT255" s="2">
        <f t="shared" ref="CT255:CT280" si="236">ROUND((ROUND((AF255*AV255*1),2)*BA255),2)</f>
        <v>1855.65</v>
      </c>
      <c r="CU255" s="2">
        <f t="shared" ref="CU255:CU280" si="237">AG255</f>
        <v>0</v>
      </c>
      <c r="CV255" s="2">
        <f t="shared" ref="CV255:CV280" si="238">(AH255*AV255)</f>
        <v>170.39924999999999</v>
      </c>
      <c r="CW255" s="2">
        <f t="shared" ref="CW255:CW280" si="239">AI255</f>
        <v>0</v>
      </c>
      <c r="CX255" s="2">
        <f t="shared" ref="CX255:CX280" si="240">AJ255</f>
        <v>0</v>
      </c>
      <c r="CY255" s="2">
        <f>((S255*BZ255)/100)</f>
        <v>0</v>
      </c>
      <c r="CZ255" s="2">
        <f>((S255*CA255)/100)</f>
        <v>0</v>
      </c>
      <c r="DA255" s="2"/>
      <c r="DB255" s="2">
        <v>101</v>
      </c>
      <c r="DC255" s="2" t="s">
        <v>3</v>
      </c>
      <c r="DD255" s="2" t="s">
        <v>3</v>
      </c>
      <c r="DE255" s="2" t="s">
        <v>22</v>
      </c>
      <c r="DF255" s="2" t="s">
        <v>22</v>
      </c>
      <c r="DG255" s="2" t="s">
        <v>22</v>
      </c>
      <c r="DH255" s="2" t="s">
        <v>3</v>
      </c>
      <c r="DI255" s="2" t="s">
        <v>22</v>
      </c>
      <c r="DJ255" s="2" t="s">
        <v>22</v>
      </c>
      <c r="DK255" s="2" t="s">
        <v>3</v>
      </c>
      <c r="DL255" s="2" t="s">
        <v>3</v>
      </c>
      <c r="DM255" s="2" t="s">
        <v>3</v>
      </c>
      <c r="DN255" s="2">
        <v>0</v>
      </c>
      <c r="DO255" s="2">
        <v>0</v>
      </c>
      <c r="DP255" s="2">
        <v>1</v>
      </c>
      <c r="DQ255" s="2">
        <v>1</v>
      </c>
      <c r="DR255" s="2"/>
      <c r="DS255" s="2"/>
      <c r="DT255" s="2"/>
      <c r="DU255" s="2">
        <v>1007</v>
      </c>
      <c r="DV255" s="2" t="s">
        <v>268</v>
      </c>
      <c r="DW255" s="2" t="s">
        <v>268</v>
      </c>
      <c r="DX255" s="2">
        <v>100</v>
      </c>
      <c r="DY255" s="2"/>
      <c r="DZ255" s="2" t="s">
        <v>3</v>
      </c>
      <c r="EA255" s="2" t="s">
        <v>3</v>
      </c>
      <c r="EB255" s="2" t="s">
        <v>3</v>
      </c>
      <c r="EC255" s="2" t="s">
        <v>3</v>
      </c>
      <c r="ED255" s="2"/>
      <c r="EE255" s="2">
        <v>51696713</v>
      </c>
      <c r="EF255" s="2">
        <v>60</v>
      </c>
      <c r="EG255" s="2" t="s">
        <v>270</v>
      </c>
      <c r="EH255" s="2">
        <v>0</v>
      </c>
      <c r="EI255" s="2" t="s">
        <v>3</v>
      </c>
      <c r="EJ255" s="2">
        <v>1</v>
      </c>
      <c r="EK255" s="2">
        <v>674</v>
      </c>
      <c r="EL255" s="2" t="s">
        <v>271</v>
      </c>
      <c r="EM255" s="2" t="s">
        <v>272</v>
      </c>
      <c r="EN255" s="2"/>
      <c r="EO255" s="2" t="s">
        <v>26</v>
      </c>
      <c r="EP255" s="2"/>
      <c r="EQ255" s="2">
        <v>131072</v>
      </c>
      <c r="ER255" s="2">
        <v>3623.88</v>
      </c>
      <c r="ES255" s="2">
        <v>0</v>
      </c>
      <c r="ET255" s="2">
        <v>1935.93</v>
      </c>
      <c r="EU255" s="2">
        <v>502.99</v>
      </c>
      <c r="EV255" s="2">
        <v>1687.95</v>
      </c>
      <c r="EW255" s="2">
        <v>155</v>
      </c>
      <c r="EX255" s="2">
        <v>0</v>
      </c>
      <c r="EY255" s="2">
        <v>0</v>
      </c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>
        <v>0</v>
      </c>
      <c r="FR255" s="2">
        <v>0</v>
      </c>
      <c r="FS255" s="2">
        <v>0</v>
      </c>
      <c r="FT255" s="2"/>
      <c r="FU255" s="2"/>
      <c r="FV255" s="2"/>
      <c r="FW255" s="2"/>
      <c r="FX255" s="2">
        <v>80</v>
      </c>
      <c r="FY255" s="2">
        <v>55</v>
      </c>
      <c r="FZ255" s="2"/>
      <c r="GA255" s="2" t="s">
        <v>3</v>
      </c>
      <c r="GB255" s="2"/>
      <c r="GC255" s="2"/>
      <c r="GD255" s="2">
        <v>0</v>
      </c>
      <c r="GE255" s="2"/>
      <c r="GF255" s="2">
        <v>854491468</v>
      </c>
      <c r="GG255" s="2">
        <v>2</v>
      </c>
      <c r="GH255" s="2">
        <v>1</v>
      </c>
      <c r="GI255" s="2">
        <v>-2</v>
      </c>
      <c r="GJ255" s="2">
        <v>0</v>
      </c>
      <c r="GK255" s="2">
        <f>ROUND(R255*(R12)/100,2)</f>
        <v>0</v>
      </c>
      <c r="GL255" s="2">
        <f t="shared" ref="GL255:GL280" si="241">ROUND(IF(AND(BH255=3,BI255=3,FS255&lt;&gt;0),P255,0),2)</f>
        <v>0</v>
      </c>
      <c r="GM255" s="2">
        <f t="shared" ref="GM255:GM280" si="242">ROUND(O255+X255+Y255+GK255,2)+GX255</f>
        <v>0</v>
      </c>
      <c r="GN255" s="2">
        <f t="shared" ref="GN255:GN280" si="243">IF(OR(BI255=0,BI255=1),GM255-GX255,0)</f>
        <v>0</v>
      </c>
      <c r="GO255" s="2">
        <f t="shared" ref="GO255:GO280" si="244">IF(BI255=2,GM255-GX255,0)</f>
        <v>0</v>
      </c>
      <c r="GP255" s="2">
        <f t="shared" ref="GP255:GP280" si="245">IF(BI255=4,GM255-GX255,0)</f>
        <v>0</v>
      </c>
      <c r="GQ255" s="2"/>
      <c r="GR255" s="2">
        <v>0</v>
      </c>
      <c r="GS255" s="2">
        <v>0</v>
      </c>
      <c r="GT255" s="2">
        <v>0</v>
      </c>
      <c r="GU255" s="2" t="s">
        <v>3</v>
      </c>
      <c r="GV255" s="2">
        <f t="shared" ref="GV255:GV280" si="246">ROUND((GT255),6)</f>
        <v>0</v>
      </c>
      <c r="GW255" s="2">
        <v>1</v>
      </c>
      <c r="GX255" s="2">
        <f t="shared" ref="GX255:GX280" si="247">ROUND(HC255*I255,2)</f>
        <v>0</v>
      </c>
      <c r="GY255" s="2"/>
      <c r="GZ255" s="2"/>
      <c r="HA255" s="2">
        <v>0</v>
      </c>
      <c r="HB255" s="2">
        <v>0</v>
      </c>
      <c r="HC255" s="2">
        <f t="shared" ref="HC255:HC280" si="248">GV255*GW255</f>
        <v>0</v>
      </c>
      <c r="HD255" s="2"/>
      <c r="HE255" s="2" t="s">
        <v>3</v>
      </c>
      <c r="HF255" s="2" t="s">
        <v>3</v>
      </c>
      <c r="HG255" s="2"/>
      <c r="HH255" s="2"/>
      <c r="HI255" s="2"/>
      <c r="HJ255" s="2"/>
      <c r="HK255" s="2"/>
      <c r="HL255" s="2"/>
      <c r="HM255" s="2" t="s">
        <v>3</v>
      </c>
      <c r="HN255" s="2" t="s">
        <v>3</v>
      </c>
      <c r="HO255" s="2" t="s">
        <v>3</v>
      </c>
      <c r="HP255" s="2" t="s">
        <v>3</v>
      </c>
      <c r="HQ255" s="2" t="s">
        <v>3</v>
      </c>
      <c r="HR255" s="2"/>
      <c r="HS255" s="2">
        <v>0</v>
      </c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>
        <v>0</v>
      </c>
      <c r="IL255" s="2"/>
      <c r="IM255" s="2"/>
      <c r="IN255" s="2"/>
      <c r="IO255" s="2"/>
      <c r="IP255" s="2"/>
      <c r="IQ255" s="2"/>
      <c r="IR255" s="2"/>
      <c r="IS255" s="2"/>
      <c r="IT255" s="2"/>
      <c r="IU255" s="2"/>
    </row>
    <row r="256" spans="1:255" x14ac:dyDescent="0.2">
      <c r="A256">
        <v>17</v>
      </c>
      <c r="B256">
        <v>1</v>
      </c>
      <c r="D256">
        <f>ROW(EtalonRes!A480)</f>
        <v>480</v>
      </c>
      <c r="E256" t="s">
        <v>335</v>
      </c>
      <c r="F256" t="s">
        <v>266</v>
      </c>
      <c r="G256" t="s">
        <v>267</v>
      </c>
      <c r="H256" t="s">
        <v>268</v>
      </c>
      <c r="I256">
        <v>0</v>
      </c>
      <c r="J256">
        <v>0</v>
      </c>
      <c r="K256">
        <v>0</v>
      </c>
      <c r="O256">
        <f t="shared" si="214"/>
        <v>0</v>
      </c>
      <c r="P256">
        <f t="shared" si="215"/>
        <v>0</v>
      </c>
      <c r="Q256">
        <f t="shared" si="216"/>
        <v>0</v>
      </c>
      <c r="R256">
        <f t="shared" si="217"/>
        <v>0</v>
      </c>
      <c r="S256">
        <f t="shared" si="218"/>
        <v>0</v>
      </c>
      <c r="T256">
        <f t="shared" si="219"/>
        <v>0</v>
      </c>
      <c r="U256">
        <f t="shared" si="220"/>
        <v>0</v>
      </c>
      <c r="V256">
        <f t="shared" si="221"/>
        <v>0</v>
      </c>
      <c r="W256">
        <f t="shared" si="222"/>
        <v>0</v>
      </c>
      <c r="X256">
        <f t="shared" si="223"/>
        <v>0</v>
      </c>
      <c r="Y256">
        <f t="shared" si="224"/>
        <v>0</v>
      </c>
      <c r="AA256">
        <v>56610029</v>
      </c>
      <c r="AB256">
        <f t="shared" si="225"/>
        <v>3805.0740000000001</v>
      </c>
      <c r="AC256">
        <f t="shared" si="226"/>
        <v>0</v>
      </c>
      <c r="AD256">
        <f t="shared" si="227"/>
        <v>2032.7265</v>
      </c>
      <c r="AE256">
        <f t="shared" si="228"/>
        <v>528.1395</v>
      </c>
      <c r="AF256">
        <f t="shared" si="228"/>
        <v>1772.3475000000001</v>
      </c>
      <c r="AG256">
        <f t="shared" si="229"/>
        <v>0</v>
      </c>
      <c r="AH256">
        <f t="shared" si="230"/>
        <v>162.75</v>
      </c>
      <c r="AI256">
        <f t="shared" si="230"/>
        <v>0</v>
      </c>
      <c r="AJ256">
        <f t="shared" si="231"/>
        <v>0</v>
      </c>
      <c r="AK256">
        <v>3623.88</v>
      </c>
      <c r="AL256">
        <v>0</v>
      </c>
      <c r="AM256">
        <v>1935.93</v>
      </c>
      <c r="AN256">
        <v>502.99</v>
      </c>
      <c r="AO256">
        <v>1687.95</v>
      </c>
      <c r="AP256">
        <v>0</v>
      </c>
      <c r="AQ256">
        <v>155</v>
      </c>
      <c r="AR256">
        <v>0</v>
      </c>
      <c r="AS256">
        <v>0</v>
      </c>
      <c r="AT256">
        <v>70</v>
      </c>
      <c r="AU256">
        <v>41</v>
      </c>
      <c r="AV256">
        <v>1.0469999999999999</v>
      </c>
      <c r="AW256">
        <v>1</v>
      </c>
      <c r="AZ256">
        <v>1</v>
      </c>
      <c r="BA256">
        <v>34.51</v>
      </c>
      <c r="BB256">
        <v>16.46</v>
      </c>
      <c r="BC256">
        <v>1</v>
      </c>
      <c r="BD256" t="s">
        <v>3</v>
      </c>
      <c r="BE256" t="s">
        <v>3</v>
      </c>
      <c r="BF256" t="s">
        <v>3</v>
      </c>
      <c r="BG256" t="s">
        <v>3</v>
      </c>
      <c r="BH256">
        <v>0</v>
      </c>
      <c r="BI256">
        <v>1</v>
      </c>
      <c r="BJ256" t="s">
        <v>269</v>
      </c>
      <c r="BM256">
        <v>674</v>
      </c>
      <c r="BN256">
        <v>0</v>
      </c>
      <c r="BO256" t="s">
        <v>266</v>
      </c>
      <c r="BP256">
        <v>1</v>
      </c>
      <c r="BQ256">
        <v>60</v>
      </c>
      <c r="BR256">
        <v>0</v>
      </c>
      <c r="BS256">
        <v>34.51</v>
      </c>
      <c r="BT256">
        <v>1</v>
      </c>
      <c r="BU256">
        <v>1</v>
      </c>
      <c r="BV256">
        <v>1</v>
      </c>
      <c r="BW256">
        <v>1</v>
      </c>
      <c r="BX256">
        <v>1</v>
      </c>
      <c r="BY256" t="s">
        <v>3</v>
      </c>
      <c r="BZ256">
        <v>70</v>
      </c>
      <c r="CA256">
        <v>41</v>
      </c>
      <c r="CB256" t="s">
        <v>3</v>
      </c>
      <c r="CE256">
        <v>30</v>
      </c>
      <c r="CF256">
        <v>0</v>
      </c>
      <c r="CG256">
        <v>0</v>
      </c>
      <c r="CM256">
        <v>0</v>
      </c>
      <c r="CN256" t="s">
        <v>708</v>
      </c>
      <c r="CO256">
        <v>0</v>
      </c>
      <c r="CP256">
        <f t="shared" si="232"/>
        <v>0</v>
      </c>
      <c r="CQ256">
        <f t="shared" si="233"/>
        <v>0</v>
      </c>
      <c r="CR256">
        <f t="shared" si="234"/>
        <v>35031.160000000003</v>
      </c>
      <c r="CS256">
        <f t="shared" si="235"/>
        <v>19082.650000000001</v>
      </c>
      <c r="CT256">
        <f t="shared" si="236"/>
        <v>64038.48</v>
      </c>
      <c r="CU256">
        <f t="shared" si="237"/>
        <v>0</v>
      </c>
      <c r="CV256">
        <f t="shared" si="238"/>
        <v>170.39924999999999</v>
      </c>
      <c r="CW256">
        <f t="shared" si="239"/>
        <v>0</v>
      </c>
      <c r="CX256">
        <f t="shared" si="240"/>
        <v>0</v>
      </c>
      <c r="CY256">
        <f>S256*(BZ256/100)</f>
        <v>0</v>
      </c>
      <c r="CZ256">
        <f>S256*(CA256/100)</f>
        <v>0</v>
      </c>
      <c r="DB256">
        <v>102</v>
      </c>
      <c r="DC256" t="s">
        <v>3</v>
      </c>
      <c r="DD256" t="s">
        <v>3</v>
      </c>
      <c r="DE256" t="s">
        <v>22</v>
      </c>
      <c r="DF256" t="s">
        <v>22</v>
      </c>
      <c r="DG256" t="s">
        <v>22</v>
      </c>
      <c r="DH256" t="s">
        <v>3</v>
      </c>
      <c r="DI256" t="s">
        <v>22</v>
      </c>
      <c r="DJ256" t="s">
        <v>22</v>
      </c>
      <c r="DK256" t="s">
        <v>3</v>
      </c>
      <c r="DL256" t="s">
        <v>3</v>
      </c>
      <c r="DM256" t="s">
        <v>3</v>
      </c>
      <c r="DN256">
        <v>80</v>
      </c>
      <c r="DO256">
        <v>55</v>
      </c>
      <c r="DP256">
        <v>1.0469999999999999</v>
      </c>
      <c r="DQ256">
        <v>1</v>
      </c>
      <c r="DU256">
        <v>1007</v>
      </c>
      <c r="DV256" t="s">
        <v>268</v>
      </c>
      <c r="DW256" t="s">
        <v>268</v>
      </c>
      <c r="DX256">
        <v>100</v>
      </c>
      <c r="DZ256" t="s">
        <v>3</v>
      </c>
      <c r="EA256" t="s">
        <v>3</v>
      </c>
      <c r="EB256" t="s">
        <v>3</v>
      </c>
      <c r="EC256" t="s">
        <v>3</v>
      </c>
      <c r="EE256">
        <v>51696713</v>
      </c>
      <c r="EF256">
        <v>60</v>
      </c>
      <c r="EG256" t="s">
        <v>270</v>
      </c>
      <c r="EH256">
        <v>0</v>
      </c>
      <c r="EI256" t="s">
        <v>3</v>
      </c>
      <c r="EJ256">
        <v>1</v>
      </c>
      <c r="EK256">
        <v>674</v>
      </c>
      <c r="EL256" t="s">
        <v>271</v>
      </c>
      <c r="EM256" t="s">
        <v>272</v>
      </c>
      <c r="EO256" t="s">
        <v>26</v>
      </c>
      <c r="EQ256">
        <v>131072</v>
      </c>
      <c r="ER256">
        <v>3623.88</v>
      </c>
      <c r="ES256">
        <v>0</v>
      </c>
      <c r="ET256">
        <v>1935.93</v>
      </c>
      <c r="EU256">
        <v>502.99</v>
      </c>
      <c r="EV256">
        <v>1687.95</v>
      </c>
      <c r="EW256">
        <v>155</v>
      </c>
      <c r="EX256">
        <v>0</v>
      </c>
      <c r="EY256">
        <v>0</v>
      </c>
      <c r="FQ256">
        <v>0</v>
      </c>
      <c r="FR256">
        <v>0</v>
      </c>
      <c r="FS256">
        <v>0</v>
      </c>
      <c r="FX256">
        <v>80</v>
      </c>
      <c r="FY256">
        <v>55</v>
      </c>
      <c r="GA256" t="s">
        <v>3</v>
      </c>
      <c r="GD256">
        <v>0</v>
      </c>
      <c r="GF256">
        <v>854491468</v>
      </c>
      <c r="GG256">
        <v>2</v>
      </c>
      <c r="GH256">
        <v>1</v>
      </c>
      <c r="GI256">
        <v>2</v>
      </c>
      <c r="GJ256">
        <v>0</v>
      </c>
      <c r="GK256">
        <f>ROUND(R256*(S12)/100,2)</f>
        <v>0</v>
      </c>
      <c r="GL256">
        <f t="shared" si="241"/>
        <v>0</v>
      </c>
      <c r="GM256">
        <f t="shared" si="242"/>
        <v>0</v>
      </c>
      <c r="GN256">
        <f t="shared" si="243"/>
        <v>0</v>
      </c>
      <c r="GO256">
        <f t="shared" si="244"/>
        <v>0</v>
      </c>
      <c r="GP256">
        <f t="shared" si="245"/>
        <v>0</v>
      </c>
      <c r="GR256">
        <v>0</v>
      </c>
      <c r="GS256">
        <v>3</v>
      </c>
      <c r="GT256">
        <v>0</v>
      </c>
      <c r="GU256" t="s">
        <v>3</v>
      </c>
      <c r="GV256">
        <f t="shared" si="246"/>
        <v>0</v>
      </c>
      <c r="GW256">
        <v>1</v>
      </c>
      <c r="GX256">
        <f t="shared" si="247"/>
        <v>0</v>
      </c>
      <c r="HA256">
        <v>0</v>
      </c>
      <c r="HB256">
        <v>0</v>
      </c>
      <c r="HC256">
        <f t="shared" si="248"/>
        <v>0</v>
      </c>
      <c r="HE256" t="s">
        <v>3</v>
      </c>
      <c r="HF256" t="s">
        <v>3</v>
      </c>
      <c r="HM256" t="s">
        <v>3</v>
      </c>
      <c r="HN256" t="s">
        <v>3</v>
      </c>
      <c r="HO256" t="s">
        <v>3</v>
      </c>
      <c r="HP256" t="s">
        <v>3</v>
      </c>
      <c r="HQ256" t="s">
        <v>3</v>
      </c>
      <c r="HS256">
        <v>0</v>
      </c>
      <c r="IK256">
        <v>0</v>
      </c>
    </row>
    <row r="257" spans="1:255" x14ac:dyDescent="0.2">
      <c r="A257" s="2">
        <v>17</v>
      </c>
      <c r="B257" s="2">
        <v>1</v>
      </c>
      <c r="C257" s="2"/>
      <c r="D257" s="2">
        <f>ROW(EtalonRes!A484)</f>
        <v>484</v>
      </c>
      <c r="E257" s="2" t="s">
        <v>336</v>
      </c>
      <c r="F257" s="2" t="s">
        <v>337</v>
      </c>
      <c r="G257" s="2" t="s">
        <v>338</v>
      </c>
      <c r="H257" s="2" t="s">
        <v>268</v>
      </c>
      <c r="I257" s="2">
        <v>0</v>
      </c>
      <c r="J257" s="2">
        <v>0</v>
      </c>
      <c r="K257" s="2">
        <v>0</v>
      </c>
      <c r="L257" s="2"/>
      <c r="M257" s="2"/>
      <c r="N257" s="2"/>
      <c r="O257" s="2">
        <f t="shared" si="214"/>
        <v>0</v>
      </c>
      <c r="P257" s="2">
        <f t="shared" si="215"/>
        <v>0</v>
      </c>
      <c r="Q257" s="2">
        <f t="shared" si="216"/>
        <v>0</v>
      </c>
      <c r="R257" s="2">
        <f t="shared" si="217"/>
        <v>0</v>
      </c>
      <c r="S257" s="2">
        <f t="shared" si="218"/>
        <v>0</v>
      </c>
      <c r="T257" s="2">
        <f t="shared" si="219"/>
        <v>0</v>
      </c>
      <c r="U257" s="2">
        <f t="shared" si="220"/>
        <v>0</v>
      </c>
      <c r="V257" s="2">
        <f t="shared" si="221"/>
        <v>0</v>
      </c>
      <c r="W257" s="2">
        <f t="shared" si="222"/>
        <v>0</v>
      </c>
      <c r="X257" s="2">
        <f t="shared" si="223"/>
        <v>0</v>
      </c>
      <c r="Y257" s="2">
        <f t="shared" si="224"/>
        <v>0</v>
      </c>
      <c r="Z257" s="2"/>
      <c r="AA257" s="2">
        <v>56622490</v>
      </c>
      <c r="AB257" s="2">
        <f t="shared" si="225"/>
        <v>711.48</v>
      </c>
      <c r="AC257" s="2">
        <f t="shared" si="226"/>
        <v>0</v>
      </c>
      <c r="AD257" s="2">
        <f t="shared" si="227"/>
        <v>595.63350000000003</v>
      </c>
      <c r="AE257" s="2">
        <f t="shared" si="228"/>
        <v>60.469499999999996</v>
      </c>
      <c r="AF257" s="2">
        <f t="shared" si="228"/>
        <v>115.84650000000001</v>
      </c>
      <c r="AG257" s="2">
        <f t="shared" si="229"/>
        <v>0</v>
      </c>
      <c r="AH257" s="2">
        <f t="shared" si="230"/>
        <v>12.285</v>
      </c>
      <c r="AI257" s="2">
        <f t="shared" si="230"/>
        <v>0</v>
      </c>
      <c r="AJ257" s="2">
        <f t="shared" si="231"/>
        <v>0</v>
      </c>
      <c r="AK257" s="2">
        <v>677.6</v>
      </c>
      <c r="AL257" s="2">
        <v>0</v>
      </c>
      <c r="AM257" s="2">
        <v>567.27</v>
      </c>
      <c r="AN257" s="2">
        <v>57.59</v>
      </c>
      <c r="AO257" s="2">
        <v>110.33</v>
      </c>
      <c r="AP257" s="2">
        <v>0</v>
      </c>
      <c r="AQ257" s="2">
        <v>11.7</v>
      </c>
      <c r="AR257" s="2">
        <v>0</v>
      </c>
      <c r="AS257" s="2">
        <v>0</v>
      </c>
      <c r="AT257" s="2">
        <v>80</v>
      </c>
      <c r="AU257" s="2">
        <v>55</v>
      </c>
      <c r="AV257" s="2">
        <v>1.0469999999999999</v>
      </c>
      <c r="AW257" s="2">
        <v>1</v>
      </c>
      <c r="AX257" s="2"/>
      <c r="AY257" s="2"/>
      <c r="AZ257" s="2">
        <v>1</v>
      </c>
      <c r="BA257" s="2">
        <v>1</v>
      </c>
      <c r="BB257" s="2">
        <v>1</v>
      </c>
      <c r="BC257" s="2">
        <v>1</v>
      </c>
      <c r="BD257" s="2" t="s">
        <v>3</v>
      </c>
      <c r="BE257" s="2" t="s">
        <v>3</v>
      </c>
      <c r="BF257" s="2" t="s">
        <v>3</v>
      </c>
      <c r="BG257" s="2" t="s">
        <v>3</v>
      </c>
      <c r="BH257" s="2">
        <v>0</v>
      </c>
      <c r="BI257" s="2">
        <v>1</v>
      </c>
      <c r="BJ257" s="2" t="s">
        <v>339</v>
      </c>
      <c r="BK257" s="2"/>
      <c r="BL257" s="2"/>
      <c r="BM257" s="2">
        <v>674</v>
      </c>
      <c r="BN257" s="2">
        <v>0</v>
      </c>
      <c r="BO257" s="2" t="s">
        <v>3</v>
      </c>
      <c r="BP257" s="2">
        <v>0</v>
      </c>
      <c r="BQ257" s="2">
        <v>60</v>
      </c>
      <c r="BR257" s="2">
        <v>0</v>
      </c>
      <c r="BS257" s="2">
        <v>1</v>
      </c>
      <c r="BT257" s="2">
        <v>1</v>
      </c>
      <c r="BU257" s="2">
        <v>1</v>
      </c>
      <c r="BV257" s="2">
        <v>1</v>
      </c>
      <c r="BW257" s="2">
        <v>1</v>
      </c>
      <c r="BX257" s="2">
        <v>1</v>
      </c>
      <c r="BY257" s="2" t="s">
        <v>3</v>
      </c>
      <c r="BZ257" s="2">
        <v>80</v>
      </c>
      <c r="CA257" s="2">
        <v>55</v>
      </c>
      <c r="CB257" s="2" t="s">
        <v>3</v>
      </c>
      <c r="CC257" s="2"/>
      <c r="CD257" s="2"/>
      <c r="CE257" s="2">
        <v>30</v>
      </c>
      <c r="CF257" s="2">
        <v>0</v>
      </c>
      <c r="CG257" s="2">
        <v>0</v>
      </c>
      <c r="CH257" s="2"/>
      <c r="CI257" s="2"/>
      <c r="CJ257" s="2"/>
      <c r="CK257" s="2"/>
      <c r="CL257" s="2"/>
      <c r="CM257" s="2">
        <v>0</v>
      </c>
      <c r="CN257" s="2" t="s">
        <v>708</v>
      </c>
      <c r="CO257" s="2">
        <v>0</v>
      </c>
      <c r="CP257" s="2">
        <f t="shared" si="232"/>
        <v>0</v>
      </c>
      <c r="CQ257" s="2">
        <f t="shared" si="233"/>
        <v>0</v>
      </c>
      <c r="CR257" s="2">
        <f t="shared" si="234"/>
        <v>623.63</v>
      </c>
      <c r="CS257" s="2">
        <f t="shared" si="235"/>
        <v>63.31</v>
      </c>
      <c r="CT257" s="2">
        <f t="shared" si="236"/>
        <v>121.29</v>
      </c>
      <c r="CU257" s="2">
        <f t="shared" si="237"/>
        <v>0</v>
      </c>
      <c r="CV257" s="2">
        <f t="shared" si="238"/>
        <v>12.862394999999999</v>
      </c>
      <c r="CW257" s="2">
        <f t="shared" si="239"/>
        <v>0</v>
      </c>
      <c r="CX257" s="2">
        <f t="shared" si="240"/>
        <v>0</v>
      </c>
      <c r="CY257" s="2">
        <f>((S257*BZ257)/100)</f>
        <v>0</v>
      </c>
      <c r="CZ257" s="2">
        <f>((S257*CA257)/100)</f>
        <v>0</v>
      </c>
      <c r="DA257" s="2"/>
      <c r="DB257" s="2">
        <v>103</v>
      </c>
      <c r="DC257" s="2" t="s">
        <v>3</v>
      </c>
      <c r="DD257" s="2" t="s">
        <v>3</v>
      </c>
      <c r="DE257" s="2" t="s">
        <v>22</v>
      </c>
      <c r="DF257" s="2" t="s">
        <v>22</v>
      </c>
      <c r="DG257" s="2" t="s">
        <v>22</v>
      </c>
      <c r="DH257" s="2" t="s">
        <v>3</v>
      </c>
      <c r="DI257" s="2" t="s">
        <v>22</v>
      </c>
      <c r="DJ257" s="2" t="s">
        <v>22</v>
      </c>
      <c r="DK257" s="2" t="s">
        <v>3</v>
      </c>
      <c r="DL257" s="2" t="s">
        <v>3</v>
      </c>
      <c r="DM257" s="2" t="s">
        <v>3</v>
      </c>
      <c r="DN257" s="2">
        <v>0</v>
      </c>
      <c r="DO257" s="2">
        <v>0</v>
      </c>
      <c r="DP257" s="2">
        <v>1</v>
      </c>
      <c r="DQ257" s="2">
        <v>1</v>
      </c>
      <c r="DR257" s="2"/>
      <c r="DS257" s="2"/>
      <c r="DT257" s="2"/>
      <c r="DU257" s="2">
        <v>1007</v>
      </c>
      <c r="DV257" s="2" t="s">
        <v>268</v>
      </c>
      <c r="DW257" s="2" t="s">
        <v>268</v>
      </c>
      <c r="DX257" s="2">
        <v>100</v>
      </c>
      <c r="DY257" s="2"/>
      <c r="DZ257" s="2" t="s">
        <v>3</v>
      </c>
      <c r="EA257" s="2" t="s">
        <v>3</v>
      </c>
      <c r="EB257" s="2" t="s">
        <v>3</v>
      </c>
      <c r="EC257" s="2" t="s">
        <v>3</v>
      </c>
      <c r="ED257" s="2"/>
      <c r="EE257" s="2">
        <v>51696713</v>
      </c>
      <c r="EF257" s="2">
        <v>60</v>
      </c>
      <c r="EG257" s="2" t="s">
        <v>270</v>
      </c>
      <c r="EH257" s="2">
        <v>0</v>
      </c>
      <c r="EI257" s="2" t="s">
        <v>3</v>
      </c>
      <c r="EJ257" s="2">
        <v>1</v>
      </c>
      <c r="EK257" s="2">
        <v>674</v>
      </c>
      <c r="EL257" s="2" t="s">
        <v>271</v>
      </c>
      <c r="EM257" s="2" t="s">
        <v>272</v>
      </c>
      <c r="EN257" s="2"/>
      <c r="EO257" s="2" t="s">
        <v>26</v>
      </c>
      <c r="EP257" s="2"/>
      <c r="EQ257" s="2">
        <v>131072</v>
      </c>
      <c r="ER257" s="2">
        <v>677.6</v>
      </c>
      <c r="ES257" s="2">
        <v>0</v>
      </c>
      <c r="ET257" s="2">
        <v>567.27</v>
      </c>
      <c r="EU257" s="2">
        <v>57.59</v>
      </c>
      <c r="EV257" s="2">
        <v>110.33</v>
      </c>
      <c r="EW257" s="2">
        <v>11.7</v>
      </c>
      <c r="EX257" s="2">
        <v>0</v>
      </c>
      <c r="EY257" s="2">
        <v>0</v>
      </c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>
        <v>0</v>
      </c>
      <c r="FR257" s="2">
        <v>0</v>
      </c>
      <c r="FS257" s="2">
        <v>0</v>
      </c>
      <c r="FT257" s="2"/>
      <c r="FU257" s="2"/>
      <c r="FV257" s="2"/>
      <c r="FW257" s="2"/>
      <c r="FX257" s="2">
        <v>80</v>
      </c>
      <c r="FY257" s="2">
        <v>55</v>
      </c>
      <c r="FZ257" s="2"/>
      <c r="GA257" s="2" t="s">
        <v>3</v>
      </c>
      <c r="GB257" s="2"/>
      <c r="GC257" s="2"/>
      <c r="GD257" s="2">
        <v>0</v>
      </c>
      <c r="GE257" s="2"/>
      <c r="GF257" s="2">
        <v>-538425389</v>
      </c>
      <c r="GG257" s="2">
        <v>2</v>
      </c>
      <c r="GH257" s="2">
        <v>1</v>
      </c>
      <c r="GI257" s="2">
        <v>-2</v>
      </c>
      <c r="GJ257" s="2">
        <v>0</v>
      </c>
      <c r="GK257" s="2">
        <f>ROUND(R257*(R12)/100,2)</f>
        <v>0</v>
      </c>
      <c r="GL257" s="2">
        <f t="shared" si="241"/>
        <v>0</v>
      </c>
      <c r="GM257" s="2">
        <f t="shared" si="242"/>
        <v>0</v>
      </c>
      <c r="GN257" s="2">
        <f t="shared" si="243"/>
        <v>0</v>
      </c>
      <c r="GO257" s="2">
        <f t="shared" si="244"/>
        <v>0</v>
      </c>
      <c r="GP257" s="2">
        <f t="shared" si="245"/>
        <v>0</v>
      </c>
      <c r="GQ257" s="2"/>
      <c r="GR257" s="2">
        <v>0</v>
      </c>
      <c r="GS257" s="2">
        <v>0</v>
      </c>
      <c r="GT257" s="2">
        <v>0</v>
      </c>
      <c r="GU257" s="2" t="s">
        <v>3</v>
      </c>
      <c r="GV257" s="2">
        <f t="shared" si="246"/>
        <v>0</v>
      </c>
      <c r="GW257" s="2">
        <v>1</v>
      </c>
      <c r="GX257" s="2">
        <f t="shared" si="247"/>
        <v>0</v>
      </c>
      <c r="GY257" s="2"/>
      <c r="GZ257" s="2"/>
      <c r="HA257" s="2">
        <v>0</v>
      </c>
      <c r="HB257" s="2">
        <v>0</v>
      </c>
      <c r="HC257" s="2">
        <f t="shared" si="248"/>
        <v>0</v>
      </c>
      <c r="HD257" s="2"/>
      <c r="HE257" s="2" t="s">
        <v>3</v>
      </c>
      <c r="HF257" s="2" t="s">
        <v>3</v>
      </c>
      <c r="HG257" s="2"/>
      <c r="HH257" s="2"/>
      <c r="HI257" s="2"/>
      <c r="HJ257" s="2"/>
      <c r="HK257" s="2"/>
      <c r="HL257" s="2"/>
      <c r="HM257" s="2" t="s">
        <v>3</v>
      </c>
      <c r="HN257" s="2" t="s">
        <v>3</v>
      </c>
      <c r="HO257" s="2" t="s">
        <v>3</v>
      </c>
      <c r="HP257" s="2" t="s">
        <v>3</v>
      </c>
      <c r="HQ257" s="2" t="s">
        <v>3</v>
      </c>
      <c r="HR257" s="2"/>
      <c r="HS257" s="2">
        <v>0</v>
      </c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>
        <v>0</v>
      </c>
      <c r="IL257" s="2"/>
      <c r="IM257" s="2"/>
      <c r="IN257" s="2"/>
      <c r="IO257" s="2"/>
      <c r="IP257" s="2"/>
      <c r="IQ257" s="2"/>
      <c r="IR257" s="2"/>
      <c r="IS257" s="2"/>
      <c r="IT257" s="2"/>
      <c r="IU257" s="2"/>
    </row>
    <row r="258" spans="1:255" x14ac:dyDescent="0.2">
      <c r="A258">
        <v>17</v>
      </c>
      <c r="B258">
        <v>1</v>
      </c>
      <c r="D258">
        <f>ROW(EtalonRes!A488)</f>
        <v>488</v>
      </c>
      <c r="E258" t="s">
        <v>336</v>
      </c>
      <c r="F258" t="s">
        <v>337</v>
      </c>
      <c r="G258" t="s">
        <v>338</v>
      </c>
      <c r="H258" t="s">
        <v>268</v>
      </c>
      <c r="I258">
        <v>0</v>
      </c>
      <c r="J258">
        <v>0</v>
      </c>
      <c r="K258">
        <v>0</v>
      </c>
      <c r="O258">
        <f t="shared" si="214"/>
        <v>0</v>
      </c>
      <c r="P258">
        <f t="shared" si="215"/>
        <v>0</v>
      </c>
      <c r="Q258">
        <f t="shared" si="216"/>
        <v>0</v>
      </c>
      <c r="R258">
        <f t="shared" si="217"/>
        <v>0</v>
      </c>
      <c r="S258">
        <f t="shared" si="218"/>
        <v>0</v>
      </c>
      <c r="T258">
        <f t="shared" si="219"/>
        <v>0</v>
      </c>
      <c r="U258">
        <f t="shared" si="220"/>
        <v>0</v>
      </c>
      <c r="V258">
        <f t="shared" si="221"/>
        <v>0</v>
      </c>
      <c r="W258">
        <f t="shared" si="222"/>
        <v>0</v>
      </c>
      <c r="X258">
        <f t="shared" si="223"/>
        <v>0</v>
      </c>
      <c r="Y258">
        <f t="shared" si="224"/>
        <v>0</v>
      </c>
      <c r="AA258">
        <v>56610029</v>
      </c>
      <c r="AB258">
        <f t="shared" si="225"/>
        <v>711.48</v>
      </c>
      <c r="AC258">
        <f t="shared" si="226"/>
        <v>0</v>
      </c>
      <c r="AD258">
        <f t="shared" si="227"/>
        <v>595.63350000000003</v>
      </c>
      <c r="AE258">
        <f t="shared" si="228"/>
        <v>60.469499999999996</v>
      </c>
      <c r="AF258">
        <f t="shared" si="228"/>
        <v>115.84650000000001</v>
      </c>
      <c r="AG258">
        <f t="shared" si="229"/>
        <v>0</v>
      </c>
      <c r="AH258">
        <f t="shared" si="230"/>
        <v>12.285</v>
      </c>
      <c r="AI258">
        <f t="shared" si="230"/>
        <v>0</v>
      </c>
      <c r="AJ258">
        <f t="shared" si="231"/>
        <v>0</v>
      </c>
      <c r="AK258">
        <v>677.6</v>
      </c>
      <c r="AL258">
        <v>0</v>
      </c>
      <c r="AM258">
        <v>567.27</v>
      </c>
      <c r="AN258">
        <v>57.59</v>
      </c>
      <c r="AO258">
        <v>110.33</v>
      </c>
      <c r="AP258">
        <v>0</v>
      </c>
      <c r="AQ258">
        <v>11.7</v>
      </c>
      <c r="AR258">
        <v>0</v>
      </c>
      <c r="AS258">
        <v>0</v>
      </c>
      <c r="AT258">
        <v>70</v>
      </c>
      <c r="AU258">
        <v>41</v>
      </c>
      <c r="AV258">
        <v>1.0469999999999999</v>
      </c>
      <c r="AW258">
        <v>1</v>
      </c>
      <c r="AZ258">
        <v>1</v>
      </c>
      <c r="BA258">
        <v>34.51</v>
      </c>
      <c r="BB258">
        <v>12.23</v>
      </c>
      <c r="BC258">
        <v>1</v>
      </c>
      <c r="BD258" t="s">
        <v>3</v>
      </c>
      <c r="BE258" t="s">
        <v>3</v>
      </c>
      <c r="BF258" t="s">
        <v>3</v>
      </c>
      <c r="BG258" t="s">
        <v>3</v>
      </c>
      <c r="BH258">
        <v>0</v>
      </c>
      <c r="BI258">
        <v>1</v>
      </c>
      <c r="BJ258" t="s">
        <v>339</v>
      </c>
      <c r="BM258">
        <v>674</v>
      </c>
      <c r="BN258">
        <v>0</v>
      </c>
      <c r="BO258" t="s">
        <v>337</v>
      </c>
      <c r="BP258">
        <v>1</v>
      </c>
      <c r="BQ258">
        <v>60</v>
      </c>
      <c r="BR258">
        <v>0</v>
      </c>
      <c r="BS258">
        <v>34.51</v>
      </c>
      <c r="BT258">
        <v>1</v>
      </c>
      <c r="BU258">
        <v>1</v>
      </c>
      <c r="BV258">
        <v>1</v>
      </c>
      <c r="BW258">
        <v>1</v>
      </c>
      <c r="BX258">
        <v>1</v>
      </c>
      <c r="BY258" t="s">
        <v>3</v>
      </c>
      <c r="BZ258">
        <v>70</v>
      </c>
      <c r="CA258">
        <v>41</v>
      </c>
      <c r="CB258" t="s">
        <v>3</v>
      </c>
      <c r="CE258">
        <v>30</v>
      </c>
      <c r="CF258">
        <v>0</v>
      </c>
      <c r="CG258">
        <v>0</v>
      </c>
      <c r="CM258">
        <v>0</v>
      </c>
      <c r="CN258" t="s">
        <v>708</v>
      </c>
      <c r="CO258">
        <v>0</v>
      </c>
      <c r="CP258">
        <f t="shared" si="232"/>
        <v>0</v>
      </c>
      <c r="CQ258">
        <f t="shared" si="233"/>
        <v>0</v>
      </c>
      <c r="CR258">
        <f t="shared" si="234"/>
        <v>7626.99</v>
      </c>
      <c r="CS258">
        <f t="shared" si="235"/>
        <v>2184.83</v>
      </c>
      <c r="CT258">
        <f t="shared" si="236"/>
        <v>4185.72</v>
      </c>
      <c r="CU258">
        <f t="shared" si="237"/>
        <v>0</v>
      </c>
      <c r="CV258">
        <f t="shared" si="238"/>
        <v>12.862394999999999</v>
      </c>
      <c r="CW258">
        <f t="shared" si="239"/>
        <v>0</v>
      </c>
      <c r="CX258">
        <f t="shared" si="240"/>
        <v>0</v>
      </c>
      <c r="CY258">
        <f>S258*(BZ258/100)</f>
        <v>0</v>
      </c>
      <c r="CZ258">
        <f>S258*(CA258/100)</f>
        <v>0</v>
      </c>
      <c r="DB258">
        <v>104</v>
      </c>
      <c r="DC258" t="s">
        <v>3</v>
      </c>
      <c r="DD258" t="s">
        <v>3</v>
      </c>
      <c r="DE258" t="s">
        <v>22</v>
      </c>
      <c r="DF258" t="s">
        <v>22</v>
      </c>
      <c r="DG258" t="s">
        <v>22</v>
      </c>
      <c r="DH258" t="s">
        <v>3</v>
      </c>
      <c r="DI258" t="s">
        <v>22</v>
      </c>
      <c r="DJ258" t="s">
        <v>22</v>
      </c>
      <c r="DK258" t="s">
        <v>3</v>
      </c>
      <c r="DL258" t="s">
        <v>3</v>
      </c>
      <c r="DM258" t="s">
        <v>3</v>
      </c>
      <c r="DN258">
        <v>80</v>
      </c>
      <c r="DO258">
        <v>55</v>
      </c>
      <c r="DP258">
        <v>1.0469999999999999</v>
      </c>
      <c r="DQ258">
        <v>1</v>
      </c>
      <c r="DU258">
        <v>1007</v>
      </c>
      <c r="DV258" t="s">
        <v>268</v>
      </c>
      <c r="DW258" t="s">
        <v>268</v>
      </c>
      <c r="DX258">
        <v>100</v>
      </c>
      <c r="DZ258" t="s">
        <v>3</v>
      </c>
      <c r="EA258" t="s">
        <v>3</v>
      </c>
      <c r="EB258" t="s">
        <v>3</v>
      </c>
      <c r="EC258" t="s">
        <v>3</v>
      </c>
      <c r="EE258">
        <v>51696713</v>
      </c>
      <c r="EF258">
        <v>60</v>
      </c>
      <c r="EG258" t="s">
        <v>270</v>
      </c>
      <c r="EH258">
        <v>0</v>
      </c>
      <c r="EI258" t="s">
        <v>3</v>
      </c>
      <c r="EJ258">
        <v>1</v>
      </c>
      <c r="EK258">
        <v>674</v>
      </c>
      <c r="EL258" t="s">
        <v>271</v>
      </c>
      <c r="EM258" t="s">
        <v>272</v>
      </c>
      <c r="EO258" t="s">
        <v>26</v>
      </c>
      <c r="EQ258">
        <v>131072</v>
      </c>
      <c r="ER258">
        <v>677.6</v>
      </c>
      <c r="ES258">
        <v>0</v>
      </c>
      <c r="ET258">
        <v>567.27</v>
      </c>
      <c r="EU258">
        <v>57.59</v>
      </c>
      <c r="EV258">
        <v>110.33</v>
      </c>
      <c r="EW258">
        <v>11.7</v>
      </c>
      <c r="EX258">
        <v>0</v>
      </c>
      <c r="EY258">
        <v>0</v>
      </c>
      <c r="FQ258">
        <v>0</v>
      </c>
      <c r="FR258">
        <v>0</v>
      </c>
      <c r="FS258">
        <v>0</v>
      </c>
      <c r="FX258">
        <v>80</v>
      </c>
      <c r="FY258">
        <v>55</v>
      </c>
      <c r="GA258" t="s">
        <v>3</v>
      </c>
      <c r="GD258">
        <v>0</v>
      </c>
      <c r="GF258">
        <v>-538425389</v>
      </c>
      <c r="GG258">
        <v>2</v>
      </c>
      <c r="GH258">
        <v>1</v>
      </c>
      <c r="GI258">
        <v>2</v>
      </c>
      <c r="GJ258">
        <v>0</v>
      </c>
      <c r="GK258">
        <f>ROUND(R258*(S12)/100,2)</f>
        <v>0</v>
      </c>
      <c r="GL258">
        <f t="shared" si="241"/>
        <v>0</v>
      </c>
      <c r="GM258">
        <f t="shared" si="242"/>
        <v>0</v>
      </c>
      <c r="GN258">
        <f t="shared" si="243"/>
        <v>0</v>
      </c>
      <c r="GO258">
        <f t="shared" si="244"/>
        <v>0</v>
      </c>
      <c r="GP258">
        <f t="shared" si="245"/>
        <v>0</v>
      </c>
      <c r="GR258">
        <v>0</v>
      </c>
      <c r="GS258">
        <v>3</v>
      </c>
      <c r="GT258">
        <v>0</v>
      </c>
      <c r="GU258" t="s">
        <v>3</v>
      </c>
      <c r="GV258">
        <f t="shared" si="246"/>
        <v>0</v>
      </c>
      <c r="GW258">
        <v>1</v>
      </c>
      <c r="GX258">
        <f t="shared" si="247"/>
        <v>0</v>
      </c>
      <c r="HA258">
        <v>0</v>
      </c>
      <c r="HB258">
        <v>0</v>
      </c>
      <c r="HC258">
        <f t="shared" si="248"/>
        <v>0</v>
      </c>
      <c r="HE258" t="s">
        <v>3</v>
      </c>
      <c r="HF258" t="s">
        <v>3</v>
      </c>
      <c r="HM258" t="s">
        <v>3</v>
      </c>
      <c r="HN258" t="s">
        <v>3</v>
      </c>
      <c r="HO258" t="s">
        <v>3</v>
      </c>
      <c r="HP258" t="s">
        <v>3</v>
      </c>
      <c r="HQ258" t="s">
        <v>3</v>
      </c>
      <c r="HS258">
        <v>0</v>
      </c>
      <c r="IK258">
        <v>0</v>
      </c>
    </row>
    <row r="259" spans="1:255" x14ac:dyDescent="0.2">
      <c r="A259" s="2">
        <v>17</v>
      </c>
      <c r="B259" s="2">
        <v>1</v>
      </c>
      <c r="C259" s="2"/>
      <c r="D259" s="2">
        <f>ROW(EtalonRes!A489)</f>
        <v>489</v>
      </c>
      <c r="E259" s="2" t="s">
        <v>340</v>
      </c>
      <c r="F259" s="2" t="s">
        <v>278</v>
      </c>
      <c r="G259" s="2" t="s">
        <v>279</v>
      </c>
      <c r="H259" s="2" t="s">
        <v>280</v>
      </c>
      <c r="I259" s="2">
        <f>ROUND((I255*2.4+I257*1.4)*100,9)</f>
        <v>0</v>
      </c>
      <c r="J259" s="2">
        <v>0</v>
      </c>
      <c r="K259" s="2">
        <f>ROUND((I255*2.4+I257*1.4)*100,9)</f>
        <v>0</v>
      </c>
      <c r="L259" s="2"/>
      <c r="M259" s="2"/>
      <c r="N259" s="2"/>
      <c r="O259" s="2">
        <f t="shared" si="214"/>
        <v>0</v>
      </c>
      <c r="P259" s="2">
        <f t="shared" si="215"/>
        <v>0</v>
      </c>
      <c r="Q259" s="2">
        <f t="shared" si="216"/>
        <v>0</v>
      </c>
      <c r="R259" s="2">
        <f t="shared" si="217"/>
        <v>0</v>
      </c>
      <c r="S259" s="2">
        <f t="shared" si="218"/>
        <v>0</v>
      </c>
      <c r="T259" s="2">
        <f t="shared" si="219"/>
        <v>0</v>
      </c>
      <c r="U259" s="2">
        <f t="shared" si="220"/>
        <v>0</v>
      </c>
      <c r="V259" s="2">
        <f t="shared" si="221"/>
        <v>0</v>
      </c>
      <c r="W259" s="2">
        <f t="shared" si="222"/>
        <v>0</v>
      </c>
      <c r="X259" s="2">
        <f t="shared" si="223"/>
        <v>0</v>
      </c>
      <c r="Y259" s="2">
        <f t="shared" si="224"/>
        <v>0</v>
      </c>
      <c r="Z259" s="2"/>
      <c r="AA259" s="2">
        <v>56622490</v>
      </c>
      <c r="AB259" s="2">
        <f t="shared" si="225"/>
        <v>9.3030000000000008</v>
      </c>
      <c r="AC259" s="2">
        <f t="shared" si="226"/>
        <v>0</v>
      </c>
      <c r="AD259" s="2">
        <f t="shared" si="227"/>
        <v>9.3030000000000008</v>
      </c>
      <c r="AE259" s="2">
        <f t="shared" si="228"/>
        <v>1.554</v>
      </c>
      <c r="AF259" s="2">
        <f t="shared" si="228"/>
        <v>0</v>
      </c>
      <c r="AG259" s="2">
        <f t="shared" si="229"/>
        <v>0</v>
      </c>
      <c r="AH259" s="2">
        <f t="shared" si="230"/>
        <v>0</v>
      </c>
      <c r="AI259" s="2">
        <f t="shared" si="230"/>
        <v>0</v>
      </c>
      <c r="AJ259" s="2">
        <f t="shared" si="231"/>
        <v>0</v>
      </c>
      <c r="AK259" s="2">
        <v>8.86</v>
      </c>
      <c r="AL259" s="2">
        <v>0</v>
      </c>
      <c r="AM259" s="2">
        <v>8.86</v>
      </c>
      <c r="AN259" s="2">
        <v>1.48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91</v>
      </c>
      <c r="AU259" s="2">
        <v>70</v>
      </c>
      <c r="AV259" s="2">
        <v>1.0469999999999999</v>
      </c>
      <c r="AW259" s="2">
        <v>1.002</v>
      </c>
      <c r="AX259" s="2"/>
      <c r="AY259" s="2"/>
      <c r="AZ259" s="2">
        <v>1</v>
      </c>
      <c r="BA259" s="2">
        <v>1</v>
      </c>
      <c r="BB259" s="2">
        <v>1</v>
      </c>
      <c r="BC259" s="2">
        <v>1</v>
      </c>
      <c r="BD259" s="2" t="s">
        <v>3</v>
      </c>
      <c r="BE259" s="2" t="s">
        <v>3</v>
      </c>
      <c r="BF259" s="2" t="s">
        <v>3</v>
      </c>
      <c r="BG259" s="2" t="s">
        <v>3</v>
      </c>
      <c r="BH259" s="2">
        <v>0</v>
      </c>
      <c r="BI259" s="2">
        <v>1</v>
      </c>
      <c r="BJ259" s="2" t="s">
        <v>281</v>
      </c>
      <c r="BK259" s="2"/>
      <c r="BL259" s="2"/>
      <c r="BM259" s="2">
        <v>658</v>
      </c>
      <c r="BN259" s="2">
        <v>0</v>
      </c>
      <c r="BO259" s="2" t="s">
        <v>3</v>
      </c>
      <c r="BP259" s="2">
        <v>0</v>
      </c>
      <c r="BQ259" s="2">
        <v>60</v>
      </c>
      <c r="BR259" s="2">
        <v>0</v>
      </c>
      <c r="BS259" s="2">
        <v>1</v>
      </c>
      <c r="BT259" s="2">
        <v>1</v>
      </c>
      <c r="BU259" s="2">
        <v>1</v>
      </c>
      <c r="BV259" s="2">
        <v>1</v>
      </c>
      <c r="BW259" s="2">
        <v>1</v>
      </c>
      <c r="BX259" s="2">
        <v>1</v>
      </c>
      <c r="BY259" s="2" t="s">
        <v>3</v>
      </c>
      <c r="BZ259" s="2">
        <v>91</v>
      </c>
      <c r="CA259" s="2">
        <v>70</v>
      </c>
      <c r="CB259" s="2" t="s">
        <v>3</v>
      </c>
      <c r="CC259" s="2"/>
      <c r="CD259" s="2"/>
      <c r="CE259" s="2">
        <v>30</v>
      </c>
      <c r="CF259" s="2">
        <v>0</v>
      </c>
      <c r="CG259" s="2">
        <v>0</v>
      </c>
      <c r="CH259" s="2"/>
      <c r="CI259" s="2"/>
      <c r="CJ259" s="2"/>
      <c r="CK259" s="2"/>
      <c r="CL259" s="2"/>
      <c r="CM259" s="2">
        <v>0</v>
      </c>
      <c r="CN259" s="2" t="s">
        <v>708</v>
      </c>
      <c r="CO259" s="2">
        <v>0</v>
      </c>
      <c r="CP259" s="2">
        <f t="shared" si="232"/>
        <v>0</v>
      </c>
      <c r="CQ259" s="2">
        <f t="shared" si="233"/>
        <v>0</v>
      </c>
      <c r="CR259" s="2">
        <f t="shared" si="234"/>
        <v>9.74</v>
      </c>
      <c r="CS259" s="2">
        <f t="shared" si="235"/>
        <v>1.63</v>
      </c>
      <c r="CT259" s="2">
        <f t="shared" si="236"/>
        <v>0</v>
      </c>
      <c r="CU259" s="2">
        <f t="shared" si="237"/>
        <v>0</v>
      </c>
      <c r="CV259" s="2">
        <f t="shared" si="238"/>
        <v>0</v>
      </c>
      <c r="CW259" s="2">
        <f t="shared" si="239"/>
        <v>0</v>
      </c>
      <c r="CX259" s="2">
        <f t="shared" si="240"/>
        <v>0</v>
      </c>
      <c r="CY259" s="2">
        <f>((S259*BZ259)/100)</f>
        <v>0</v>
      </c>
      <c r="CZ259" s="2">
        <f>((S259*CA259)/100)</f>
        <v>0</v>
      </c>
      <c r="DA259" s="2"/>
      <c r="DB259" s="2">
        <v>105</v>
      </c>
      <c r="DC259" s="2" t="s">
        <v>3</v>
      </c>
      <c r="DD259" s="2" t="s">
        <v>3</v>
      </c>
      <c r="DE259" s="2" t="s">
        <v>22</v>
      </c>
      <c r="DF259" s="2" t="s">
        <v>22</v>
      </c>
      <c r="DG259" s="2" t="s">
        <v>22</v>
      </c>
      <c r="DH259" s="2" t="s">
        <v>3</v>
      </c>
      <c r="DI259" s="2" t="s">
        <v>22</v>
      </c>
      <c r="DJ259" s="2" t="s">
        <v>22</v>
      </c>
      <c r="DK259" s="2" t="s">
        <v>3</v>
      </c>
      <c r="DL259" s="2" t="s">
        <v>3</v>
      </c>
      <c r="DM259" s="2" t="s">
        <v>3</v>
      </c>
      <c r="DN259" s="2">
        <v>0</v>
      </c>
      <c r="DO259" s="2">
        <v>0</v>
      </c>
      <c r="DP259" s="2">
        <v>1</v>
      </c>
      <c r="DQ259" s="2">
        <v>1</v>
      </c>
      <c r="DR259" s="2"/>
      <c r="DS259" s="2"/>
      <c r="DT259" s="2"/>
      <c r="DU259" s="2">
        <v>1013</v>
      </c>
      <c r="DV259" s="2" t="s">
        <v>280</v>
      </c>
      <c r="DW259" s="2" t="s">
        <v>280</v>
      </c>
      <c r="DX259" s="2">
        <v>1</v>
      </c>
      <c r="DY259" s="2"/>
      <c r="DZ259" s="2" t="s">
        <v>3</v>
      </c>
      <c r="EA259" s="2" t="s">
        <v>3</v>
      </c>
      <c r="EB259" s="2" t="s">
        <v>3</v>
      </c>
      <c r="EC259" s="2" t="s">
        <v>3</v>
      </c>
      <c r="ED259" s="2"/>
      <c r="EE259" s="2">
        <v>51696697</v>
      </c>
      <c r="EF259" s="2">
        <v>60</v>
      </c>
      <c r="EG259" s="2" t="s">
        <v>270</v>
      </c>
      <c r="EH259" s="2">
        <v>0</v>
      </c>
      <c r="EI259" s="2" t="s">
        <v>3</v>
      </c>
      <c r="EJ259" s="2">
        <v>1</v>
      </c>
      <c r="EK259" s="2">
        <v>658</v>
      </c>
      <c r="EL259" s="2" t="s">
        <v>282</v>
      </c>
      <c r="EM259" s="2" t="s">
        <v>283</v>
      </c>
      <c r="EN259" s="2"/>
      <c r="EO259" s="2" t="s">
        <v>26</v>
      </c>
      <c r="EP259" s="2"/>
      <c r="EQ259" s="2">
        <v>131072</v>
      </c>
      <c r="ER259" s="2">
        <v>8.86</v>
      </c>
      <c r="ES259" s="2">
        <v>0</v>
      </c>
      <c r="ET259" s="2">
        <v>8.86</v>
      </c>
      <c r="EU259" s="2">
        <v>1.48</v>
      </c>
      <c r="EV259" s="2">
        <v>0</v>
      </c>
      <c r="EW259" s="2">
        <v>0</v>
      </c>
      <c r="EX259" s="2">
        <v>0</v>
      </c>
      <c r="EY259" s="2">
        <v>0</v>
      </c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>
        <v>0</v>
      </c>
      <c r="FR259" s="2">
        <v>0</v>
      </c>
      <c r="FS259" s="2">
        <v>0</v>
      </c>
      <c r="FT259" s="2"/>
      <c r="FU259" s="2"/>
      <c r="FV259" s="2"/>
      <c r="FW259" s="2"/>
      <c r="FX259" s="2">
        <v>91</v>
      </c>
      <c r="FY259" s="2">
        <v>70</v>
      </c>
      <c r="FZ259" s="2"/>
      <c r="GA259" s="2" t="s">
        <v>3</v>
      </c>
      <c r="GB259" s="2"/>
      <c r="GC259" s="2"/>
      <c r="GD259" s="2">
        <v>0</v>
      </c>
      <c r="GE259" s="2"/>
      <c r="GF259" s="2">
        <v>-714011973</v>
      </c>
      <c r="GG259" s="2">
        <v>2</v>
      </c>
      <c r="GH259" s="2">
        <v>1</v>
      </c>
      <c r="GI259" s="2">
        <v>-2</v>
      </c>
      <c r="GJ259" s="2">
        <v>0</v>
      </c>
      <c r="GK259" s="2">
        <f>ROUND(R259*(R12)/100,2)</f>
        <v>0</v>
      </c>
      <c r="GL259" s="2">
        <f t="shared" si="241"/>
        <v>0</v>
      </c>
      <c r="GM259" s="2">
        <f t="shared" si="242"/>
        <v>0</v>
      </c>
      <c r="GN259" s="2">
        <f t="shared" si="243"/>
        <v>0</v>
      </c>
      <c r="GO259" s="2">
        <f t="shared" si="244"/>
        <v>0</v>
      </c>
      <c r="GP259" s="2">
        <f t="shared" si="245"/>
        <v>0</v>
      </c>
      <c r="GQ259" s="2"/>
      <c r="GR259" s="2">
        <v>0</v>
      </c>
      <c r="GS259" s="2">
        <v>0</v>
      </c>
      <c r="GT259" s="2">
        <v>0</v>
      </c>
      <c r="GU259" s="2" t="s">
        <v>3</v>
      </c>
      <c r="GV259" s="2">
        <f t="shared" si="246"/>
        <v>0</v>
      </c>
      <c r="GW259" s="2">
        <v>1</v>
      </c>
      <c r="GX259" s="2">
        <f t="shared" si="247"/>
        <v>0</v>
      </c>
      <c r="GY259" s="2"/>
      <c r="GZ259" s="2"/>
      <c r="HA259" s="2">
        <v>0</v>
      </c>
      <c r="HB259" s="2">
        <v>0</v>
      </c>
      <c r="HC259" s="2">
        <f t="shared" si="248"/>
        <v>0</v>
      </c>
      <c r="HD259" s="2"/>
      <c r="HE259" s="2" t="s">
        <v>3</v>
      </c>
      <c r="HF259" s="2" t="s">
        <v>3</v>
      </c>
      <c r="HG259" s="2"/>
      <c r="HH259" s="2"/>
      <c r="HI259" s="2"/>
      <c r="HJ259" s="2"/>
      <c r="HK259" s="2"/>
      <c r="HL259" s="2"/>
      <c r="HM259" s="2" t="s">
        <v>3</v>
      </c>
      <c r="HN259" s="2" t="s">
        <v>3</v>
      </c>
      <c r="HO259" s="2" t="s">
        <v>3</v>
      </c>
      <c r="HP259" s="2" t="s">
        <v>3</v>
      </c>
      <c r="HQ259" s="2" t="s">
        <v>3</v>
      </c>
      <c r="HR259" s="2"/>
      <c r="HS259" s="2">
        <v>0</v>
      </c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>
        <v>0</v>
      </c>
      <c r="IL259" s="2"/>
      <c r="IM259" s="2"/>
      <c r="IN259" s="2"/>
      <c r="IO259" s="2"/>
      <c r="IP259" s="2"/>
      <c r="IQ259" s="2"/>
      <c r="IR259" s="2"/>
      <c r="IS259" s="2"/>
      <c r="IT259" s="2"/>
      <c r="IU259" s="2"/>
    </row>
    <row r="260" spans="1:255" x14ac:dyDescent="0.2">
      <c r="A260">
        <v>17</v>
      </c>
      <c r="B260">
        <v>1</v>
      </c>
      <c r="D260">
        <f>ROW(EtalonRes!A490)</f>
        <v>490</v>
      </c>
      <c r="E260" t="s">
        <v>340</v>
      </c>
      <c r="F260" t="s">
        <v>278</v>
      </c>
      <c r="G260" t="s">
        <v>279</v>
      </c>
      <c r="H260" t="s">
        <v>280</v>
      </c>
      <c r="I260">
        <f>ROUND((I256*2.4+I258*1.4)*100,9)</f>
        <v>0</v>
      </c>
      <c r="J260">
        <v>0</v>
      </c>
      <c r="K260">
        <f>ROUND((I256*2.4+I258*1.4)*100,9)</f>
        <v>0</v>
      </c>
      <c r="O260">
        <f t="shared" si="214"/>
        <v>0</v>
      </c>
      <c r="P260">
        <f t="shared" si="215"/>
        <v>0</v>
      </c>
      <c r="Q260">
        <f t="shared" si="216"/>
        <v>0</v>
      </c>
      <c r="R260">
        <f t="shared" si="217"/>
        <v>0</v>
      </c>
      <c r="S260">
        <f t="shared" si="218"/>
        <v>0</v>
      </c>
      <c r="T260">
        <f t="shared" si="219"/>
        <v>0</v>
      </c>
      <c r="U260">
        <f t="shared" si="220"/>
        <v>0</v>
      </c>
      <c r="V260">
        <f t="shared" si="221"/>
        <v>0</v>
      </c>
      <c r="W260">
        <f t="shared" si="222"/>
        <v>0</v>
      </c>
      <c r="X260">
        <f t="shared" si="223"/>
        <v>0</v>
      </c>
      <c r="Y260">
        <f t="shared" si="224"/>
        <v>0</v>
      </c>
      <c r="AA260">
        <v>56610029</v>
      </c>
      <c r="AB260">
        <f t="shared" si="225"/>
        <v>9.3030000000000008</v>
      </c>
      <c r="AC260">
        <f t="shared" si="226"/>
        <v>0</v>
      </c>
      <c r="AD260">
        <f t="shared" si="227"/>
        <v>9.3030000000000008</v>
      </c>
      <c r="AE260">
        <f t="shared" si="228"/>
        <v>1.554</v>
      </c>
      <c r="AF260">
        <f t="shared" si="228"/>
        <v>0</v>
      </c>
      <c r="AG260">
        <f t="shared" si="229"/>
        <v>0</v>
      </c>
      <c r="AH260">
        <f t="shared" si="230"/>
        <v>0</v>
      </c>
      <c r="AI260">
        <f t="shared" si="230"/>
        <v>0</v>
      </c>
      <c r="AJ260">
        <f t="shared" si="231"/>
        <v>0</v>
      </c>
      <c r="AK260">
        <v>8.86</v>
      </c>
      <c r="AL260">
        <v>0</v>
      </c>
      <c r="AM260">
        <v>8.86</v>
      </c>
      <c r="AN260">
        <v>1.48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75</v>
      </c>
      <c r="AU260">
        <v>41</v>
      </c>
      <c r="AV260">
        <v>1.0469999999999999</v>
      </c>
      <c r="AW260">
        <v>1.002</v>
      </c>
      <c r="AZ260">
        <v>1</v>
      </c>
      <c r="BA260">
        <v>34.51</v>
      </c>
      <c r="BB260">
        <v>13.53</v>
      </c>
      <c r="BC260">
        <v>1</v>
      </c>
      <c r="BD260" t="s">
        <v>3</v>
      </c>
      <c r="BE260" t="s">
        <v>3</v>
      </c>
      <c r="BF260" t="s">
        <v>3</v>
      </c>
      <c r="BG260" t="s">
        <v>3</v>
      </c>
      <c r="BH260">
        <v>0</v>
      </c>
      <c r="BI260">
        <v>1</v>
      </c>
      <c r="BJ260" t="s">
        <v>281</v>
      </c>
      <c r="BM260">
        <v>658</v>
      </c>
      <c r="BN260">
        <v>0</v>
      </c>
      <c r="BO260" t="s">
        <v>278</v>
      </c>
      <c r="BP260">
        <v>1</v>
      </c>
      <c r="BQ260">
        <v>60</v>
      </c>
      <c r="BR260">
        <v>0</v>
      </c>
      <c r="BS260">
        <v>34.51</v>
      </c>
      <c r="BT260">
        <v>1</v>
      </c>
      <c r="BU260">
        <v>1</v>
      </c>
      <c r="BV260">
        <v>1</v>
      </c>
      <c r="BW260">
        <v>1</v>
      </c>
      <c r="BX260">
        <v>1</v>
      </c>
      <c r="BY260" t="s">
        <v>3</v>
      </c>
      <c r="BZ260">
        <v>75</v>
      </c>
      <c r="CA260">
        <v>41</v>
      </c>
      <c r="CB260" t="s">
        <v>3</v>
      </c>
      <c r="CE260">
        <v>30</v>
      </c>
      <c r="CF260">
        <v>0</v>
      </c>
      <c r="CG260">
        <v>0</v>
      </c>
      <c r="CM260">
        <v>0</v>
      </c>
      <c r="CN260" t="s">
        <v>708</v>
      </c>
      <c r="CO260">
        <v>0</v>
      </c>
      <c r="CP260">
        <f t="shared" si="232"/>
        <v>0</v>
      </c>
      <c r="CQ260">
        <f t="shared" si="233"/>
        <v>0</v>
      </c>
      <c r="CR260">
        <f t="shared" si="234"/>
        <v>131.78</v>
      </c>
      <c r="CS260">
        <f t="shared" si="235"/>
        <v>56.25</v>
      </c>
      <c r="CT260">
        <f t="shared" si="236"/>
        <v>0</v>
      </c>
      <c r="CU260">
        <f t="shared" si="237"/>
        <v>0</v>
      </c>
      <c r="CV260">
        <f t="shared" si="238"/>
        <v>0</v>
      </c>
      <c r="CW260">
        <f t="shared" si="239"/>
        <v>0</v>
      </c>
      <c r="CX260">
        <f t="shared" si="240"/>
        <v>0</v>
      </c>
      <c r="CY260">
        <f>S260*(BZ260/100)</f>
        <v>0</v>
      </c>
      <c r="CZ260">
        <f>S260*(CA260/100)</f>
        <v>0</v>
      </c>
      <c r="DB260">
        <v>106</v>
      </c>
      <c r="DC260" t="s">
        <v>3</v>
      </c>
      <c r="DD260" t="s">
        <v>3</v>
      </c>
      <c r="DE260" t="s">
        <v>22</v>
      </c>
      <c r="DF260" t="s">
        <v>22</v>
      </c>
      <c r="DG260" t="s">
        <v>22</v>
      </c>
      <c r="DH260" t="s">
        <v>3</v>
      </c>
      <c r="DI260" t="s">
        <v>22</v>
      </c>
      <c r="DJ260" t="s">
        <v>22</v>
      </c>
      <c r="DK260" t="s">
        <v>3</v>
      </c>
      <c r="DL260" t="s">
        <v>3</v>
      </c>
      <c r="DM260" t="s">
        <v>3</v>
      </c>
      <c r="DN260">
        <v>91</v>
      </c>
      <c r="DO260">
        <v>70</v>
      </c>
      <c r="DP260">
        <v>1.0469999999999999</v>
      </c>
      <c r="DQ260">
        <v>1.002</v>
      </c>
      <c r="DU260">
        <v>1013</v>
      </c>
      <c r="DV260" t="s">
        <v>280</v>
      </c>
      <c r="DW260" t="s">
        <v>280</v>
      </c>
      <c r="DX260">
        <v>1</v>
      </c>
      <c r="DZ260" t="s">
        <v>3</v>
      </c>
      <c r="EA260" t="s">
        <v>3</v>
      </c>
      <c r="EB260" t="s">
        <v>3</v>
      </c>
      <c r="EC260" t="s">
        <v>3</v>
      </c>
      <c r="EE260">
        <v>51696697</v>
      </c>
      <c r="EF260">
        <v>60</v>
      </c>
      <c r="EG260" t="s">
        <v>270</v>
      </c>
      <c r="EH260">
        <v>0</v>
      </c>
      <c r="EI260" t="s">
        <v>3</v>
      </c>
      <c r="EJ260">
        <v>1</v>
      </c>
      <c r="EK260">
        <v>658</v>
      </c>
      <c r="EL260" t="s">
        <v>282</v>
      </c>
      <c r="EM260" t="s">
        <v>283</v>
      </c>
      <c r="EO260" t="s">
        <v>26</v>
      </c>
      <c r="EQ260">
        <v>131072</v>
      </c>
      <c r="ER260">
        <v>8.86</v>
      </c>
      <c r="ES260">
        <v>0</v>
      </c>
      <c r="ET260">
        <v>8.86</v>
      </c>
      <c r="EU260">
        <v>1.48</v>
      </c>
      <c r="EV260">
        <v>0</v>
      </c>
      <c r="EW260">
        <v>0</v>
      </c>
      <c r="EX260">
        <v>0</v>
      </c>
      <c r="EY260">
        <v>0</v>
      </c>
      <c r="FQ260">
        <v>0</v>
      </c>
      <c r="FR260">
        <v>0</v>
      </c>
      <c r="FS260">
        <v>0</v>
      </c>
      <c r="FX260">
        <v>91</v>
      </c>
      <c r="FY260">
        <v>70</v>
      </c>
      <c r="GA260" t="s">
        <v>3</v>
      </c>
      <c r="GD260">
        <v>0</v>
      </c>
      <c r="GF260">
        <v>-714011973</v>
      </c>
      <c r="GG260">
        <v>2</v>
      </c>
      <c r="GH260">
        <v>1</v>
      </c>
      <c r="GI260">
        <v>2</v>
      </c>
      <c r="GJ260">
        <v>0</v>
      </c>
      <c r="GK260">
        <f>ROUND(R260*(S12)/100,2)</f>
        <v>0</v>
      </c>
      <c r="GL260">
        <f t="shared" si="241"/>
        <v>0</v>
      </c>
      <c r="GM260">
        <f t="shared" si="242"/>
        <v>0</v>
      </c>
      <c r="GN260">
        <f t="shared" si="243"/>
        <v>0</v>
      </c>
      <c r="GO260">
        <f t="shared" si="244"/>
        <v>0</v>
      </c>
      <c r="GP260">
        <f t="shared" si="245"/>
        <v>0</v>
      </c>
      <c r="GR260">
        <v>0</v>
      </c>
      <c r="GS260">
        <v>3</v>
      </c>
      <c r="GT260">
        <v>0</v>
      </c>
      <c r="GU260" t="s">
        <v>3</v>
      </c>
      <c r="GV260">
        <f t="shared" si="246"/>
        <v>0</v>
      </c>
      <c r="GW260">
        <v>1</v>
      </c>
      <c r="GX260">
        <f t="shared" si="247"/>
        <v>0</v>
      </c>
      <c r="HA260">
        <v>0</v>
      </c>
      <c r="HB260">
        <v>0</v>
      </c>
      <c r="HC260">
        <f t="shared" si="248"/>
        <v>0</v>
      </c>
      <c r="HE260" t="s">
        <v>3</v>
      </c>
      <c r="HF260" t="s">
        <v>3</v>
      </c>
      <c r="HM260" t="s">
        <v>3</v>
      </c>
      <c r="HN260" t="s">
        <v>3</v>
      </c>
      <c r="HO260" t="s">
        <v>3</v>
      </c>
      <c r="HP260" t="s">
        <v>3</v>
      </c>
      <c r="HQ260" t="s">
        <v>3</v>
      </c>
      <c r="HS260">
        <v>0</v>
      </c>
      <c r="IK260">
        <v>0</v>
      </c>
    </row>
    <row r="261" spans="1:255" x14ac:dyDescent="0.2">
      <c r="A261" s="2">
        <v>17</v>
      </c>
      <c r="B261" s="2">
        <v>1</v>
      </c>
      <c r="C261" s="2">
        <f>ROW(SmtRes!A39)</f>
        <v>39</v>
      </c>
      <c r="D261" s="2">
        <f>ROW(EtalonRes!A498)</f>
        <v>498</v>
      </c>
      <c r="E261" s="2" t="s">
        <v>341</v>
      </c>
      <c r="F261" s="2" t="s">
        <v>285</v>
      </c>
      <c r="G261" s="2" t="s">
        <v>342</v>
      </c>
      <c r="H261" s="2" t="s">
        <v>287</v>
      </c>
      <c r="I261" s="2">
        <v>0</v>
      </c>
      <c r="J261" s="2">
        <v>0</v>
      </c>
      <c r="K261" s="2">
        <v>0</v>
      </c>
      <c r="L261" s="2"/>
      <c r="M261" s="2"/>
      <c r="N261" s="2"/>
      <c r="O261" s="2">
        <f t="shared" si="214"/>
        <v>0</v>
      </c>
      <c r="P261" s="2">
        <f t="shared" si="215"/>
        <v>0</v>
      </c>
      <c r="Q261" s="2">
        <f t="shared" si="216"/>
        <v>0</v>
      </c>
      <c r="R261" s="2">
        <f t="shared" si="217"/>
        <v>0</v>
      </c>
      <c r="S261" s="2">
        <f t="shared" si="218"/>
        <v>0</v>
      </c>
      <c r="T261" s="2">
        <f t="shared" si="219"/>
        <v>0</v>
      </c>
      <c r="U261" s="2">
        <f t="shared" si="220"/>
        <v>0</v>
      </c>
      <c r="V261" s="2">
        <f t="shared" si="221"/>
        <v>0</v>
      </c>
      <c r="W261" s="2">
        <f t="shared" si="222"/>
        <v>0</v>
      </c>
      <c r="X261" s="2">
        <f t="shared" si="223"/>
        <v>0</v>
      </c>
      <c r="Y261" s="2">
        <f t="shared" si="224"/>
        <v>0</v>
      </c>
      <c r="Z261" s="2"/>
      <c r="AA261" s="2">
        <v>56622490</v>
      </c>
      <c r="AB261" s="2">
        <f t="shared" si="225"/>
        <v>1446.088</v>
      </c>
      <c r="AC261" s="2">
        <f t="shared" si="226"/>
        <v>35.35</v>
      </c>
      <c r="AD261" s="2">
        <f t="shared" si="227"/>
        <v>1251.6735000000001</v>
      </c>
      <c r="AE261" s="2">
        <f t="shared" si="228"/>
        <v>99.665999999999997</v>
      </c>
      <c r="AF261" s="2">
        <f t="shared" si="228"/>
        <v>159.06450000000001</v>
      </c>
      <c r="AG261" s="2">
        <f t="shared" si="229"/>
        <v>0</v>
      </c>
      <c r="AH261" s="2">
        <f t="shared" si="230"/>
        <v>15.120000000000001</v>
      </c>
      <c r="AI261" s="2">
        <f t="shared" si="230"/>
        <v>0</v>
      </c>
      <c r="AJ261" s="2">
        <f t="shared" si="231"/>
        <v>0</v>
      </c>
      <c r="AK261" s="2">
        <v>1378.91</v>
      </c>
      <c r="AL261" s="2">
        <v>35.35</v>
      </c>
      <c r="AM261" s="2">
        <v>1192.07</v>
      </c>
      <c r="AN261" s="2">
        <v>94.92</v>
      </c>
      <c r="AO261" s="2">
        <v>151.49</v>
      </c>
      <c r="AP261" s="2">
        <v>0</v>
      </c>
      <c r="AQ261" s="2">
        <v>14.4</v>
      </c>
      <c r="AR261" s="2">
        <v>0</v>
      </c>
      <c r="AS261" s="2">
        <v>0</v>
      </c>
      <c r="AT261" s="2">
        <v>161</v>
      </c>
      <c r="AU261" s="2">
        <v>107</v>
      </c>
      <c r="AV261" s="2">
        <v>1.0469999999999999</v>
      </c>
      <c r="AW261" s="2">
        <v>1.002</v>
      </c>
      <c r="AX261" s="2"/>
      <c r="AY261" s="2"/>
      <c r="AZ261" s="2">
        <v>1</v>
      </c>
      <c r="BA261" s="2">
        <v>1</v>
      </c>
      <c r="BB261" s="2">
        <v>1</v>
      </c>
      <c r="BC261" s="2">
        <v>1</v>
      </c>
      <c r="BD261" s="2" t="s">
        <v>3</v>
      </c>
      <c r="BE261" s="2" t="s">
        <v>3</v>
      </c>
      <c r="BF261" s="2" t="s">
        <v>3</v>
      </c>
      <c r="BG261" s="2" t="s">
        <v>3</v>
      </c>
      <c r="BH261" s="2">
        <v>0</v>
      </c>
      <c r="BI261" s="2">
        <v>1</v>
      </c>
      <c r="BJ261" s="2" t="s">
        <v>288</v>
      </c>
      <c r="BK261" s="2"/>
      <c r="BL261" s="2"/>
      <c r="BM261" s="2">
        <v>146</v>
      </c>
      <c r="BN261" s="2">
        <v>0</v>
      </c>
      <c r="BO261" s="2" t="s">
        <v>3</v>
      </c>
      <c r="BP261" s="2">
        <v>0</v>
      </c>
      <c r="BQ261" s="2">
        <v>30</v>
      </c>
      <c r="BR261" s="2">
        <v>0</v>
      </c>
      <c r="BS261" s="2">
        <v>1</v>
      </c>
      <c r="BT261" s="2">
        <v>1</v>
      </c>
      <c r="BU261" s="2">
        <v>1</v>
      </c>
      <c r="BV261" s="2">
        <v>1</v>
      </c>
      <c r="BW261" s="2">
        <v>1</v>
      </c>
      <c r="BX261" s="2">
        <v>1</v>
      </c>
      <c r="BY261" s="2" t="s">
        <v>3</v>
      </c>
      <c r="BZ261" s="2">
        <v>161</v>
      </c>
      <c r="CA261" s="2">
        <v>107</v>
      </c>
      <c r="CB261" s="2" t="s">
        <v>3</v>
      </c>
      <c r="CC261" s="2"/>
      <c r="CD261" s="2"/>
      <c r="CE261" s="2">
        <v>30</v>
      </c>
      <c r="CF261" s="2">
        <v>0</v>
      </c>
      <c r="CG261" s="2">
        <v>0</v>
      </c>
      <c r="CH261" s="2"/>
      <c r="CI261" s="2"/>
      <c r="CJ261" s="2"/>
      <c r="CK261" s="2"/>
      <c r="CL261" s="2"/>
      <c r="CM261" s="2">
        <v>0</v>
      </c>
      <c r="CN261" s="2" t="s">
        <v>708</v>
      </c>
      <c r="CO261" s="2">
        <v>0</v>
      </c>
      <c r="CP261" s="2">
        <f t="shared" si="232"/>
        <v>0</v>
      </c>
      <c r="CQ261" s="2">
        <f t="shared" si="233"/>
        <v>35.42</v>
      </c>
      <c r="CR261" s="2">
        <f t="shared" si="234"/>
        <v>1310.5</v>
      </c>
      <c r="CS261" s="2">
        <f t="shared" si="235"/>
        <v>104.35</v>
      </c>
      <c r="CT261" s="2">
        <f t="shared" si="236"/>
        <v>166.54</v>
      </c>
      <c r="CU261" s="2">
        <f t="shared" si="237"/>
        <v>0</v>
      </c>
      <c r="CV261" s="2">
        <f t="shared" si="238"/>
        <v>15.830640000000001</v>
      </c>
      <c r="CW261" s="2">
        <f t="shared" si="239"/>
        <v>0</v>
      </c>
      <c r="CX261" s="2">
        <f t="shared" si="240"/>
        <v>0</v>
      </c>
      <c r="CY261" s="2">
        <f>((S261*BZ261)/100)</f>
        <v>0</v>
      </c>
      <c r="CZ261" s="2">
        <f>((S261*CA261)/100)</f>
        <v>0</v>
      </c>
      <c r="DA261" s="2"/>
      <c r="DB261" s="2">
        <v>107</v>
      </c>
      <c r="DC261" s="2" t="s">
        <v>3</v>
      </c>
      <c r="DD261" s="2" t="s">
        <v>3</v>
      </c>
      <c r="DE261" s="2" t="s">
        <v>22</v>
      </c>
      <c r="DF261" s="2" t="s">
        <v>22</v>
      </c>
      <c r="DG261" s="2" t="s">
        <v>22</v>
      </c>
      <c r="DH261" s="2" t="s">
        <v>3</v>
      </c>
      <c r="DI261" s="2" t="s">
        <v>22</v>
      </c>
      <c r="DJ261" s="2" t="s">
        <v>22</v>
      </c>
      <c r="DK261" s="2" t="s">
        <v>3</v>
      </c>
      <c r="DL261" s="2" t="s">
        <v>3</v>
      </c>
      <c r="DM261" s="2" t="s">
        <v>3</v>
      </c>
      <c r="DN261" s="2">
        <v>0</v>
      </c>
      <c r="DO261" s="2">
        <v>0</v>
      </c>
      <c r="DP261" s="2">
        <v>1</v>
      </c>
      <c r="DQ261" s="2">
        <v>1</v>
      </c>
      <c r="DR261" s="2"/>
      <c r="DS261" s="2"/>
      <c r="DT261" s="2"/>
      <c r="DU261" s="2">
        <v>1013</v>
      </c>
      <c r="DV261" s="2" t="s">
        <v>287</v>
      </c>
      <c r="DW261" s="2" t="s">
        <v>287</v>
      </c>
      <c r="DX261" s="2">
        <v>1</v>
      </c>
      <c r="DY261" s="2"/>
      <c r="DZ261" s="2" t="s">
        <v>3</v>
      </c>
      <c r="EA261" s="2" t="s">
        <v>3</v>
      </c>
      <c r="EB261" s="2" t="s">
        <v>3</v>
      </c>
      <c r="EC261" s="2" t="s">
        <v>3</v>
      </c>
      <c r="ED261" s="2"/>
      <c r="EE261" s="2">
        <v>51696185</v>
      </c>
      <c r="EF261" s="2">
        <v>30</v>
      </c>
      <c r="EG261" s="2" t="s">
        <v>23</v>
      </c>
      <c r="EH261" s="2">
        <v>0</v>
      </c>
      <c r="EI261" s="2" t="s">
        <v>3</v>
      </c>
      <c r="EJ261" s="2">
        <v>1</v>
      </c>
      <c r="EK261" s="2">
        <v>146</v>
      </c>
      <c r="EL261" s="2" t="s">
        <v>289</v>
      </c>
      <c r="EM261" s="2" t="s">
        <v>290</v>
      </c>
      <c r="EN261" s="2"/>
      <c r="EO261" s="2" t="s">
        <v>26</v>
      </c>
      <c r="EP261" s="2"/>
      <c r="EQ261" s="2">
        <v>131072</v>
      </c>
      <c r="ER261" s="2">
        <v>1378.91</v>
      </c>
      <c r="ES261" s="2">
        <v>35.35</v>
      </c>
      <c r="ET261" s="2">
        <v>1192.07</v>
      </c>
      <c r="EU261" s="2">
        <v>94.92</v>
      </c>
      <c r="EV261" s="2">
        <v>151.49</v>
      </c>
      <c r="EW261" s="2">
        <v>14.4</v>
      </c>
      <c r="EX261" s="2">
        <v>0</v>
      </c>
      <c r="EY261" s="2">
        <v>0</v>
      </c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>
        <v>0</v>
      </c>
      <c r="FR261" s="2">
        <v>0</v>
      </c>
      <c r="FS261" s="2">
        <v>0</v>
      </c>
      <c r="FT261" s="2"/>
      <c r="FU261" s="2"/>
      <c r="FV261" s="2"/>
      <c r="FW261" s="2"/>
      <c r="FX261" s="2">
        <v>161</v>
      </c>
      <c r="FY261" s="2">
        <v>107</v>
      </c>
      <c r="FZ261" s="2"/>
      <c r="GA261" s="2" t="s">
        <v>3</v>
      </c>
      <c r="GB261" s="2"/>
      <c r="GC261" s="2"/>
      <c r="GD261" s="2">
        <v>0</v>
      </c>
      <c r="GE261" s="2"/>
      <c r="GF261" s="2">
        <v>-533308541</v>
      </c>
      <c r="GG261" s="2">
        <v>2</v>
      </c>
      <c r="GH261" s="2">
        <v>1</v>
      </c>
      <c r="GI261" s="2">
        <v>-2</v>
      </c>
      <c r="GJ261" s="2">
        <v>0</v>
      </c>
      <c r="GK261" s="2">
        <f>ROUND(R261*(R12)/100,2)</f>
        <v>0</v>
      </c>
      <c r="GL261" s="2">
        <f t="shared" si="241"/>
        <v>0</v>
      </c>
      <c r="GM261" s="2">
        <f t="shared" si="242"/>
        <v>0</v>
      </c>
      <c r="GN261" s="2">
        <f t="shared" si="243"/>
        <v>0</v>
      </c>
      <c r="GO261" s="2">
        <f t="shared" si="244"/>
        <v>0</v>
      </c>
      <c r="GP261" s="2">
        <f t="shared" si="245"/>
        <v>0</v>
      </c>
      <c r="GQ261" s="2"/>
      <c r="GR261" s="2">
        <v>0</v>
      </c>
      <c r="GS261" s="2">
        <v>0</v>
      </c>
      <c r="GT261" s="2">
        <v>0</v>
      </c>
      <c r="GU261" s="2" t="s">
        <v>3</v>
      </c>
      <c r="GV261" s="2">
        <f t="shared" si="246"/>
        <v>0</v>
      </c>
      <c r="GW261" s="2">
        <v>1</v>
      </c>
      <c r="GX261" s="2">
        <f t="shared" si="247"/>
        <v>0</v>
      </c>
      <c r="GY261" s="2"/>
      <c r="GZ261" s="2"/>
      <c r="HA261" s="2">
        <v>0</v>
      </c>
      <c r="HB261" s="2">
        <v>0</v>
      </c>
      <c r="HC261" s="2">
        <f t="shared" si="248"/>
        <v>0</v>
      </c>
      <c r="HD261" s="2"/>
      <c r="HE261" s="2" t="s">
        <v>3</v>
      </c>
      <c r="HF261" s="2" t="s">
        <v>3</v>
      </c>
      <c r="HG261" s="2"/>
      <c r="HH261" s="2"/>
      <c r="HI261" s="2"/>
      <c r="HJ261" s="2"/>
      <c r="HK261" s="2"/>
      <c r="HL261" s="2"/>
      <c r="HM261" s="2" t="s">
        <v>3</v>
      </c>
      <c r="HN261" s="2" t="s">
        <v>3</v>
      </c>
      <c r="HO261" s="2" t="s">
        <v>3</v>
      </c>
      <c r="HP261" s="2" t="s">
        <v>3</v>
      </c>
      <c r="HQ261" s="2" t="s">
        <v>3</v>
      </c>
      <c r="HR261" s="2"/>
      <c r="HS261" s="2">
        <v>0</v>
      </c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>
        <v>0</v>
      </c>
      <c r="IL261" s="2"/>
      <c r="IM261" s="2"/>
      <c r="IN261" s="2"/>
      <c r="IO261" s="2"/>
      <c r="IP261" s="2"/>
      <c r="IQ261" s="2"/>
      <c r="IR261" s="2"/>
      <c r="IS261" s="2"/>
      <c r="IT261" s="2"/>
      <c r="IU261" s="2"/>
    </row>
    <row r="262" spans="1:255" x14ac:dyDescent="0.2">
      <c r="A262">
        <v>17</v>
      </c>
      <c r="B262">
        <v>1</v>
      </c>
      <c r="C262">
        <f>ROW(SmtRes!A40)</f>
        <v>40</v>
      </c>
      <c r="D262">
        <f>ROW(EtalonRes!A506)</f>
        <v>506</v>
      </c>
      <c r="E262" t="s">
        <v>341</v>
      </c>
      <c r="F262" t="s">
        <v>285</v>
      </c>
      <c r="G262" t="s">
        <v>342</v>
      </c>
      <c r="H262" t="s">
        <v>287</v>
      </c>
      <c r="I262">
        <v>0</v>
      </c>
      <c r="J262">
        <v>0</v>
      </c>
      <c r="K262">
        <v>0</v>
      </c>
      <c r="O262">
        <f t="shared" si="214"/>
        <v>0</v>
      </c>
      <c r="P262">
        <f t="shared" si="215"/>
        <v>0</v>
      </c>
      <c r="Q262">
        <f t="shared" si="216"/>
        <v>0</v>
      </c>
      <c r="R262">
        <f t="shared" si="217"/>
        <v>0</v>
      </c>
      <c r="S262">
        <f t="shared" si="218"/>
        <v>0</v>
      </c>
      <c r="T262">
        <f t="shared" si="219"/>
        <v>0</v>
      </c>
      <c r="U262">
        <f t="shared" si="220"/>
        <v>0</v>
      </c>
      <c r="V262">
        <f t="shared" si="221"/>
        <v>0</v>
      </c>
      <c r="W262">
        <f t="shared" si="222"/>
        <v>0</v>
      </c>
      <c r="X262">
        <f t="shared" si="223"/>
        <v>0</v>
      </c>
      <c r="Y262">
        <f t="shared" si="224"/>
        <v>0</v>
      </c>
      <c r="AA262">
        <v>56610029</v>
      </c>
      <c r="AB262">
        <f t="shared" si="225"/>
        <v>1446.088</v>
      </c>
      <c r="AC262">
        <f t="shared" si="226"/>
        <v>35.35</v>
      </c>
      <c r="AD262">
        <f t="shared" si="227"/>
        <v>1251.6735000000001</v>
      </c>
      <c r="AE262">
        <f t="shared" si="228"/>
        <v>99.665999999999997</v>
      </c>
      <c r="AF262">
        <f t="shared" si="228"/>
        <v>159.06450000000001</v>
      </c>
      <c r="AG262">
        <f t="shared" si="229"/>
        <v>0</v>
      </c>
      <c r="AH262">
        <f t="shared" si="230"/>
        <v>15.120000000000001</v>
      </c>
      <c r="AI262">
        <f t="shared" si="230"/>
        <v>0</v>
      </c>
      <c r="AJ262">
        <f t="shared" si="231"/>
        <v>0</v>
      </c>
      <c r="AK262">
        <v>1378.91</v>
      </c>
      <c r="AL262">
        <v>35.35</v>
      </c>
      <c r="AM262">
        <v>1192.07</v>
      </c>
      <c r="AN262">
        <v>94.92</v>
      </c>
      <c r="AO262">
        <v>151.49</v>
      </c>
      <c r="AP262">
        <v>0</v>
      </c>
      <c r="AQ262">
        <v>14.4</v>
      </c>
      <c r="AR262">
        <v>0</v>
      </c>
      <c r="AS262">
        <v>0</v>
      </c>
      <c r="AT262">
        <v>134</v>
      </c>
      <c r="AU262">
        <v>55</v>
      </c>
      <c r="AV262">
        <v>1.0469999999999999</v>
      </c>
      <c r="AW262">
        <v>1.002</v>
      </c>
      <c r="AZ262">
        <v>1</v>
      </c>
      <c r="BA262">
        <v>34.51</v>
      </c>
      <c r="BB262">
        <v>11.7</v>
      </c>
      <c r="BC262">
        <v>7.05</v>
      </c>
      <c r="BD262" t="s">
        <v>3</v>
      </c>
      <c r="BE262" t="s">
        <v>3</v>
      </c>
      <c r="BF262" t="s">
        <v>3</v>
      </c>
      <c r="BG262" t="s">
        <v>3</v>
      </c>
      <c r="BH262">
        <v>0</v>
      </c>
      <c r="BI262">
        <v>1</v>
      </c>
      <c r="BJ262" t="s">
        <v>288</v>
      </c>
      <c r="BM262">
        <v>146</v>
      </c>
      <c r="BN262">
        <v>0</v>
      </c>
      <c r="BO262" t="s">
        <v>285</v>
      </c>
      <c r="BP262">
        <v>1</v>
      </c>
      <c r="BQ262">
        <v>30</v>
      </c>
      <c r="BR262">
        <v>0</v>
      </c>
      <c r="BS262">
        <v>34.51</v>
      </c>
      <c r="BT262">
        <v>1</v>
      </c>
      <c r="BU262">
        <v>1</v>
      </c>
      <c r="BV262">
        <v>1</v>
      </c>
      <c r="BW262">
        <v>1</v>
      </c>
      <c r="BX262">
        <v>1</v>
      </c>
      <c r="BY262" t="s">
        <v>3</v>
      </c>
      <c r="BZ262">
        <v>134</v>
      </c>
      <c r="CA262">
        <v>55</v>
      </c>
      <c r="CB262" t="s">
        <v>3</v>
      </c>
      <c r="CE262">
        <v>30</v>
      </c>
      <c r="CF262">
        <v>0</v>
      </c>
      <c r="CG262">
        <v>0</v>
      </c>
      <c r="CM262">
        <v>0</v>
      </c>
      <c r="CN262" t="s">
        <v>708</v>
      </c>
      <c r="CO262">
        <v>0</v>
      </c>
      <c r="CP262">
        <f t="shared" si="232"/>
        <v>0</v>
      </c>
      <c r="CQ262">
        <f t="shared" si="233"/>
        <v>249.71</v>
      </c>
      <c r="CR262">
        <f t="shared" si="234"/>
        <v>15332.85</v>
      </c>
      <c r="CS262">
        <f t="shared" si="235"/>
        <v>3601.12</v>
      </c>
      <c r="CT262">
        <f t="shared" si="236"/>
        <v>5747.3</v>
      </c>
      <c r="CU262">
        <f t="shared" si="237"/>
        <v>0</v>
      </c>
      <c r="CV262">
        <f t="shared" si="238"/>
        <v>15.830640000000001</v>
      </c>
      <c r="CW262">
        <f t="shared" si="239"/>
        <v>0</v>
      </c>
      <c r="CX262">
        <f t="shared" si="240"/>
        <v>0</v>
      </c>
      <c r="CY262">
        <f>S262*(BZ262/100)</f>
        <v>0</v>
      </c>
      <c r="CZ262">
        <f>S262*(CA262/100)</f>
        <v>0</v>
      </c>
      <c r="DB262">
        <v>108</v>
      </c>
      <c r="DC262" t="s">
        <v>3</v>
      </c>
      <c r="DD262" t="s">
        <v>3</v>
      </c>
      <c r="DE262" t="s">
        <v>22</v>
      </c>
      <c r="DF262" t="s">
        <v>22</v>
      </c>
      <c r="DG262" t="s">
        <v>22</v>
      </c>
      <c r="DH262" t="s">
        <v>3</v>
      </c>
      <c r="DI262" t="s">
        <v>22</v>
      </c>
      <c r="DJ262" t="s">
        <v>22</v>
      </c>
      <c r="DK262" t="s">
        <v>3</v>
      </c>
      <c r="DL262" t="s">
        <v>3</v>
      </c>
      <c r="DM262" t="s">
        <v>3</v>
      </c>
      <c r="DN262">
        <v>161</v>
      </c>
      <c r="DO262">
        <v>107</v>
      </c>
      <c r="DP262">
        <v>1.0469999999999999</v>
      </c>
      <c r="DQ262">
        <v>1.002</v>
      </c>
      <c r="DU262">
        <v>1013</v>
      </c>
      <c r="DV262" t="s">
        <v>287</v>
      </c>
      <c r="DW262" t="s">
        <v>287</v>
      </c>
      <c r="DX262">
        <v>1</v>
      </c>
      <c r="DZ262" t="s">
        <v>3</v>
      </c>
      <c r="EA262" t="s">
        <v>3</v>
      </c>
      <c r="EB262" t="s">
        <v>3</v>
      </c>
      <c r="EC262" t="s">
        <v>3</v>
      </c>
      <c r="EE262">
        <v>51696185</v>
      </c>
      <c r="EF262">
        <v>30</v>
      </c>
      <c r="EG262" t="s">
        <v>23</v>
      </c>
      <c r="EH262">
        <v>0</v>
      </c>
      <c r="EI262" t="s">
        <v>3</v>
      </c>
      <c r="EJ262">
        <v>1</v>
      </c>
      <c r="EK262">
        <v>146</v>
      </c>
      <c r="EL262" t="s">
        <v>289</v>
      </c>
      <c r="EM262" t="s">
        <v>290</v>
      </c>
      <c r="EO262" t="s">
        <v>26</v>
      </c>
      <c r="EQ262">
        <v>131072</v>
      </c>
      <c r="ER262">
        <v>1378.91</v>
      </c>
      <c r="ES262">
        <v>35.35</v>
      </c>
      <c r="ET262">
        <v>1192.07</v>
      </c>
      <c r="EU262">
        <v>94.92</v>
      </c>
      <c r="EV262">
        <v>151.49</v>
      </c>
      <c r="EW262">
        <v>14.4</v>
      </c>
      <c r="EX262">
        <v>0</v>
      </c>
      <c r="EY262">
        <v>0</v>
      </c>
      <c r="FQ262">
        <v>0</v>
      </c>
      <c r="FR262">
        <v>0</v>
      </c>
      <c r="FS262">
        <v>0</v>
      </c>
      <c r="FX262">
        <v>161</v>
      </c>
      <c r="FY262">
        <v>107</v>
      </c>
      <c r="GA262" t="s">
        <v>3</v>
      </c>
      <c r="GD262">
        <v>0</v>
      </c>
      <c r="GF262">
        <v>-533308541</v>
      </c>
      <c r="GG262">
        <v>2</v>
      </c>
      <c r="GH262">
        <v>1</v>
      </c>
      <c r="GI262">
        <v>2</v>
      </c>
      <c r="GJ262">
        <v>0</v>
      </c>
      <c r="GK262">
        <f>ROUND(R262*(S12)/100,2)</f>
        <v>0</v>
      </c>
      <c r="GL262">
        <f t="shared" si="241"/>
        <v>0</v>
      </c>
      <c r="GM262">
        <f t="shared" si="242"/>
        <v>0</v>
      </c>
      <c r="GN262">
        <f t="shared" si="243"/>
        <v>0</v>
      </c>
      <c r="GO262">
        <f t="shared" si="244"/>
        <v>0</v>
      </c>
      <c r="GP262">
        <f t="shared" si="245"/>
        <v>0</v>
      </c>
      <c r="GR262">
        <v>0</v>
      </c>
      <c r="GS262">
        <v>3</v>
      </c>
      <c r="GT262">
        <v>0</v>
      </c>
      <c r="GU262" t="s">
        <v>3</v>
      </c>
      <c r="GV262">
        <f t="shared" si="246"/>
        <v>0</v>
      </c>
      <c r="GW262">
        <v>1</v>
      </c>
      <c r="GX262">
        <f t="shared" si="247"/>
        <v>0</v>
      </c>
      <c r="HA262">
        <v>0</v>
      </c>
      <c r="HB262">
        <v>0</v>
      </c>
      <c r="HC262">
        <f t="shared" si="248"/>
        <v>0</v>
      </c>
      <c r="HE262" t="s">
        <v>3</v>
      </c>
      <c r="HF262" t="s">
        <v>3</v>
      </c>
      <c r="HM262" t="s">
        <v>3</v>
      </c>
      <c r="HN262" t="s">
        <v>3</v>
      </c>
      <c r="HO262" t="s">
        <v>3</v>
      </c>
      <c r="HP262" t="s">
        <v>3</v>
      </c>
      <c r="HQ262" t="s">
        <v>3</v>
      </c>
      <c r="HS262">
        <v>0</v>
      </c>
      <c r="IK262">
        <v>0</v>
      </c>
    </row>
    <row r="263" spans="1:255" x14ac:dyDescent="0.2">
      <c r="A263" s="2">
        <v>18</v>
      </c>
      <c r="B263" s="2">
        <v>1</v>
      </c>
      <c r="C263" s="2">
        <v>39</v>
      </c>
      <c r="D263" s="2"/>
      <c r="E263" s="2" t="s">
        <v>343</v>
      </c>
      <c r="F263" s="2" t="s">
        <v>83</v>
      </c>
      <c r="G263" s="2" t="s">
        <v>292</v>
      </c>
      <c r="H263" s="2" t="s">
        <v>85</v>
      </c>
      <c r="I263" s="2">
        <f>I261*J263</f>
        <v>0</v>
      </c>
      <c r="J263" s="2">
        <v>110</v>
      </c>
      <c r="K263" s="2">
        <v>110</v>
      </c>
      <c r="L263" s="2"/>
      <c r="M263" s="2"/>
      <c r="N263" s="2"/>
      <c r="O263" s="2">
        <f t="shared" si="214"/>
        <v>0</v>
      </c>
      <c r="P263" s="2">
        <f t="shared" si="215"/>
        <v>0</v>
      </c>
      <c r="Q263" s="2">
        <f>(ROUND((ROUND(((ET263)*AV263*I263),2)*BB263),2)+ROUND((ROUND(((AE263-(EU263))*AV263*I263),2)*BS263),2))</f>
        <v>0</v>
      </c>
      <c r="R263" s="2">
        <f t="shared" si="217"/>
        <v>0</v>
      </c>
      <c r="S263" s="2">
        <f t="shared" si="218"/>
        <v>0</v>
      </c>
      <c r="T263" s="2">
        <f t="shared" si="219"/>
        <v>0</v>
      </c>
      <c r="U263" s="2">
        <f t="shared" si="220"/>
        <v>0</v>
      </c>
      <c r="V263" s="2">
        <f t="shared" si="221"/>
        <v>0</v>
      </c>
      <c r="W263" s="2">
        <f t="shared" si="222"/>
        <v>0</v>
      </c>
      <c r="X263" s="2">
        <f t="shared" si="223"/>
        <v>0</v>
      </c>
      <c r="Y263" s="2">
        <f t="shared" si="224"/>
        <v>0</v>
      </c>
      <c r="Z263" s="2"/>
      <c r="AA263" s="2">
        <v>56622490</v>
      </c>
      <c r="AB263" s="2">
        <f t="shared" si="225"/>
        <v>104.99</v>
      </c>
      <c r="AC263" s="2">
        <f t="shared" si="226"/>
        <v>104.99</v>
      </c>
      <c r="AD263" s="2">
        <f>ROUND((((ET263)-(EU263))+AE263),6)</f>
        <v>0</v>
      </c>
      <c r="AE263" s="2">
        <f>ROUND((EU263),6)</f>
        <v>0</v>
      </c>
      <c r="AF263" s="2">
        <f>ROUND((EV263),6)</f>
        <v>0</v>
      </c>
      <c r="AG263" s="2">
        <f t="shared" si="229"/>
        <v>0</v>
      </c>
      <c r="AH263" s="2">
        <f>(EW263)</f>
        <v>0</v>
      </c>
      <c r="AI263" s="2">
        <f>(EX263)</f>
        <v>0</v>
      </c>
      <c r="AJ263" s="2">
        <f t="shared" si="231"/>
        <v>0</v>
      </c>
      <c r="AK263" s="2">
        <v>104.99</v>
      </c>
      <c r="AL263" s="2">
        <v>104.99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161</v>
      </c>
      <c r="AU263" s="2">
        <v>107</v>
      </c>
      <c r="AV263" s="2">
        <v>1.0469999999999999</v>
      </c>
      <c r="AW263" s="2">
        <v>1.002</v>
      </c>
      <c r="AX263" s="2"/>
      <c r="AY263" s="2"/>
      <c r="AZ263" s="2">
        <v>1</v>
      </c>
      <c r="BA263" s="2">
        <v>1</v>
      </c>
      <c r="BB263" s="2">
        <v>1</v>
      </c>
      <c r="BC263" s="2">
        <v>1</v>
      </c>
      <c r="BD263" s="2" t="s">
        <v>3</v>
      </c>
      <c r="BE263" s="2" t="s">
        <v>3</v>
      </c>
      <c r="BF263" s="2" t="s">
        <v>3</v>
      </c>
      <c r="BG263" s="2" t="s">
        <v>3</v>
      </c>
      <c r="BH263" s="2">
        <v>3</v>
      </c>
      <c r="BI263" s="2">
        <v>1</v>
      </c>
      <c r="BJ263" s="2" t="s">
        <v>86</v>
      </c>
      <c r="BK263" s="2"/>
      <c r="BL263" s="2"/>
      <c r="BM263" s="2">
        <v>146</v>
      </c>
      <c r="BN263" s="2">
        <v>0</v>
      </c>
      <c r="BO263" s="2" t="s">
        <v>3</v>
      </c>
      <c r="BP263" s="2">
        <v>0</v>
      </c>
      <c r="BQ263" s="2">
        <v>30</v>
      </c>
      <c r="BR263" s="2">
        <v>0</v>
      </c>
      <c r="BS263" s="2">
        <v>1</v>
      </c>
      <c r="BT263" s="2">
        <v>1</v>
      </c>
      <c r="BU263" s="2">
        <v>1</v>
      </c>
      <c r="BV263" s="2">
        <v>1</v>
      </c>
      <c r="BW263" s="2">
        <v>1</v>
      </c>
      <c r="BX263" s="2">
        <v>1</v>
      </c>
      <c r="BY263" s="2" t="s">
        <v>3</v>
      </c>
      <c r="BZ263" s="2">
        <v>161</v>
      </c>
      <c r="CA263" s="2">
        <v>107</v>
      </c>
      <c r="CB263" s="2" t="s">
        <v>3</v>
      </c>
      <c r="CC263" s="2"/>
      <c r="CD263" s="2"/>
      <c r="CE263" s="2">
        <v>30</v>
      </c>
      <c r="CF263" s="2">
        <v>0</v>
      </c>
      <c r="CG263" s="2">
        <v>0</v>
      </c>
      <c r="CH263" s="2"/>
      <c r="CI263" s="2"/>
      <c r="CJ263" s="2"/>
      <c r="CK263" s="2"/>
      <c r="CL263" s="2"/>
      <c r="CM263" s="2">
        <v>0</v>
      </c>
      <c r="CN263" s="2" t="s">
        <v>3</v>
      </c>
      <c r="CO263" s="2">
        <v>0</v>
      </c>
      <c r="CP263" s="2">
        <f t="shared" si="232"/>
        <v>0</v>
      </c>
      <c r="CQ263" s="2">
        <f t="shared" si="233"/>
        <v>105.2</v>
      </c>
      <c r="CR263" s="2">
        <f>(ROUND((ROUND(((ET263)*AV263*1),2)*BB263),2)+ROUND((ROUND(((AE263-(EU263))*AV263*1),2)*BS263),2))</f>
        <v>0</v>
      </c>
      <c r="CS263" s="2">
        <f t="shared" si="235"/>
        <v>0</v>
      </c>
      <c r="CT263" s="2">
        <f t="shared" si="236"/>
        <v>0</v>
      </c>
      <c r="CU263" s="2">
        <f t="shared" si="237"/>
        <v>0</v>
      </c>
      <c r="CV263" s="2">
        <f t="shared" si="238"/>
        <v>0</v>
      </c>
      <c r="CW263" s="2">
        <f t="shared" si="239"/>
        <v>0</v>
      </c>
      <c r="CX263" s="2">
        <f t="shared" si="240"/>
        <v>0</v>
      </c>
      <c r="CY263" s="2">
        <f>((S263*BZ263)/100)</f>
        <v>0</v>
      </c>
      <c r="CZ263" s="2">
        <f>((S263*CA263)/100)</f>
        <v>0</v>
      </c>
      <c r="DA263" s="2"/>
      <c r="DB263" s="2"/>
      <c r="DC263" s="2" t="s">
        <v>3</v>
      </c>
      <c r="DD263" s="2" t="s">
        <v>3</v>
      </c>
      <c r="DE263" s="2" t="s">
        <v>3</v>
      </c>
      <c r="DF263" s="2" t="s">
        <v>3</v>
      </c>
      <c r="DG263" s="2" t="s">
        <v>3</v>
      </c>
      <c r="DH263" s="2" t="s">
        <v>3</v>
      </c>
      <c r="DI263" s="2" t="s">
        <v>3</v>
      </c>
      <c r="DJ263" s="2" t="s">
        <v>3</v>
      </c>
      <c r="DK263" s="2" t="s">
        <v>3</v>
      </c>
      <c r="DL263" s="2" t="s">
        <v>3</v>
      </c>
      <c r="DM263" s="2" t="s">
        <v>3</v>
      </c>
      <c r="DN263" s="2">
        <v>0</v>
      </c>
      <c r="DO263" s="2">
        <v>0</v>
      </c>
      <c r="DP263" s="2">
        <v>1</v>
      </c>
      <c r="DQ263" s="2">
        <v>1</v>
      </c>
      <c r="DR263" s="2"/>
      <c r="DS263" s="2"/>
      <c r="DT263" s="2"/>
      <c r="DU263" s="2">
        <v>1007</v>
      </c>
      <c r="DV263" s="2" t="s">
        <v>85</v>
      </c>
      <c r="DW263" s="2" t="s">
        <v>85</v>
      </c>
      <c r="DX263" s="2">
        <v>1</v>
      </c>
      <c r="DY263" s="2"/>
      <c r="DZ263" s="2" t="s">
        <v>3</v>
      </c>
      <c r="EA263" s="2" t="s">
        <v>3</v>
      </c>
      <c r="EB263" s="2" t="s">
        <v>3</v>
      </c>
      <c r="EC263" s="2" t="s">
        <v>3</v>
      </c>
      <c r="ED263" s="2"/>
      <c r="EE263" s="2">
        <v>51696185</v>
      </c>
      <c r="EF263" s="2">
        <v>30</v>
      </c>
      <c r="EG263" s="2" t="s">
        <v>23</v>
      </c>
      <c r="EH263" s="2">
        <v>0</v>
      </c>
      <c r="EI263" s="2" t="s">
        <v>3</v>
      </c>
      <c r="EJ263" s="2">
        <v>1</v>
      </c>
      <c r="EK263" s="2">
        <v>146</v>
      </c>
      <c r="EL263" s="2" t="s">
        <v>289</v>
      </c>
      <c r="EM263" s="2" t="s">
        <v>290</v>
      </c>
      <c r="EN263" s="2"/>
      <c r="EO263" s="2" t="s">
        <v>3</v>
      </c>
      <c r="EP263" s="2"/>
      <c r="EQ263" s="2">
        <v>0</v>
      </c>
      <c r="ER263" s="2">
        <v>104.99</v>
      </c>
      <c r="ES263" s="2">
        <v>104.99</v>
      </c>
      <c r="ET263" s="2">
        <v>0</v>
      </c>
      <c r="EU263" s="2">
        <v>0</v>
      </c>
      <c r="EV263" s="2">
        <v>0</v>
      </c>
      <c r="EW263" s="2">
        <v>0</v>
      </c>
      <c r="EX263" s="2">
        <v>0</v>
      </c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>
        <v>0</v>
      </c>
      <c r="FR263" s="2">
        <v>0</v>
      </c>
      <c r="FS263" s="2">
        <v>0</v>
      </c>
      <c r="FT263" s="2"/>
      <c r="FU263" s="2"/>
      <c r="FV263" s="2"/>
      <c r="FW263" s="2"/>
      <c r="FX263" s="2">
        <v>161</v>
      </c>
      <c r="FY263" s="2">
        <v>107</v>
      </c>
      <c r="FZ263" s="2"/>
      <c r="GA263" s="2" t="s">
        <v>3</v>
      </c>
      <c r="GB263" s="2"/>
      <c r="GC263" s="2"/>
      <c r="GD263" s="2">
        <v>0</v>
      </c>
      <c r="GE263" s="2"/>
      <c r="GF263" s="2">
        <v>921520</v>
      </c>
      <c r="GG263" s="2">
        <v>2</v>
      </c>
      <c r="GH263" s="2">
        <v>1</v>
      </c>
      <c r="GI263" s="2">
        <v>-2</v>
      </c>
      <c r="GJ263" s="2">
        <v>0</v>
      </c>
      <c r="GK263" s="2">
        <f>ROUND(R263*(R12)/100,2)</f>
        <v>0</v>
      </c>
      <c r="GL263" s="2">
        <f t="shared" si="241"/>
        <v>0</v>
      </c>
      <c r="GM263" s="2">
        <f t="shared" si="242"/>
        <v>0</v>
      </c>
      <c r="GN263" s="2">
        <f t="shared" si="243"/>
        <v>0</v>
      </c>
      <c r="GO263" s="2">
        <f t="shared" si="244"/>
        <v>0</v>
      </c>
      <c r="GP263" s="2">
        <f t="shared" si="245"/>
        <v>0</v>
      </c>
      <c r="GQ263" s="2"/>
      <c r="GR263" s="2">
        <v>0</v>
      </c>
      <c r="GS263" s="2">
        <v>0</v>
      </c>
      <c r="GT263" s="2">
        <v>0</v>
      </c>
      <c r="GU263" s="2" t="s">
        <v>3</v>
      </c>
      <c r="GV263" s="2">
        <f t="shared" si="246"/>
        <v>0</v>
      </c>
      <c r="GW263" s="2">
        <v>1</v>
      </c>
      <c r="GX263" s="2">
        <f t="shared" si="247"/>
        <v>0</v>
      </c>
      <c r="GY263" s="2"/>
      <c r="GZ263" s="2"/>
      <c r="HA263" s="2">
        <v>0</v>
      </c>
      <c r="HB263" s="2">
        <v>0</v>
      </c>
      <c r="HC263" s="2">
        <f t="shared" si="248"/>
        <v>0</v>
      </c>
      <c r="HD263" s="2"/>
      <c r="HE263" s="2" t="s">
        <v>3</v>
      </c>
      <c r="HF263" s="2" t="s">
        <v>3</v>
      </c>
      <c r="HG263" s="2"/>
      <c r="HH263" s="2"/>
      <c r="HI263" s="2"/>
      <c r="HJ263" s="2"/>
      <c r="HK263" s="2"/>
      <c r="HL263" s="2"/>
      <c r="HM263" s="2" t="s">
        <v>3</v>
      </c>
      <c r="HN263" s="2" t="s">
        <v>3</v>
      </c>
      <c r="HO263" s="2" t="s">
        <v>3</v>
      </c>
      <c r="HP263" s="2" t="s">
        <v>3</v>
      </c>
      <c r="HQ263" s="2" t="s">
        <v>3</v>
      </c>
      <c r="HR263" s="2"/>
      <c r="HS263" s="2">
        <v>0</v>
      </c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>
        <v>0</v>
      </c>
      <c r="IL263" s="2"/>
      <c r="IM263" s="2"/>
      <c r="IN263" s="2"/>
      <c r="IO263" s="2"/>
      <c r="IP263" s="2"/>
      <c r="IQ263" s="2"/>
      <c r="IR263" s="2"/>
      <c r="IS263" s="2"/>
      <c r="IT263" s="2"/>
      <c r="IU263" s="2"/>
    </row>
    <row r="264" spans="1:255" x14ac:dyDescent="0.2">
      <c r="A264">
        <v>18</v>
      </c>
      <c r="B264">
        <v>1</v>
      </c>
      <c r="C264">
        <v>40</v>
      </c>
      <c r="E264" t="s">
        <v>343</v>
      </c>
      <c r="F264" t="s">
        <v>83</v>
      </c>
      <c r="G264" t="s">
        <v>292</v>
      </c>
      <c r="H264" t="s">
        <v>85</v>
      </c>
      <c r="I264">
        <f>I262*J264</f>
        <v>0</v>
      </c>
      <c r="J264">
        <v>110</v>
      </c>
      <c r="K264">
        <v>110</v>
      </c>
      <c r="O264">
        <f t="shared" si="214"/>
        <v>0</v>
      </c>
      <c r="P264">
        <f t="shared" si="215"/>
        <v>0</v>
      </c>
      <c r="Q264">
        <f>(ROUND((ROUND(((ET264)*AV264*I264),2)*BB264),2)+ROUND((ROUND(((AE264-(EU264))*AV264*I264),2)*BS264),2))</f>
        <v>0</v>
      </c>
      <c r="R264">
        <f t="shared" si="217"/>
        <v>0</v>
      </c>
      <c r="S264">
        <f t="shared" si="218"/>
        <v>0</v>
      </c>
      <c r="T264">
        <f t="shared" si="219"/>
        <v>0</v>
      </c>
      <c r="U264">
        <f t="shared" si="220"/>
        <v>0</v>
      </c>
      <c r="V264">
        <f t="shared" si="221"/>
        <v>0</v>
      </c>
      <c r="W264">
        <f t="shared" si="222"/>
        <v>0</v>
      </c>
      <c r="X264">
        <f t="shared" si="223"/>
        <v>0</v>
      </c>
      <c r="Y264">
        <f t="shared" si="224"/>
        <v>0</v>
      </c>
      <c r="AA264">
        <v>56610029</v>
      </c>
      <c r="AB264">
        <f t="shared" si="225"/>
        <v>104.99</v>
      </c>
      <c r="AC264">
        <f t="shared" si="226"/>
        <v>104.99</v>
      </c>
      <c r="AD264">
        <f>ROUND((((ET264)-(EU264))+AE264),6)</f>
        <v>0</v>
      </c>
      <c r="AE264">
        <f>ROUND((EU264),6)</f>
        <v>0</v>
      </c>
      <c r="AF264">
        <f>ROUND((EV264),6)</f>
        <v>0</v>
      </c>
      <c r="AG264">
        <f t="shared" si="229"/>
        <v>0</v>
      </c>
      <c r="AH264">
        <f>(EW264)</f>
        <v>0</v>
      </c>
      <c r="AI264">
        <f>(EX264)</f>
        <v>0</v>
      </c>
      <c r="AJ264">
        <f t="shared" si="231"/>
        <v>0</v>
      </c>
      <c r="AK264">
        <v>104.99</v>
      </c>
      <c r="AL264">
        <v>104.99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1</v>
      </c>
      <c r="AW264">
        <v>1.002</v>
      </c>
      <c r="AZ264">
        <v>1</v>
      </c>
      <c r="BA264">
        <v>1</v>
      </c>
      <c r="BB264">
        <v>1</v>
      </c>
      <c r="BC264">
        <v>7.69</v>
      </c>
      <c r="BD264" t="s">
        <v>3</v>
      </c>
      <c r="BE264" t="s">
        <v>3</v>
      </c>
      <c r="BF264" t="s">
        <v>3</v>
      </c>
      <c r="BG264" t="s">
        <v>3</v>
      </c>
      <c r="BH264">
        <v>3</v>
      </c>
      <c r="BI264">
        <v>1</v>
      </c>
      <c r="BJ264" t="s">
        <v>86</v>
      </c>
      <c r="BM264">
        <v>146</v>
      </c>
      <c r="BN264">
        <v>0</v>
      </c>
      <c r="BO264" t="s">
        <v>83</v>
      </c>
      <c r="BP264">
        <v>1</v>
      </c>
      <c r="BQ264">
        <v>30</v>
      </c>
      <c r="BR264">
        <v>0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 t="s">
        <v>3</v>
      </c>
      <c r="BZ264">
        <v>0</v>
      </c>
      <c r="CA264">
        <v>0</v>
      </c>
      <c r="CB264" t="s">
        <v>3</v>
      </c>
      <c r="CE264">
        <v>30</v>
      </c>
      <c r="CF264">
        <v>0</v>
      </c>
      <c r="CG264">
        <v>0</v>
      </c>
      <c r="CM264">
        <v>0</v>
      </c>
      <c r="CN264" t="s">
        <v>3</v>
      </c>
      <c r="CO264">
        <v>0</v>
      </c>
      <c r="CP264">
        <f t="shared" si="232"/>
        <v>0</v>
      </c>
      <c r="CQ264">
        <f t="shared" si="233"/>
        <v>808.99</v>
      </c>
      <c r="CR264">
        <f>(ROUND((ROUND(((ET264)*AV264*1),2)*BB264),2)+ROUND((ROUND(((AE264-(EU264))*AV264*1),2)*BS264),2))</f>
        <v>0</v>
      </c>
      <c r="CS264">
        <f t="shared" si="235"/>
        <v>0</v>
      </c>
      <c r="CT264">
        <f t="shared" si="236"/>
        <v>0</v>
      </c>
      <c r="CU264">
        <f t="shared" si="237"/>
        <v>0</v>
      </c>
      <c r="CV264">
        <f t="shared" si="238"/>
        <v>0</v>
      </c>
      <c r="CW264">
        <f t="shared" si="239"/>
        <v>0</v>
      </c>
      <c r="CX264">
        <f t="shared" si="240"/>
        <v>0</v>
      </c>
      <c r="CY264">
        <f>S264*(BZ264/100)</f>
        <v>0</v>
      </c>
      <c r="CZ264">
        <f>S264*(CA264/100)</f>
        <v>0</v>
      </c>
      <c r="DC264" t="s">
        <v>3</v>
      </c>
      <c r="DD264" t="s">
        <v>3</v>
      </c>
      <c r="DE264" t="s">
        <v>3</v>
      </c>
      <c r="DF264" t="s">
        <v>3</v>
      </c>
      <c r="DG264" t="s">
        <v>3</v>
      </c>
      <c r="DH264" t="s">
        <v>3</v>
      </c>
      <c r="DI264" t="s">
        <v>3</v>
      </c>
      <c r="DJ264" t="s">
        <v>3</v>
      </c>
      <c r="DK264" t="s">
        <v>3</v>
      </c>
      <c r="DL264" t="s">
        <v>3</v>
      </c>
      <c r="DM264" t="s">
        <v>3</v>
      </c>
      <c r="DN264">
        <v>161</v>
      </c>
      <c r="DO264">
        <v>107</v>
      </c>
      <c r="DP264">
        <v>1.0469999999999999</v>
      </c>
      <c r="DQ264">
        <v>1.002</v>
      </c>
      <c r="DU264">
        <v>1007</v>
      </c>
      <c r="DV264" t="s">
        <v>85</v>
      </c>
      <c r="DW264" t="s">
        <v>85</v>
      </c>
      <c r="DX264">
        <v>1</v>
      </c>
      <c r="DZ264" t="s">
        <v>3</v>
      </c>
      <c r="EA264" t="s">
        <v>3</v>
      </c>
      <c r="EB264" t="s">
        <v>3</v>
      </c>
      <c r="EC264" t="s">
        <v>3</v>
      </c>
      <c r="EE264">
        <v>51696185</v>
      </c>
      <c r="EF264">
        <v>30</v>
      </c>
      <c r="EG264" t="s">
        <v>23</v>
      </c>
      <c r="EH264">
        <v>0</v>
      </c>
      <c r="EI264" t="s">
        <v>3</v>
      </c>
      <c r="EJ264">
        <v>1</v>
      </c>
      <c r="EK264">
        <v>146</v>
      </c>
      <c r="EL264" t="s">
        <v>289</v>
      </c>
      <c r="EM264" t="s">
        <v>290</v>
      </c>
      <c r="EO264" t="s">
        <v>3</v>
      </c>
      <c r="EQ264">
        <v>0</v>
      </c>
      <c r="ER264">
        <v>104.99</v>
      </c>
      <c r="ES264">
        <v>104.99</v>
      </c>
      <c r="ET264">
        <v>0</v>
      </c>
      <c r="EU264">
        <v>0</v>
      </c>
      <c r="EV264">
        <v>0</v>
      </c>
      <c r="EW264">
        <v>0</v>
      </c>
      <c r="EX264">
        <v>0</v>
      </c>
      <c r="FQ264">
        <v>0</v>
      </c>
      <c r="FR264">
        <v>0</v>
      </c>
      <c r="FS264">
        <v>0</v>
      </c>
      <c r="FX264">
        <v>161</v>
      </c>
      <c r="FY264">
        <v>107</v>
      </c>
      <c r="GA264" t="s">
        <v>3</v>
      </c>
      <c r="GD264">
        <v>0</v>
      </c>
      <c r="GF264">
        <v>921520</v>
      </c>
      <c r="GG264">
        <v>2</v>
      </c>
      <c r="GH264">
        <v>1</v>
      </c>
      <c r="GI264">
        <v>2</v>
      </c>
      <c r="GJ264">
        <v>0</v>
      </c>
      <c r="GK264">
        <f>ROUND(R264*(S12)/100,2)</f>
        <v>0</v>
      </c>
      <c r="GL264">
        <f t="shared" si="241"/>
        <v>0</v>
      </c>
      <c r="GM264">
        <f t="shared" si="242"/>
        <v>0</v>
      </c>
      <c r="GN264">
        <f t="shared" si="243"/>
        <v>0</v>
      </c>
      <c r="GO264">
        <f t="shared" si="244"/>
        <v>0</v>
      </c>
      <c r="GP264">
        <f t="shared" si="245"/>
        <v>0</v>
      </c>
      <c r="GR264">
        <v>0</v>
      </c>
      <c r="GS264">
        <v>3</v>
      </c>
      <c r="GT264">
        <v>0</v>
      </c>
      <c r="GU264" t="s">
        <v>3</v>
      </c>
      <c r="GV264">
        <f t="shared" si="246"/>
        <v>0</v>
      </c>
      <c r="GW264">
        <v>1</v>
      </c>
      <c r="GX264">
        <f t="shared" si="247"/>
        <v>0</v>
      </c>
      <c r="HA264">
        <v>0</v>
      </c>
      <c r="HB264">
        <v>0</v>
      </c>
      <c r="HC264">
        <f t="shared" si="248"/>
        <v>0</v>
      </c>
      <c r="HE264" t="s">
        <v>3</v>
      </c>
      <c r="HF264" t="s">
        <v>3</v>
      </c>
      <c r="HM264" t="s">
        <v>3</v>
      </c>
      <c r="HN264" t="s">
        <v>3</v>
      </c>
      <c r="HO264" t="s">
        <v>3</v>
      </c>
      <c r="HP264" t="s">
        <v>3</v>
      </c>
      <c r="HQ264" t="s">
        <v>3</v>
      </c>
      <c r="HS264">
        <v>0</v>
      </c>
      <c r="IK264">
        <v>0</v>
      </c>
    </row>
    <row r="265" spans="1:255" x14ac:dyDescent="0.2">
      <c r="A265" s="2">
        <v>17</v>
      </c>
      <c r="B265" s="2">
        <v>1</v>
      </c>
      <c r="C265" s="2">
        <f>ROW(SmtRes!A41)</f>
        <v>41</v>
      </c>
      <c r="D265" s="2">
        <f>ROW(EtalonRes!A511)</f>
        <v>511</v>
      </c>
      <c r="E265" s="2" t="s">
        <v>344</v>
      </c>
      <c r="F265" s="2" t="s">
        <v>345</v>
      </c>
      <c r="G265" s="2" t="s">
        <v>346</v>
      </c>
      <c r="H265" s="2" t="s">
        <v>347</v>
      </c>
      <c r="I265" s="2">
        <v>0</v>
      </c>
      <c r="J265" s="2">
        <v>0</v>
      </c>
      <c r="K265" s="2">
        <v>0</v>
      </c>
      <c r="L265" s="2"/>
      <c r="M265" s="2"/>
      <c r="N265" s="2"/>
      <c r="O265" s="2">
        <f t="shared" si="214"/>
        <v>0</v>
      </c>
      <c r="P265" s="2">
        <f t="shared" si="215"/>
        <v>0</v>
      </c>
      <c r="Q265" s="2">
        <f>(ROUND((ROUND((((ET265*1.05))*AV265*I265),2)*BB265),2)+ROUND((ROUND(((AE265-((EU265*1.05)))*AV265*I265),2)*BS265),2))</f>
        <v>0</v>
      </c>
      <c r="R265" s="2">
        <f t="shared" si="217"/>
        <v>0</v>
      </c>
      <c r="S265" s="2">
        <f t="shared" si="218"/>
        <v>0</v>
      </c>
      <c r="T265" s="2">
        <f t="shared" si="219"/>
        <v>0</v>
      </c>
      <c r="U265" s="2">
        <f t="shared" si="220"/>
        <v>0</v>
      </c>
      <c r="V265" s="2">
        <f t="shared" si="221"/>
        <v>0</v>
      </c>
      <c r="W265" s="2">
        <f t="shared" si="222"/>
        <v>0</v>
      </c>
      <c r="X265" s="2">
        <f t="shared" si="223"/>
        <v>0</v>
      </c>
      <c r="Y265" s="2">
        <f t="shared" si="224"/>
        <v>0</v>
      </c>
      <c r="Z265" s="2"/>
      <c r="AA265" s="2">
        <v>56622490</v>
      </c>
      <c r="AB265" s="2">
        <f t="shared" si="225"/>
        <v>592.27</v>
      </c>
      <c r="AC265" s="2">
        <f t="shared" si="226"/>
        <v>14.14</v>
      </c>
      <c r="AD265" s="2">
        <f>ROUND(((((ET265*1.05))-((EU265*1.05)))+AE265),6)</f>
        <v>292.87650000000002</v>
      </c>
      <c r="AE265" s="2">
        <f>ROUND(((EU265*1.05)),6)</f>
        <v>26.082000000000001</v>
      </c>
      <c r="AF265" s="2">
        <f>ROUND(((EV265*1.05)),6)</f>
        <v>285.25349999999997</v>
      </c>
      <c r="AG265" s="2">
        <f t="shared" si="229"/>
        <v>0</v>
      </c>
      <c r="AH265" s="2">
        <f>((EW265*1.05))</f>
        <v>25.515000000000001</v>
      </c>
      <c r="AI265" s="2">
        <f>((EX265*1.05))</f>
        <v>0</v>
      </c>
      <c r="AJ265" s="2">
        <f t="shared" si="231"/>
        <v>0</v>
      </c>
      <c r="AK265" s="2">
        <v>564.74</v>
      </c>
      <c r="AL265" s="2">
        <v>14.14</v>
      </c>
      <c r="AM265" s="2">
        <v>278.93</v>
      </c>
      <c r="AN265" s="2">
        <v>24.84</v>
      </c>
      <c r="AO265" s="2">
        <v>271.67</v>
      </c>
      <c r="AP265" s="2">
        <v>0</v>
      </c>
      <c r="AQ265" s="2">
        <v>24.3</v>
      </c>
      <c r="AR265" s="2">
        <v>0</v>
      </c>
      <c r="AS265" s="2">
        <v>0</v>
      </c>
      <c r="AT265" s="2">
        <v>134</v>
      </c>
      <c r="AU265" s="2">
        <v>83</v>
      </c>
      <c r="AV265" s="2">
        <v>1.0469999999999999</v>
      </c>
      <c r="AW265" s="2">
        <v>1.002</v>
      </c>
      <c r="AX265" s="2"/>
      <c r="AY265" s="2"/>
      <c r="AZ265" s="2">
        <v>1</v>
      </c>
      <c r="BA265" s="2">
        <v>1</v>
      </c>
      <c r="BB265" s="2">
        <v>1</v>
      </c>
      <c r="BC265" s="2">
        <v>1</v>
      </c>
      <c r="BD265" s="2" t="s">
        <v>3</v>
      </c>
      <c r="BE265" s="2" t="s">
        <v>3</v>
      </c>
      <c r="BF265" s="2" t="s">
        <v>3</v>
      </c>
      <c r="BG265" s="2" t="s">
        <v>3</v>
      </c>
      <c r="BH265" s="2">
        <v>0</v>
      </c>
      <c r="BI265" s="2">
        <v>1</v>
      </c>
      <c r="BJ265" s="2" t="s">
        <v>348</v>
      </c>
      <c r="BK265" s="2"/>
      <c r="BL265" s="2"/>
      <c r="BM265" s="2">
        <v>160</v>
      </c>
      <c r="BN265" s="2">
        <v>0</v>
      </c>
      <c r="BO265" s="2" t="s">
        <v>3</v>
      </c>
      <c r="BP265" s="2">
        <v>0</v>
      </c>
      <c r="BQ265" s="2">
        <v>30</v>
      </c>
      <c r="BR265" s="2">
        <v>0</v>
      </c>
      <c r="BS265" s="2">
        <v>1</v>
      </c>
      <c r="BT265" s="2">
        <v>1</v>
      </c>
      <c r="BU265" s="2">
        <v>1</v>
      </c>
      <c r="BV265" s="2">
        <v>1</v>
      </c>
      <c r="BW265" s="2">
        <v>1</v>
      </c>
      <c r="BX265" s="2">
        <v>1</v>
      </c>
      <c r="BY265" s="2" t="s">
        <v>3</v>
      </c>
      <c r="BZ265" s="2">
        <v>134</v>
      </c>
      <c r="CA265" s="2">
        <v>83</v>
      </c>
      <c r="CB265" s="2" t="s">
        <v>3</v>
      </c>
      <c r="CC265" s="2"/>
      <c r="CD265" s="2"/>
      <c r="CE265" s="2">
        <v>30</v>
      </c>
      <c r="CF265" s="2">
        <v>0</v>
      </c>
      <c r="CG265" s="2">
        <v>0</v>
      </c>
      <c r="CH265" s="2"/>
      <c r="CI265" s="2"/>
      <c r="CJ265" s="2"/>
      <c r="CK265" s="2"/>
      <c r="CL265" s="2"/>
      <c r="CM265" s="2">
        <v>0</v>
      </c>
      <c r="CN265" s="2" t="s">
        <v>708</v>
      </c>
      <c r="CO265" s="2">
        <v>0</v>
      </c>
      <c r="CP265" s="2">
        <f t="shared" si="232"/>
        <v>0</v>
      </c>
      <c r="CQ265" s="2">
        <f t="shared" si="233"/>
        <v>14.17</v>
      </c>
      <c r="CR265" s="2">
        <f>(ROUND((ROUND((((ET265*1.05))*AV265*1),2)*BB265),2)+ROUND((ROUND(((AE265-((EU265*1.05)))*AV265*1),2)*BS265),2))</f>
        <v>306.64</v>
      </c>
      <c r="CS265" s="2">
        <f t="shared" si="235"/>
        <v>27.31</v>
      </c>
      <c r="CT265" s="2">
        <f t="shared" si="236"/>
        <v>298.66000000000003</v>
      </c>
      <c r="CU265" s="2">
        <f t="shared" si="237"/>
        <v>0</v>
      </c>
      <c r="CV265" s="2">
        <f t="shared" si="238"/>
        <v>26.714205</v>
      </c>
      <c r="CW265" s="2">
        <f t="shared" si="239"/>
        <v>0</v>
      </c>
      <c r="CX265" s="2">
        <f t="shared" si="240"/>
        <v>0</v>
      </c>
      <c r="CY265" s="2">
        <f>((S265*BZ265)/100)</f>
        <v>0</v>
      </c>
      <c r="CZ265" s="2">
        <f>((S265*CA265)/100)</f>
        <v>0</v>
      </c>
      <c r="DA265" s="2"/>
      <c r="DB265" s="2">
        <v>109</v>
      </c>
      <c r="DC265" s="2" t="s">
        <v>3</v>
      </c>
      <c r="DD265" s="2" t="s">
        <v>3</v>
      </c>
      <c r="DE265" s="2" t="s">
        <v>22</v>
      </c>
      <c r="DF265" s="2" t="s">
        <v>22</v>
      </c>
      <c r="DG265" s="2" t="s">
        <v>22</v>
      </c>
      <c r="DH265" s="2" t="s">
        <v>3</v>
      </c>
      <c r="DI265" s="2" t="s">
        <v>22</v>
      </c>
      <c r="DJ265" s="2" t="s">
        <v>22</v>
      </c>
      <c r="DK265" s="2" t="s">
        <v>3</v>
      </c>
      <c r="DL265" s="2" t="s">
        <v>3</v>
      </c>
      <c r="DM265" s="2" t="s">
        <v>3</v>
      </c>
      <c r="DN265" s="2">
        <v>0</v>
      </c>
      <c r="DO265" s="2">
        <v>0</v>
      </c>
      <c r="DP265" s="2">
        <v>1</v>
      </c>
      <c r="DQ265" s="2">
        <v>1</v>
      </c>
      <c r="DR265" s="2"/>
      <c r="DS265" s="2"/>
      <c r="DT265" s="2"/>
      <c r="DU265" s="2">
        <v>1013</v>
      </c>
      <c r="DV265" s="2" t="s">
        <v>347</v>
      </c>
      <c r="DW265" s="2" t="s">
        <v>347</v>
      </c>
      <c r="DX265" s="2">
        <v>1</v>
      </c>
      <c r="DY265" s="2"/>
      <c r="DZ265" s="2" t="s">
        <v>3</v>
      </c>
      <c r="EA265" s="2" t="s">
        <v>3</v>
      </c>
      <c r="EB265" s="2" t="s">
        <v>3</v>
      </c>
      <c r="EC265" s="2" t="s">
        <v>3</v>
      </c>
      <c r="ED265" s="2"/>
      <c r="EE265" s="2">
        <v>51696199</v>
      </c>
      <c r="EF265" s="2">
        <v>30</v>
      </c>
      <c r="EG265" s="2" t="s">
        <v>23</v>
      </c>
      <c r="EH265" s="2">
        <v>0</v>
      </c>
      <c r="EI265" s="2" t="s">
        <v>3</v>
      </c>
      <c r="EJ265" s="2">
        <v>1</v>
      </c>
      <c r="EK265" s="2">
        <v>160</v>
      </c>
      <c r="EL265" s="2" t="s">
        <v>349</v>
      </c>
      <c r="EM265" s="2" t="s">
        <v>350</v>
      </c>
      <c r="EN265" s="2"/>
      <c r="EO265" s="2" t="s">
        <v>26</v>
      </c>
      <c r="EP265" s="2"/>
      <c r="EQ265" s="2">
        <v>131072</v>
      </c>
      <c r="ER265" s="2">
        <v>564.74</v>
      </c>
      <c r="ES265" s="2">
        <v>14.14</v>
      </c>
      <c r="ET265" s="2">
        <v>278.93</v>
      </c>
      <c r="EU265" s="2">
        <v>24.84</v>
      </c>
      <c r="EV265" s="2">
        <v>271.67</v>
      </c>
      <c r="EW265" s="2">
        <v>24.3</v>
      </c>
      <c r="EX265" s="2">
        <v>0</v>
      </c>
      <c r="EY265" s="2">
        <v>0</v>
      </c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>
        <v>0</v>
      </c>
      <c r="FR265" s="2">
        <v>0</v>
      </c>
      <c r="FS265" s="2">
        <v>0</v>
      </c>
      <c r="FT265" s="2"/>
      <c r="FU265" s="2"/>
      <c r="FV265" s="2"/>
      <c r="FW265" s="2"/>
      <c r="FX265" s="2">
        <v>134</v>
      </c>
      <c r="FY265" s="2">
        <v>83</v>
      </c>
      <c r="FZ265" s="2"/>
      <c r="GA265" s="2" t="s">
        <v>3</v>
      </c>
      <c r="GB265" s="2"/>
      <c r="GC265" s="2"/>
      <c r="GD265" s="2">
        <v>0</v>
      </c>
      <c r="GE265" s="2"/>
      <c r="GF265" s="2">
        <v>1080592559</v>
      </c>
      <c r="GG265" s="2">
        <v>2</v>
      </c>
      <c r="GH265" s="2">
        <v>1</v>
      </c>
      <c r="GI265" s="2">
        <v>-2</v>
      </c>
      <c r="GJ265" s="2">
        <v>0</v>
      </c>
      <c r="GK265" s="2">
        <f>ROUND(R265*(R12)/100,2)</f>
        <v>0</v>
      </c>
      <c r="GL265" s="2">
        <f t="shared" si="241"/>
        <v>0</v>
      </c>
      <c r="GM265" s="2">
        <f t="shared" si="242"/>
        <v>0</v>
      </c>
      <c r="GN265" s="2">
        <f t="shared" si="243"/>
        <v>0</v>
      </c>
      <c r="GO265" s="2">
        <f t="shared" si="244"/>
        <v>0</v>
      </c>
      <c r="GP265" s="2">
        <f t="shared" si="245"/>
        <v>0</v>
      </c>
      <c r="GQ265" s="2"/>
      <c r="GR265" s="2">
        <v>0</v>
      </c>
      <c r="GS265" s="2">
        <v>0</v>
      </c>
      <c r="GT265" s="2">
        <v>0</v>
      </c>
      <c r="GU265" s="2" t="s">
        <v>3</v>
      </c>
      <c r="GV265" s="2">
        <f t="shared" si="246"/>
        <v>0</v>
      </c>
      <c r="GW265" s="2">
        <v>1</v>
      </c>
      <c r="GX265" s="2">
        <f t="shared" si="247"/>
        <v>0</v>
      </c>
      <c r="GY265" s="2"/>
      <c r="GZ265" s="2"/>
      <c r="HA265" s="2">
        <v>0</v>
      </c>
      <c r="HB265" s="2">
        <v>0</v>
      </c>
      <c r="HC265" s="2">
        <f t="shared" si="248"/>
        <v>0</v>
      </c>
      <c r="HD265" s="2"/>
      <c r="HE265" s="2" t="s">
        <v>3</v>
      </c>
      <c r="HF265" s="2" t="s">
        <v>3</v>
      </c>
      <c r="HG265" s="2"/>
      <c r="HH265" s="2"/>
      <c r="HI265" s="2"/>
      <c r="HJ265" s="2"/>
      <c r="HK265" s="2"/>
      <c r="HL265" s="2"/>
      <c r="HM265" s="2" t="s">
        <v>3</v>
      </c>
      <c r="HN265" s="2" t="s">
        <v>3</v>
      </c>
      <c r="HO265" s="2" t="s">
        <v>3</v>
      </c>
      <c r="HP265" s="2" t="s">
        <v>3</v>
      </c>
      <c r="HQ265" s="2" t="s">
        <v>3</v>
      </c>
      <c r="HR265" s="2"/>
      <c r="HS265" s="2">
        <v>0</v>
      </c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>
        <v>0</v>
      </c>
      <c r="IL265" s="2"/>
      <c r="IM265" s="2"/>
      <c r="IN265" s="2"/>
      <c r="IO265" s="2"/>
      <c r="IP265" s="2"/>
      <c r="IQ265" s="2"/>
      <c r="IR265" s="2"/>
      <c r="IS265" s="2"/>
      <c r="IT265" s="2"/>
      <c r="IU265" s="2"/>
    </row>
    <row r="266" spans="1:255" x14ac:dyDescent="0.2">
      <c r="A266">
        <v>17</v>
      </c>
      <c r="B266">
        <v>1</v>
      </c>
      <c r="C266">
        <f>ROW(SmtRes!A42)</f>
        <v>42</v>
      </c>
      <c r="D266">
        <f>ROW(EtalonRes!A516)</f>
        <v>516</v>
      </c>
      <c r="E266" t="s">
        <v>344</v>
      </c>
      <c r="F266" t="s">
        <v>345</v>
      </c>
      <c r="G266" t="s">
        <v>346</v>
      </c>
      <c r="H266" t="s">
        <v>347</v>
      </c>
      <c r="I266">
        <v>0</v>
      </c>
      <c r="J266">
        <v>0</v>
      </c>
      <c r="K266">
        <v>0</v>
      </c>
      <c r="O266">
        <f t="shared" si="214"/>
        <v>0</v>
      </c>
      <c r="P266">
        <f t="shared" si="215"/>
        <v>0</v>
      </c>
      <c r="Q266">
        <f>(ROUND((ROUND((((ET266*1.05))*AV266*I266),2)*BB266),2)+ROUND((ROUND(((AE266-((EU266*1.05)))*AV266*I266),2)*BS266),2))</f>
        <v>0</v>
      </c>
      <c r="R266">
        <f t="shared" si="217"/>
        <v>0</v>
      </c>
      <c r="S266">
        <f t="shared" si="218"/>
        <v>0</v>
      </c>
      <c r="T266">
        <f t="shared" si="219"/>
        <v>0</v>
      </c>
      <c r="U266">
        <f t="shared" si="220"/>
        <v>0</v>
      </c>
      <c r="V266">
        <f t="shared" si="221"/>
        <v>0</v>
      </c>
      <c r="W266">
        <f t="shared" si="222"/>
        <v>0</v>
      </c>
      <c r="X266">
        <f t="shared" si="223"/>
        <v>0</v>
      </c>
      <c r="Y266">
        <f t="shared" si="224"/>
        <v>0</v>
      </c>
      <c r="AA266">
        <v>56610029</v>
      </c>
      <c r="AB266">
        <f t="shared" si="225"/>
        <v>592.27</v>
      </c>
      <c r="AC266">
        <f t="shared" si="226"/>
        <v>14.14</v>
      </c>
      <c r="AD266">
        <f>ROUND(((((ET266*1.05))-((EU266*1.05)))+AE266),6)</f>
        <v>292.87650000000002</v>
      </c>
      <c r="AE266">
        <f>ROUND(((EU266*1.05)),6)</f>
        <v>26.082000000000001</v>
      </c>
      <c r="AF266">
        <f>ROUND(((EV266*1.05)),6)</f>
        <v>285.25349999999997</v>
      </c>
      <c r="AG266">
        <f t="shared" si="229"/>
        <v>0</v>
      </c>
      <c r="AH266">
        <f>((EW266*1.05))</f>
        <v>25.515000000000001</v>
      </c>
      <c r="AI266">
        <f>((EX266*1.05))</f>
        <v>0</v>
      </c>
      <c r="AJ266">
        <f t="shared" si="231"/>
        <v>0</v>
      </c>
      <c r="AK266">
        <v>564.74</v>
      </c>
      <c r="AL266">
        <v>14.14</v>
      </c>
      <c r="AM266">
        <v>278.93</v>
      </c>
      <c r="AN266">
        <v>24.84</v>
      </c>
      <c r="AO266">
        <v>271.67</v>
      </c>
      <c r="AP266">
        <v>0</v>
      </c>
      <c r="AQ266">
        <v>24.3</v>
      </c>
      <c r="AR266">
        <v>0</v>
      </c>
      <c r="AS266">
        <v>0</v>
      </c>
      <c r="AT266">
        <v>109</v>
      </c>
      <c r="AU266">
        <v>41</v>
      </c>
      <c r="AV266">
        <v>1.0469999999999999</v>
      </c>
      <c r="AW266">
        <v>1.002</v>
      </c>
      <c r="AZ266">
        <v>1</v>
      </c>
      <c r="BA266">
        <v>34.51</v>
      </c>
      <c r="BB266">
        <v>11.82</v>
      </c>
      <c r="BC266">
        <v>7.05</v>
      </c>
      <c r="BD266" t="s">
        <v>3</v>
      </c>
      <c r="BE266" t="s">
        <v>3</v>
      </c>
      <c r="BF266" t="s">
        <v>3</v>
      </c>
      <c r="BG266" t="s">
        <v>3</v>
      </c>
      <c r="BH266">
        <v>0</v>
      </c>
      <c r="BI266">
        <v>1</v>
      </c>
      <c r="BJ266" t="s">
        <v>348</v>
      </c>
      <c r="BM266">
        <v>160</v>
      </c>
      <c r="BN266">
        <v>0</v>
      </c>
      <c r="BO266" t="s">
        <v>345</v>
      </c>
      <c r="BP266">
        <v>1</v>
      </c>
      <c r="BQ266">
        <v>30</v>
      </c>
      <c r="BR266">
        <v>0</v>
      </c>
      <c r="BS266">
        <v>34.51</v>
      </c>
      <c r="BT266">
        <v>1</v>
      </c>
      <c r="BU266">
        <v>1</v>
      </c>
      <c r="BV266">
        <v>1</v>
      </c>
      <c r="BW266">
        <v>1</v>
      </c>
      <c r="BX266">
        <v>1</v>
      </c>
      <c r="BY266" t="s">
        <v>3</v>
      </c>
      <c r="BZ266">
        <v>109</v>
      </c>
      <c r="CA266">
        <v>41</v>
      </c>
      <c r="CB266" t="s">
        <v>3</v>
      </c>
      <c r="CE266">
        <v>30</v>
      </c>
      <c r="CF266">
        <v>0</v>
      </c>
      <c r="CG266">
        <v>0</v>
      </c>
      <c r="CM266">
        <v>0</v>
      </c>
      <c r="CN266" t="s">
        <v>708</v>
      </c>
      <c r="CO266">
        <v>0</v>
      </c>
      <c r="CP266">
        <f t="shared" si="232"/>
        <v>0</v>
      </c>
      <c r="CQ266">
        <f t="shared" si="233"/>
        <v>99.9</v>
      </c>
      <c r="CR266">
        <f>(ROUND((ROUND((((ET266*1.05))*AV266*1),2)*BB266),2)+ROUND((ROUND(((AE266-((EU266*1.05)))*AV266*1),2)*BS266),2))</f>
        <v>3624.48</v>
      </c>
      <c r="CS266">
        <f t="shared" si="235"/>
        <v>942.47</v>
      </c>
      <c r="CT266">
        <f t="shared" si="236"/>
        <v>10306.76</v>
      </c>
      <c r="CU266">
        <f t="shared" si="237"/>
        <v>0</v>
      </c>
      <c r="CV266">
        <f t="shared" si="238"/>
        <v>26.714205</v>
      </c>
      <c r="CW266">
        <f t="shared" si="239"/>
        <v>0</v>
      </c>
      <c r="CX266">
        <f t="shared" si="240"/>
        <v>0</v>
      </c>
      <c r="CY266">
        <f>S266*(BZ266/100)</f>
        <v>0</v>
      </c>
      <c r="CZ266">
        <f>S266*(CA266/100)</f>
        <v>0</v>
      </c>
      <c r="DB266">
        <v>110</v>
      </c>
      <c r="DC266" t="s">
        <v>3</v>
      </c>
      <c r="DD266" t="s">
        <v>3</v>
      </c>
      <c r="DE266" t="s">
        <v>22</v>
      </c>
      <c r="DF266" t="s">
        <v>22</v>
      </c>
      <c r="DG266" t="s">
        <v>22</v>
      </c>
      <c r="DH266" t="s">
        <v>3</v>
      </c>
      <c r="DI266" t="s">
        <v>22</v>
      </c>
      <c r="DJ266" t="s">
        <v>22</v>
      </c>
      <c r="DK266" t="s">
        <v>3</v>
      </c>
      <c r="DL266" t="s">
        <v>3</v>
      </c>
      <c r="DM266" t="s">
        <v>3</v>
      </c>
      <c r="DN266">
        <v>134</v>
      </c>
      <c r="DO266">
        <v>83</v>
      </c>
      <c r="DP266">
        <v>1.0469999999999999</v>
      </c>
      <c r="DQ266">
        <v>1.002</v>
      </c>
      <c r="DU266">
        <v>1013</v>
      </c>
      <c r="DV266" t="s">
        <v>347</v>
      </c>
      <c r="DW266" t="s">
        <v>347</v>
      </c>
      <c r="DX266">
        <v>1</v>
      </c>
      <c r="DZ266" t="s">
        <v>3</v>
      </c>
      <c r="EA266" t="s">
        <v>3</v>
      </c>
      <c r="EB266" t="s">
        <v>3</v>
      </c>
      <c r="EC266" t="s">
        <v>3</v>
      </c>
      <c r="EE266">
        <v>51696199</v>
      </c>
      <c r="EF266">
        <v>30</v>
      </c>
      <c r="EG266" t="s">
        <v>23</v>
      </c>
      <c r="EH266">
        <v>0</v>
      </c>
      <c r="EI266" t="s">
        <v>3</v>
      </c>
      <c r="EJ266">
        <v>1</v>
      </c>
      <c r="EK266">
        <v>160</v>
      </c>
      <c r="EL266" t="s">
        <v>349</v>
      </c>
      <c r="EM266" t="s">
        <v>350</v>
      </c>
      <c r="EO266" t="s">
        <v>26</v>
      </c>
      <c r="EQ266">
        <v>131072</v>
      </c>
      <c r="ER266">
        <v>564.74</v>
      </c>
      <c r="ES266">
        <v>14.14</v>
      </c>
      <c r="ET266">
        <v>278.93</v>
      </c>
      <c r="EU266">
        <v>24.84</v>
      </c>
      <c r="EV266">
        <v>271.67</v>
      </c>
      <c r="EW266">
        <v>24.3</v>
      </c>
      <c r="EX266">
        <v>0</v>
      </c>
      <c r="EY266">
        <v>0</v>
      </c>
      <c r="FQ266">
        <v>0</v>
      </c>
      <c r="FR266">
        <v>0</v>
      </c>
      <c r="FS266">
        <v>0</v>
      </c>
      <c r="FX266">
        <v>134</v>
      </c>
      <c r="FY266">
        <v>83</v>
      </c>
      <c r="GA266" t="s">
        <v>3</v>
      </c>
      <c r="GD266">
        <v>0</v>
      </c>
      <c r="GF266">
        <v>1080592559</v>
      </c>
      <c r="GG266">
        <v>2</v>
      </c>
      <c r="GH266">
        <v>1</v>
      </c>
      <c r="GI266">
        <v>2</v>
      </c>
      <c r="GJ266">
        <v>0</v>
      </c>
      <c r="GK266">
        <f>ROUND(R266*(S12)/100,2)</f>
        <v>0</v>
      </c>
      <c r="GL266">
        <f t="shared" si="241"/>
        <v>0</v>
      </c>
      <c r="GM266">
        <f t="shared" si="242"/>
        <v>0</v>
      </c>
      <c r="GN266">
        <f t="shared" si="243"/>
        <v>0</v>
      </c>
      <c r="GO266">
        <f t="shared" si="244"/>
        <v>0</v>
      </c>
      <c r="GP266">
        <f t="shared" si="245"/>
        <v>0</v>
      </c>
      <c r="GR266">
        <v>0</v>
      </c>
      <c r="GS266">
        <v>3</v>
      </c>
      <c r="GT266">
        <v>0</v>
      </c>
      <c r="GU266" t="s">
        <v>3</v>
      </c>
      <c r="GV266">
        <f t="shared" si="246"/>
        <v>0</v>
      </c>
      <c r="GW266">
        <v>1</v>
      </c>
      <c r="GX266">
        <f t="shared" si="247"/>
        <v>0</v>
      </c>
      <c r="HA266">
        <v>0</v>
      </c>
      <c r="HB266">
        <v>0</v>
      </c>
      <c r="HC266">
        <f t="shared" si="248"/>
        <v>0</v>
      </c>
      <c r="HE266" t="s">
        <v>3</v>
      </c>
      <c r="HF266" t="s">
        <v>3</v>
      </c>
      <c r="HM266" t="s">
        <v>3</v>
      </c>
      <c r="HN266" t="s">
        <v>3</v>
      </c>
      <c r="HO266" t="s">
        <v>3</v>
      </c>
      <c r="HP266" t="s">
        <v>3</v>
      </c>
      <c r="HQ266" t="s">
        <v>3</v>
      </c>
      <c r="HS266">
        <v>0</v>
      </c>
      <c r="IK266">
        <v>0</v>
      </c>
    </row>
    <row r="267" spans="1:255" x14ac:dyDescent="0.2">
      <c r="A267" s="2">
        <v>18</v>
      </c>
      <c r="B267" s="2">
        <v>1</v>
      </c>
      <c r="C267" s="2">
        <v>41</v>
      </c>
      <c r="D267" s="2"/>
      <c r="E267" s="2" t="s">
        <v>351</v>
      </c>
      <c r="F267" s="2" t="s">
        <v>352</v>
      </c>
      <c r="G267" s="2" t="s">
        <v>353</v>
      </c>
      <c r="H267" s="2" t="s">
        <v>85</v>
      </c>
      <c r="I267" s="2">
        <f>I265*J267</f>
        <v>0</v>
      </c>
      <c r="J267" s="2">
        <v>12</v>
      </c>
      <c r="K267" s="2">
        <v>12</v>
      </c>
      <c r="L267" s="2"/>
      <c r="M267" s="2"/>
      <c r="N267" s="2"/>
      <c r="O267" s="2">
        <f t="shared" si="214"/>
        <v>0</v>
      </c>
      <c r="P267" s="2">
        <f t="shared" si="215"/>
        <v>0</v>
      </c>
      <c r="Q267" s="2">
        <f>(ROUND((ROUND(((ET267)*AV267*I267),2)*BB267),2)+ROUND((ROUND(((AE267-(EU267))*AV267*I267),2)*BS267),2))</f>
        <v>0</v>
      </c>
      <c r="R267" s="2">
        <f t="shared" si="217"/>
        <v>0</v>
      </c>
      <c r="S267" s="2">
        <f t="shared" si="218"/>
        <v>0</v>
      </c>
      <c r="T267" s="2">
        <f t="shared" si="219"/>
        <v>0</v>
      </c>
      <c r="U267" s="2">
        <f t="shared" si="220"/>
        <v>0</v>
      </c>
      <c r="V267" s="2">
        <f t="shared" si="221"/>
        <v>0</v>
      </c>
      <c r="W267" s="2">
        <f t="shared" si="222"/>
        <v>0</v>
      </c>
      <c r="X267" s="2">
        <f t="shared" si="223"/>
        <v>0</v>
      </c>
      <c r="Y267" s="2">
        <f t="shared" si="224"/>
        <v>0</v>
      </c>
      <c r="Z267" s="2"/>
      <c r="AA267" s="2">
        <v>56622490</v>
      </c>
      <c r="AB267" s="2">
        <f t="shared" si="225"/>
        <v>160.62</v>
      </c>
      <c r="AC267" s="2">
        <f t="shared" si="226"/>
        <v>160.62</v>
      </c>
      <c r="AD267" s="2">
        <f>ROUND((((ET267)-(EU267))+AE267),6)</f>
        <v>0</v>
      </c>
      <c r="AE267" s="2">
        <f>ROUND((EU267),6)</f>
        <v>0</v>
      </c>
      <c r="AF267" s="2">
        <f>ROUND((EV267),6)</f>
        <v>0</v>
      </c>
      <c r="AG267" s="2">
        <f t="shared" si="229"/>
        <v>0</v>
      </c>
      <c r="AH267" s="2">
        <f>(EW267)</f>
        <v>0</v>
      </c>
      <c r="AI267" s="2">
        <f>(EX267)</f>
        <v>0</v>
      </c>
      <c r="AJ267" s="2">
        <f t="shared" si="231"/>
        <v>0</v>
      </c>
      <c r="AK267" s="2">
        <v>160.62</v>
      </c>
      <c r="AL267" s="2">
        <v>160.62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134</v>
      </c>
      <c r="AU267" s="2">
        <v>83</v>
      </c>
      <c r="AV267" s="2">
        <v>1.0469999999999999</v>
      </c>
      <c r="AW267" s="2">
        <v>1.002</v>
      </c>
      <c r="AX267" s="2"/>
      <c r="AY267" s="2"/>
      <c r="AZ267" s="2">
        <v>1</v>
      </c>
      <c r="BA267" s="2">
        <v>1</v>
      </c>
      <c r="BB267" s="2">
        <v>1</v>
      </c>
      <c r="BC267" s="2">
        <v>1</v>
      </c>
      <c r="BD267" s="2" t="s">
        <v>3</v>
      </c>
      <c r="BE267" s="2" t="s">
        <v>3</v>
      </c>
      <c r="BF267" s="2" t="s">
        <v>3</v>
      </c>
      <c r="BG267" s="2" t="s">
        <v>3</v>
      </c>
      <c r="BH267" s="2">
        <v>3</v>
      </c>
      <c r="BI267" s="2">
        <v>1</v>
      </c>
      <c r="BJ267" s="2" t="s">
        <v>354</v>
      </c>
      <c r="BK267" s="2"/>
      <c r="BL267" s="2"/>
      <c r="BM267" s="2">
        <v>160</v>
      </c>
      <c r="BN267" s="2">
        <v>0</v>
      </c>
      <c r="BO267" s="2" t="s">
        <v>3</v>
      </c>
      <c r="BP267" s="2">
        <v>0</v>
      </c>
      <c r="BQ267" s="2">
        <v>30</v>
      </c>
      <c r="BR267" s="2">
        <v>0</v>
      </c>
      <c r="BS267" s="2">
        <v>1</v>
      </c>
      <c r="BT267" s="2">
        <v>1</v>
      </c>
      <c r="BU267" s="2">
        <v>1</v>
      </c>
      <c r="BV267" s="2">
        <v>1</v>
      </c>
      <c r="BW267" s="2">
        <v>1</v>
      </c>
      <c r="BX267" s="2">
        <v>1</v>
      </c>
      <c r="BY267" s="2" t="s">
        <v>3</v>
      </c>
      <c r="BZ267" s="2">
        <v>134</v>
      </c>
      <c r="CA267" s="2">
        <v>83</v>
      </c>
      <c r="CB267" s="2" t="s">
        <v>3</v>
      </c>
      <c r="CC267" s="2"/>
      <c r="CD267" s="2"/>
      <c r="CE267" s="2">
        <v>30</v>
      </c>
      <c r="CF267" s="2">
        <v>0</v>
      </c>
      <c r="CG267" s="2">
        <v>0</v>
      </c>
      <c r="CH267" s="2"/>
      <c r="CI267" s="2"/>
      <c r="CJ267" s="2"/>
      <c r="CK267" s="2"/>
      <c r="CL267" s="2"/>
      <c r="CM267" s="2">
        <v>0</v>
      </c>
      <c r="CN267" s="2" t="s">
        <v>3</v>
      </c>
      <c r="CO267" s="2">
        <v>0</v>
      </c>
      <c r="CP267" s="2">
        <f t="shared" si="232"/>
        <v>0</v>
      </c>
      <c r="CQ267" s="2">
        <f t="shared" si="233"/>
        <v>160.94</v>
      </c>
      <c r="CR267" s="2">
        <f>(ROUND((ROUND(((ET267)*AV267*1),2)*BB267),2)+ROUND((ROUND(((AE267-(EU267))*AV267*1),2)*BS267),2))</f>
        <v>0</v>
      </c>
      <c r="CS267" s="2">
        <f t="shared" si="235"/>
        <v>0</v>
      </c>
      <c r="CT267" s="2">
        <f t="shared" si="236"/>
        <v>0</v>
      </c>
      <c r="CU267" s="2">
        <f t="shared" si="237"/>
        <v>0</v>
      </c>
      <c r="CV267" s="2">
        <f t="shared" si="238"/>
        <v>0</v>
      </c>
      <c r="CW267" s="2">
        <f t="shared" si="239"/>
        <v>0</v>
      </c>
      <c r="CX267" s="2">
        <f t="shared" si="240"/>
        <v>0</v>
      </c>
      <c r="CY267" s="2">
        <f>((S267*BZ267)/100)</f>
        <v>0</v>
      </c>
      <c r="CZ267" s="2">
        <f>((S267*CA267)/100)</f>
        <v>0</v>
      </c>
      <c r="DA267" s="2"/>
      <c r="DB267" s="2"/>
      <c r="DC267" s="2" t="s">
        <v>3</v>
      </c>
      <c r="DD267" s="2" t="s">
        <v>3</v>
      </c>
      <c r="DE267" s="2" t="s">
        <v>3</v>
      </c>
      <c r="DF267" s="2" t="s">
        <v>3</v>
      </c>
      <c r="DG267" s="2" t="s">
        <v>3</v>
      </c>
      <c r="DH267" s="2" t="s">
        <v>3</v>
      </c>
      <c r="DI267" s="2" t="s">
        <v>3</v>
      </c>
      <c r="DJ267" s="2" t="s">
        <v>3</v>
      </c>
      <c r="DK267" s="2" t="s">
        <v>3</v>
      </c>
      <c r="DL267" s="2" t="s">
        <v>3</v>
      </c>
      <c r="DM267" s="2" t="s">
        <v>3</v>
      </c>
      <c r="DN267" s="2">
        <v>0</v>
      </c>
      <c r="DO267" s="2">
        <v>0</v>
      </c>
      <c r="DP267" s="2">
        <v>1</v>
      </c>
      <c r="DQ267" s="2">
        <v>1</v>
      </c>
      <c r="DR267" s="2"/>
      <c r="DS267" s="2"/>
      <c r="DT267" s="2"/>
      <c r="DU267" s="2">
        <v>1007</v>
      </c>
      <c r="DV267" s="2" t="s">
        <v>85</v>
      </c>
      <c r="DW267" s="2" t="s">
        <v>85</v>
      </c>
      <c r="DX267" s="2">
        <v>1</v>
      </c>
      <c r="DY267" s="2"/>
      <c r="DZ267" s="2" t="s">
        <v>3</v>
      </c>
      <c r="EA267" s="2" t="s">
        <v>3</v>
      </c>
      <c r="EB267" s="2" t="s">
        <v>3</v>
      </c>
      <c r="EC267" s="2" t="s">
        <v>3</v>
      </c>
      <c r="ED267" s="2"/>
      <c r="EE267" s="2">
        <v>51696199</v>
      </c>
      <c r="EF267" s="2">
        <v>30</v>
      </c>
      <c r="EG267" s="2" t="s">
        <v>23</v>
      </c>
      <c r="EH267" s="2">
        <v>0</v>
      </c>
      <c r="EI267" s="2" t="s">
        <v>3</v>
      </c>
      <c r="EJ267" s="2">
        <v>1</v>
      </c>
      <c r="EK267" s="2">
        <v>160</v>
      </c>
      <c r="EL267" s="2" t="s">
        <v>349</v>
      </c>
      <c r="EM267" s="2" t="s">
        <v>350</v>
      </c>
      <c r="EN267" s="2"/>
      <c r="EO267" s="2" t="s">
        <v>3</v>
      </c>
      <c r="EP267" s="2"/>
      <c r="EQ267" s="2">
        <v>0</v>
      </c>
      <c r="ER267" s="2">
        <v>160.62</v>
      </c>
      <c r="ES267" s="2">
        <v>160.62</v>
      </c>
      <c r="ET267" s="2">
        <v>0</v>
      </c>
      <c r="EU267" s="2">
        <v>0</v>
      </c>
      <c r="EV267" s="2">
        <v>0</v>
      </c>
      <c r="EW267" s="2">
        <v>0</v>
      </c>
      <c r="EX267" s="2">
        <v>0</v>
      </c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>
        <v>0</v>
      </c>
      <c r="FR267" s="2">
        <v>0</v>
      </c>
      <c r="FS267" s="2">
        <v>0</v>
      </c>
      <c r="FT267" s="2"/>
      <c r="FU267" s="2"/>
      <c r="FV267" s="2"/>
      <c r="FW267" s="2"/>
      <c r="FX267" s="2">
        <v>134</v>
      </c>
      <c r="FY267" s="2">
        <v>83</v>
      </c>
      <c r="FZ267" s="2"/>
      <c r="GA267" s="2" t="s">
        <v>3</v>
      </c>
      <c r="GB267" s="2"/>
      <c r="GC267" s="2"/>
      <c r="GD267" s="2">
        <v>0</v>
      </c>
      <c r="GE267" s="2"/>
      <c r="GF267" s="2">
        <v>1868310757</v>
      </c>
      <c r="GG267" s="2">
        <v>2</v>
      </c>
      <c r="GH267" s="2">
        <v>1</v>
      </c>
      <c r="GI267" s="2">
        <v>-2</v>
      </c>
      <c r="GJ267" s="2">
        <v>0</v>
      </c>
      <c r="GK267" s="2">
        <f>ROUND(R267*(R12)/100,2)</f>
        <v>0</v>
      </c>
      <c r="GL267" s="2">
        <f t="shared" si="241"/>
        <v>0</v>
      </c>
      <c r="GM267" s="2">
        <f t="shared" si="242"/>
        <v>0</v>
      </c>
      <c r="GN267" s="2">
        <f t="shared" si="243"/>
        <v>0</v>
      </c>
      <c r="GO267" s="2">
        <f t="shared" si="244"/>
        <v>0</v>
      </c>
      <c r="GP267" s="2">
        <f t="shared" si="245"/>
        <v>0</v>
      </c>
      <c r="GQ267" s="2"/>
      <c r="GR267" s="2">
        <v>0</v>
      </c>
      <c r="GS267" s="2">
        <v>0</v>
      </c>
      <c r="GT267" s="2">
        <v>0</v>
      </c>
      <c r="GU267" s="2" t="s">
        <v>3</v>
      </c>
      <c r="GV267" s="2">
        <f t="shared" si="246"/>
        <v>0</v>
      </c>
      <c r="GW267" s="2">
        <v>1</v>
      </c>
      <c r="GX267" s="2">
        <f t="shared" si="247"/>
        <v>0</v>
      </c>
      <c r="GY267" s="2"/>
      <c r="GZ267" s="2"/>
      <c r="HA267" s="2">
        <v>0</v>
      </c>
      <c r="HB267" s="2">
        <v>0</v>
      </c>
      <c r="HC267" s="2">
        <f t="shared" si="248"/>
        <v>0</v>
      </c>
      <c r="HD267" s="2"/>
      <c r="HE267" s="2" t="s">
        <v>3</v>
      </c>
      <c r="HF267" s="2" t="s">
        <v>3</v>
      </c>
      <c r="HG267" s="2"/>
      <c r="HH267" s="2"/>
      <c r="HI267" s="2"/>
      <c r="HJ267" s="2"/>
      <c r="HK267" s="2"/>
      <c r="HL267" s="2"/>
      <c r="HM267" s="2" t="s">
        <v>3</v>
      </c>
      <c r="HN267" s="2" t="s">
        <v>3</v>
      </c>
      <c r="HO267" s="2" t="s">
        <v>3</v>
      </c>
      <c r="HP267" s="2" t="s">
        <v>3</v>
      </c>
      <c r="HQ267" s="2" t="s">
        <v>3</v>
      </c>
      <c r="HR267" s="2"/>
      <c r="HS267" s="2">
        <v>0</v>
      </c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>
        <v>0</v>
      </c>
      <c r="IL267" s="2"/>
      <c r="IM267" s="2"/>
      <c r="IN267" s="2"/>
      <c r="IO267" s="2"/>
      <c r="IP267" s="2"/>
      <c r="IQ267" s="2"/>
      <c r="IR267" s="2"/>
      <c r="IS267" s="2"/>
      <c r="IT267" s="2"/>
      <c r="IU267" s="2"/>
    </row>
    <row r="268" spans="1:255" x14ac:dyDescent="0.2">
      <c r="A268">
        <v>18</v>
      </c>
      <c r="B268">
        <v>1</v>
      </c>
      <c r="C268">
        <v>42</v>
      </c>
      <c r="E268" t="s">
        <v>351</v>
      </c>
      <c r="F268" t="s">
        <v>352</v>
      </c>
      <c r="G268" t="s">
        <v>353</v>
      </c>
      <c r="H268" t="s">
        <v>85</v>
      </c>
      <c r="I268">
        <f>I266*J268</f>
        <v>0</v>
      </c>
      <c r="J268">
        <v>12</v>
      </c>
      <c r="K268">
        <v>12</v>
      </c>
      <c r="O268">
        <f t="shared" si="214"/>
        <v>0</v>
      </c>
      <c r="P268">
        <f t="shared" si="215"/>
        <v>0</v>
      </c>
      <c r="Q268">
        <f>(ROUND((ROUND(((ET268)*AV268*I268),2)*BB268),2)+ROUND((ROUND(((AE268-(EU268))*AV268*I268),2)*BS268),2))</f>
        <v>0</v>
      </c>
      <c r="R268">
        <f t="shared" si="217"/>
        <v>0</v>
      </c>
      <c r="S268">
        <f t="shared" si="218"/>
        <v>0</v>
      </c>
      <c r="T268">
        <f t="shared" si="219"/>
        <v>0</v>
      </c>
      <c r="U268">
        <f t="shared" si="220"/>
        <v>0</v>
      </c>
      <c r="V268">
        <f t="shared" si="221"/>
        <v>0</v>
      </c>
      <c r="W268">
        <f t="shared" si="222"/>
        <v>0</v>
      </c>
      <c r="X268">
        <f t="shared" si="223"/>
        <v>0</v>
      </c>
      <c r="Y268">
        <f t="shared" si="224"/>
        <v>0</v>
      </c>
      <c r="AA268">
        <v>56610029</v>
      </c>
      <c r="AB268">
        <f t="shared" si="225"/>
        <v>160.62</v>
      </c>
      <c r="AC268">
        <f t="shared" si="226"/>
        <v>160.62</v>
      </c>
      <c r="AD268">
        <f>ROUND((((ET268)-(EU268))+AE268),6)</f>
        <v>0</v>
      </c>
      <c r="AE268">
        <f>ROUND((EU268),6)</f>
        <v>0</v>
      </c>
      <c r="AF268">
        <f>ROUND((EV268),6)</f>
        <v>0</v>
      </c>
      <c r="AG268">
        <f t="shared" si="229"/>
        <v>0</v>
      </c>
      <c r="AH268">
        <f>(EW268)</f>
        <v>0</v>
      </c>
      <c r="AI268">
        <f>(EX268)</f>
        <v>0</v>
      </c>
      <c r="AJ268">
        <f t="shared" si="231"/>
        <v>0</v>
      </c>
      <c r="AK268">
        <v>160.62</v>
      </c>
      <c r="AL268">
        <v>160.62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</v>
      </c>
      <c r="AW268">
        <v>1.002</v>
      </c>
      <c r="AZ268">
        <v>1</v>
      </c>
      <c r="BA268">
        <v>1</v>
      </c>
      <c r="BB268">
        <v>1</v>
      </c>
      <c r="BC268">
        <v>18.100000000000001</v>
      </c>
      <c r="BD268" t="s">
        <v>3</v>
      </c>
      <c r="BE268" t="s">
        <v>3</v>
      </c>
      <c r="BF268" t="s">
        <v>3</v>
      </c>
      <c r="BG268" t="s">
        <v>3</v>
      </c>
      <c r="BH268">
        <v>3</v>
      </c>
      <c r="BI268">
        <v>1</v>
      </c>
      <c r="BJ268" t="s">
        <v>354</v>
      </c>
      <c r="BM268">
        <v>160</v>
      </c>
      <c r="BN268">
        <v>0</v>
      </c>
      <c r="BO268" t="s">
        <v>352</v>
      </c>
      <c r="BP268">
        <v>1</v>
      </c>
      <c r="BQ268">
        <v>30</v>
      </c>
      <c r="BR268">
        <v>0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 t="s">
        <v>3</v>
      </c>
      <c r="BZ268">
        <v>0</v>
      </c>
      <c r="CA268">
        <v>0</v>
      </c>
      <c r="CB268" t="s">
        <v>3</v>
      </c>
      <c r="CE268">
        <v>30</v>
      </c>
      <c r="CF268">
        <v>0</v>
      </c>
      <c r="CG268">
        <v>0</v>
      </c>
      <c r="CM268">
        <v>0</v>
      </c>
      <c r="CN268" t="s">
        <v>3</v>
      </c>
      <c r="CO268">
        <v>0</v>
      </c>
      <c r="CP268">
        <f t="shared" si="232"/>
        <v>0</v>
      </c>
      <c r="CQ268">
        <f t="shared" si="233"/>
        <v>2913.01</v>
      </c>
      <c r="CR268">
        <f>(ROUND((ROUND(((ET268)*AV268*1),2)*BB268),2)+ROUND((ROUND(((AE268-(EU268))*AV268*1),2)*BS268),2))</f>
        <v>0</v>
      </c>
      <c r="CS268">
        <f t="shared" si="235"/>
        <v>0</v>
      </c>
      <c r="CT268">
        <f t="shared" si="236"/>
        <v>0</v>
      </c>
      <c r="CU268">
        <f t="shared" si="237"/>
        <v>0</v>
      </c>
      <c r="CV268">
        <f t="shared" si="238"/>
        <v>0</v>
      </c>
      <c r="CW268">
        <f t="shared" si="239"/>
        <v>0</v>
      </c>
      <c r="CX268">
        <f t="shared" si="240"/>
        <v>0</v>
      </c>
      <c r="CY268">
        <f>S268*(BZ268/100)</f>
        <v>0</v>
      </c>
      <c r="CZ268">
        <f>S268*(CA268/100)</f>
        <v>0</v>
      </c>
      <c r="DC268" t="s">
        <v>3</v>
      </c>
      <c r="DD268" t="s">
        <v>3</v>
      </c>
      <c r="DE268" t="s">
        <v>3</v>
      </c>
      <c r="DF268" t="s">
        <v>3</v>
      </c>
      <c r="DG268" t="s">
        <v>3</v>
      </c>
      <c r="DH268" t="s">
        <v>3</v>
      </c>
      <c r="DI268" t="s">
        <v>3</v>
      </c>
      <c r="DJ268" t="s">
        <v>3</v>
      </c>
      <c r="DK268" t="s">
        <v>3</v>
      </c>
      <c r="DL268" t="s">
        <v>3</v>
      </c>
      <c r="DM268" t="s">
        <v>3</v>
      </c>
      <c r="DN268">
        <v>134</v>
      </c>
      <c r="DO268">
        <v>83</v>
      </c>
      <c r="DP268">
        <v>1.0469999999999999</v>
      </c>
      <c r="DQ268">
        <v>1.002</v>
      </c>
      <c r="DU268">
        <v>1007</v>
      </c>
      <c r="DV268" t="s">
        <v>85</v>
      </c>
      <c r="DW268" t="s">
        <v>85</v>
      </c>
      <c r="DX268">
        <v>1</v>
      </c>
      <c r="DZ268" t="s">
        <v>3</v>
      </c>
      <c r="EA268" t="s">
        <v>3</v>
      </c>
      <c r="EB268" t="s">
        <v>3</v>
      </c>
      <c r="EC268" t="s">
        <v>3</v>
      </c>
      <c r="EE268">
        <v>51696199</v>
      </c>
      <c r="EF268">
        <v>30</v>
      </c>
      <c r="EG268" t="s">
        <v>23</v>
      </c>
      <c r="EH268">
        <v>0</v>
      </c>
      <c r="EI268" t="s">
        <v>3</v>
      </c>
      <c r="EJ268">
        <v>1</v>
      </c>
      <c r="EK268">
        <v>160</v>
      </c>
      <c r="EL268" t="s">
        <v>349</v>
      </c>
      <c r="EM268" t="s">
        <v>350</v>
      </c>
      <c r="EO268" t="s">
        <v>3</v>
      </c>
      <c r="EQ268">
        <v>0</v>
      </c>
      <c r="ER268">
        <v>160.62</v>
      </c>
      <c r="ES268">
        <v>160.62</v>
      </c>
      <c r="ET268">
        <v>0</v>
      </c>
      <c r="EU268">
        <v>0</v>
      </c>
      <c r="EV268">
        <v>0</v>
      </c>
      <c r="EW268">
        <v>0</v>
      </c>
      <c r="EX268">
        <v>0</v>
      </c>
      <c r="FQ268">
        <v>0</v>
      </c>
      <c r="FR268">
        <v>0</v>
      </c>
      <c r="FS268">
        <v>0</v>
      </c>
      <c r="FX268">
        <v>134</v>
      </c>
      <c r="FY268">
        <v>83</v>
      </c>
      <c r="GA268" t="s">
        <v>3</v>
      </c>
      <c r="GD268">
        <v>0</v>
      </c>
      <c r="GF268">
        <v>1868310757</v>
      </c>
      <c r="GG268">
        <v>2</v>
      </c>
      <c r="GH268">
        <v>1</v>
      </c>
      <c r="GI268">
        <v>2</v>
      </c>
      <c r="GJ268">
        <v>0</v>
      </c>
      <c r="GK268">
        <f>ROUND(R268*(S12)/100,2)</f>
        <v>0</v>
      </c>
      <c r="GL268">
        <f t="shared" si="241"/>
        <v>0</v>
      </c>
      <c r="GM268">
        <f t="shared" si="242"/>
        <v>0</v>
      </c>
      <c r="GN268">
        <f t="shared" si="243"/>
        <v>0</v>
      </c>
      <c r="GO268">
        <f t="shared" si="244"/>
        <v>0</v>
      </c>
      <c r="GP268">
        <f t="shared" si="245"/>
        <v>0</v>
      </c>
      <c r="GR268">
        <v>0</v>
      </c>
      <c r="GS268">
        <v>3</v>
      </c>
      <c r="GT268">
        <v>0</v>
      </c>
      <c r="GU268" t="s">
        <v>3</v>
      </c>
      <c r="GV268">
        <f t="shared" si="246"/>
        <v>0</v>
      </c>
      <c r="GW268">
        <v>1</v>
      </c>
      <c r="GX268">
        <f t="shared" si="247"/>
        <v>0</v>
      </c>
      <c r="HA268">
        <v>0</v>
      </c>
      <c r="HB268">
        <v>0</v>
      </c>
      <c r="HC268">
        <f t="shared" si="248"/>
        <v>0</v>
      </c>
      <c r="HE268" t="s">
        <v>3</v>
      </c>
      <c r="HF268" t="s">
        <v>3</v>
      </c>
      <c r="HM268" t="s">
        <v>3</v>
      </c>
      <c r="HN268" t="s">
        <v>3</v>
      </c>
      <c r="HO268" t="s">
        <v>3</v>
      </c>
      <c r="HP268" t="s">
        <v>3</v>
      </c>
      <c r="HQ268" t="s">
        <v>3</v>
      </c>
      <c r="HS268">
        <v>0</v>
      </c>
      <c r="IK268">
        <v>0</v>
      </c>
    </row>
    <row r="269" spans="1:255" x14ac:dyDescent="0.2">
      <c r="A269" s="2">
        <v>17</v>
      </c>
      <c r="B269" s="2">
        <v>1</v>
      </c>
      <c r="C269" s="2">
        <f>ROW(SmtRes!A43)</f>
        <v>43</v>
      </c>
      <c r="D269" s="2">
        <f>ROW(EtalonRes!A520)</f>
        <v>520</v>
      </c>
      <c r="E269" s="2" t="s">
        <v>355</v>
      </c>
      <c r="F269" s="2" t="s">
        <v>356</v>
      </c>
      <c r="G269" s="2" t="s">
        <v>357</v>
      </c>
      <c r="H269" s="2" t="s">
        <v>95</v>
      </c>
      <c r="I269" s="2">
        <v>0</v>
      </c>
      <c r="J269" s="2">
        <v>0</v>
      </c>
      <c r="K269" s="2">
        <v>0</v>
      </c>
      <c r="L269" s="2"/>
      <c r="M269" s="2"/>
      <c r="N269" s="2"/>
      <c r="O269" s="2">
        <f t="shared" si="214"/>
        <v>0</v>
      </c>
      <c r="P269" s="2">
        <f t="shared" si="215"/>
        <v>0</v>
      </c>
      <c r="Q269" s="2">
        <f>(ROUND((ROUND((((ET269*1.05))*AV269*I269),2)*BB269),2)+ROUND((ROUND(((AE269-((EU269*1.05)))*AV269*I269),2)*BS269),2))</f>
        <v>0</v>
      </c>
      <c r="R269" s="2">
        <f t="shared" si="217"/>
        <v>0</v>
      </c>
      <c r="S269" s="2">
        <f t="shared" si="218"/>
        <v>0</v>
      </c>
      <c r="T269" s="2">
        <f t="shared" si="219"/>
        <v>0</v>
      </c>
      <c r="U269" s="2">
        <f t="shared" si="220"/>
        <v>0</v>
      </c>
      <c r="V269" s="2">
        <f t="shared" si="221"/>
        <v>0</v>
      </c>
      <c r="W269" s="2">
        <f t="shared" si="222"/>
        <v>0</v>
      </c>
      <c r="X269" s="2">
        <f t="shared" si="223"/>
        <v>0</v>
      </c>
      <c r="Y269" s="2">
        <f t="shared" si="224"/>
        <v>0</v>
      </c>
      <c r="Z269" s="2"/>
      <c r="AA269" s="2">
        <v>56622490</v>
      </c>
      <c r="AB269" s="2">
        <f t="shared" si="225"/>
        <v>445.41500000000002</v>
      </c>
      <c r="AC269" s="2">
        <f t="shared" si="226"/>
        <v>210.11</v>
      </c>
      <c r="AD269" s="2">
        <f>ROUND(((((ET269*1.05))-((EU269*1.05)))+AE269),6)</f>
        <v>122.1255</v>
      </c>
      <c r="AE269" s="2">
        <f>ROUND(((EU269*1.05)),6)</f>
        <v>10.836</v>
      </c>
      <c r="AF269" s="2">
        <f>ROUND(((EV269*1.05)),6)</f>
        <v>113.1795</v>
      </c>
      <c r="AG269" s="2">
        <f t="shared" si="229"/>
        <v>0</v>
      </c>
      <c r="AH269" s="2">
        <f>((EW269*1.05))</f>
        <v>9.4080000000000013</v>
      </c>
      <c r="AI269" s="2">
        <f>((EX269*1.05))</f>
        <v>0</v>
      </c>
      <c r="AJ269" s="2">
        <f t="shared" si="231"/>
        <v>0</v>
      </c>
      <c r="AK269" s="2">
        <v>434.21</v>
      </c>
      <c r="AL269" s="2">
        <v>210.11</v>
      </c>
      <c r="AM269" s="2">
        <v>116.31</v>
      </c>
      <c r="AN269" s="2">
        <v>10.32</v>
      </c>
      <c r="AO269" s="2">
        <v>107.79</v>
      </c>
      <c r="AP269" s="2">
        <v>0</v>
      </c>
      <c r="AQ269" s="2">
        <v>8.9600000000000009</v>
      </c>
      <c r="AR269" s="2">
        <v>0</v>
      </c>
      <c r="AS269" s="2">
        <v>0</v>
      </c>
      <c r="AT269" s="2">
        <v>134</v>
      </c>
      <c r="AU269" s="2">
        <v>83</v>
      </c>
      <c r="AV269" s="2">
        <v>1.0469999999999999</v>
      </c>
      <c r="AW269" s="2">
        <v>1</v>
      </c>
      <c r="AX269" s="2"/>
      <c r="AY269" s="2"/>
      <c r="AZ269" s="2">
        <v>1</v>
      </c>
      <c r="BA269" s="2">
        <v>1</v>
      </c>
      <c r="BB269" s="2">
        <v>1</v>
      </c>
      <c r="BC269" s="2">
        <v>1</v>
      </c>
      <c r="BD269" s="2" t="s">
        <v>3</v>
      </c>
      <c r="BE269" s="2" t="s">
        <v>3</v>
      </c>
      <c r="BF269" s="2" t="s">
        <v>3</v>
      </c>
      <c r="BG269" s="2" t="s">
        <v>3</v>
      </c>
      <c r="BH269" s="2">
        <v>0</v>
      </c>
      <c r="BI269" s="2">
        <v>1</v>
      </c>
      <c r="BJ269" s="2" t="s">
        <v>358</v>
      </c>
      <c r="BK269" s="2"/>
      <c r="BL269" s="2"/>
      <c r="BM269" s="2">
        <v>159</v>
      </c>
      <c r="BN269" s="2">
        <v>0</v>
      </c>
      <c r="BO269" s="2" t="s">
        <v>3</v>
      </c>
      <c r="BP269" s="2">
        <v>0</v>
      </c>
      <c r="BQ269" s="2">
        <v>30</v>
      </c>
      <c r="BR269" s="2">
        <v>0</v>
      </c>
      <c r="BS269" s="2">
        <v>1</v>
      </c>
      <c r="BT269" s="2">
        <v>1</v>
      </c>
      <c r="BU269" s="2">
        <v>1</v>
      </c>
      <c r="BV269" s="2">
        <v>1</v>
      </c>
      <c r="BW269" s="2">
        <v>1</v>
      </c>
      <c r="BX269" s="2">
        <v>1</v>
      </c>
      <c r="BY269" s="2" t="s">
        <v>3</v>
      </c>
      <c r="BZ269" s="2">
        <v>134</v>
      </c>
      <c r="CA269" s="2">
        <v>83</v>
      </c>
      <c r="CB269" s="2" t="s">
        <v>3</v>
      </c>
      <c r="CC269" s="2"/>
      <c r="CD269" s="2"/>
      <c r="CE269" s="2">
        <v>30</v>
      </c>
      <c r="CF269" s="2">
        <v>0</v>
      </c>
      <c r="CG269" s="2">
        <v>0</v>
      </c>
      <c r="CH269" s="2"/>
      <c r="CI269" s="2"/>
      <c r="CJ269" s="2"/>
      <c r="CK269" s="2"/>
      <c r="CL269" s="2"/>
      <c r="CM269" s="2">
        <v>0</v>
      </c>
      <c r="CN269" s="2" t="s">
        <v>708</v>
      </c>
      <c r="CO269" s="2">
        <v>0</v>
      </c>
      <c r="CP269" s="2">
        <f t="shared" si="232"/>
        <v>0</v>
      </c>
      <c r="CQ269" s="2">
        <f t="shared" si="233"/>
        <v>210.11</v>
      </c>
      <c r="CR269" s="2">
        <f>(ROUND((ROUND((((ET269*1.05))*AV269*1),2)*BB269),2)+ROUND((ROUND(((AE269-((EU269*1.05)))*AV269*1),2)*BS269),2))</f>
        <v>127.87</v>
      </c>
      <c r="CS269" s="2">
        <f t="shared" si="235"/>
        <v>11.35</v>
      </c>
      <c r="CT269" s="2">
        <f t="shared" si="236"/>
        <v>118.5</v>
      </c>
      <c r="CU269" s="2">
        <f t="shared" si="237"/>
        <v>0</v>
      </c>
      <c r="CV269" s="2">
        <f t="shared" si="238"/>
        <v>9.8501760000000012</v>
      </c>
      <c r="CW269" s="2">
        <f t="shared" si="239"/>
        <v>0</v>
      </c>
      <c r="CX269" s="2">
        <f t="shared" si="240"/>
        <v>0</v>
      </c>
      <c r="CY269" s="2">
        <f>((S269*BZ269)/100)</f>
        <v>0</v>
      </c>
      <c r="CZ269" s="2">
        <f>((S269*CA269)/100)</f>
        <v>0</v>
      </c>
      <c r="DA269" s="2"/>
      <c r="DB269" s="2">
        <v>111</v>
      </c>
      <c r="DC269" s="2" t="s">
        <v>3</v>
      </c>
      <c r="DD269" s="2" t="s">
        <v>3</v>
      </c>
      <c r="DE269" s="2" t="s">
        <v>22</v>
      </c>
      <c r="DF269" s="2" t="s">
        <v>22</v>
      </c>
      <c r="DG269" s="2" t="s">
        <v>22</v>
      </c>
      <c r="DH269" s="2" t="s">
        <v>3</v>
      </c>
      <c r="DI269" s="2" t="s">
        <v>22</v>
      </c>
      <c r="DJ269" s="2" t="s">
        <v>22</v>
      </c>
      <c r="DK269" s="2" t="s">
        <v>3</v>
      </c>
      <c r="DL269" s="2" t="s">
        <v>3</v>
      </c>
      <c r="DM269" s="2" t="s">
        <v>3</v>
      </c>
      <c r="DN269" s="2">
        <v>0</v>
      </c>
      <c r="DO269" s="2">
        <v>0</v>
      </c>
      <c r="DP269" s="2">
        <v>1</v>
      </c>
      <c r="DQ269" s="2">
        <v>1</v>
      </c>
      <c r="DR269" s="2"/>
      <c r="DS269" s="2"/>
      <c r="DT269" s="2"/>
      <c r="DU269" s="2">
        <v>1013</v>
      </c>
      <c r="DV269" s="2" t="s">
        <v>95</v>
      </c>
      <c r="DW269" s="2" t="s">
        <v>95</v>
      </c>
      <c r="DX269" s="2">
        <v>1</v>
      </c>
      <c r="DY269" s="2"/>
      <c r="DZ269" s="2" t="s">
        <v>3</v>
      </c>
      <c r="EA269" s="2" t="s">
        <v>3</v>
      </c>
      <c r="EB269" s="2" t="s">
        <v>3</v>
      </c>
      <c r="EC269" s="2" t="s">
        <v>3</v>
      </c>
      <c r="ED269" s="2"/>
      <c r="EE269" s="2">
        <v>51696198</v>
      </c>
      <c r="EF269" s="2">
        <v>30</v>
      </c>
      <c r="EG269" s="2" t="s">
        <v>23</v>
      </c>
      <c r="EH269" s="2">
        <v>0</v>
      </c>
      <c r="EI269" s="2" t="s">
        <v>3</v>
      </c>
      <c r="EJ269" s="2">
        <v>1</v>
      </c>
      <c r="EK269" s="2">
        <v>159</v>
      </c>
      <c r="EL269" s="2" t="s">
        <v>359</v>
      </c>
      <c r="EM269" s="2" t="s">
        <v>360</v>
      </c>
      <c r="EN269" s="2"/>
      <c r="EO269" s="2" t="s">
        <v>26</v>
      </c>
      <c r="EP269" s="2"/>
      <c r="EQ269" s="2">
        <v>131072</v>
      </c>
      <c r="ER269" s="2">
        <v>434.21</v>
      </c>
      <c r="ES269" s="2">
        <v>210.11</v>
      </c>
      <c r="ET269" s="2">
        <v>116.31</v>
      </c>
      <c r="EU269" s="2">
        <v>10.32</v>
      </c>
      <c r="EV269" s="2">
        <v>107.79</v>
      </c>
      <c r="EW269" s="2">
        <v>8.9600000000000009</v>
      </c>
      <c r="EX269" s="2">
        <v>0</v>
      </c>
      <c r="EY269" s="2">
        <v>0</v>
      </c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>
        <v>0</v>
      </c>
      <c r="FR269" s="2">
        <v>0</v>
      </c>
      <c r="FS269" s="2">
        <v>0</v>
      </c>
      <c r="FT269" s="2"/>
      <c r="FU269" s="2"/>
      <c r="FV269" s="2"/>
      <c r="FW269" s="2"/>
      <c r="FX269" s="2">
        <v>134</v>
      </c>
      <c r="FY269" s="2">
        <v>83</v>
      </c>
      <c r="FZ269" s="2"/>
      <c r="GA269" s="2" t="s">
        <v>3</v>
      </c>
      <c r="GB269" s="2"/>
      <c r="GC269" s="2"/>
      <c r="GD269" s="2">
        <v>0</v>
      </c>
      <c r="GE269" s="2"/>
      <c r="GF269" s="2">
        <v>-28234376</v>
      </c>
      <c r="GG269" s="2">
        <v>2</v>
      </c>
      <c r="GH269" s="2">
        <v>1</v>
      </c>
      <c r="GI269" s="2">
        <v>-2</v>
      </c>
      <c r="GJ269" s="2">
        <v>0</v>
      </c>
      <c r="GK269" s="2">
        <f>ROUND(R269*(R12)/100,2)</f>
        <v>0</v>
      </c>
      <c r="GL269" s="2">
        <f t="shared" si="241"/>
        <v>0</v>
      </c>
      <c r="GM269" s="2">
        <f t="shared" si="242"/>
        <v>0</v>
      </c>
      <c r="GN269" s="2">
        <f t="shared" si="243"/>
        <v>0</v>
      </c>
      <c r="GO269" s="2">
        <f t="shared" si="244"/>
        <v>0</v>
      </c>
      <c r="GP269" s="2">
        <f t="shared" si="245"/>
        <v>0</v>
      </c>
      <c r="GQ269" s="2"/>
      <c r="GR269" s="2">
        <v>0</v>
      </c>
      <c r="GS269" s="2">
        <v>0</v>
      </c>
      <c r="GT269" s="2">
        <v>0</v>
      </c>
      <c r="GU269" s="2" t="s">
        <v>3</v>
      </c>
      <c r="GV269" s="2">
        <f t="shared" si="246"/>
        <v>0</v>
      </c>
      <c r="GW269" s="2">
        <v>1</v>
      </c>
      <c r="GX269" s="2">
        <f t="shared" si="247"/>
        <v>0</v>
      </c>
      <c r="GY269" s="2"/>
      <c r="GZ269" s="2"/>
      <c r="HA269" s="2">
        <v>0</v>
      </c>
      <c r="HB269" s="2">
        <v>0</v>
      </c>
      <c r="HC269" s="2">
        <f t="shared" si="248"/>
        <v>0</v>
      </c>
      <c r="HD269" s="2"/>
      <c r="HE269" s="2" t="s">
        <v>3</v>
      </c>
      <c r="HF269" s="2" t="s">
        <v>3</v>
      </c>
      <c r="HG269" s="2"/>
      <c r="HH269" s="2"/>
      <c r="HI269" s="2"/>
      <c r="HJ269" s="2"/>
      <c r="HK269" s="2"/>
      <c r="HL269" s="2"/>
      <c r="HM269" s="2" t="s">
        <v>3</v>
      </c>
      <c r="HN269" s="2" t="s">
        <v>3</v>
      </c>
      <c r="HO269" s="2" t="s">
        <v>3</v>
      </c>
      <c r="HP269" s="2" t="s">
        <v>3</v>
      </c>
      <c r="HQ269" s="2" t="s">
        <v>3</v>
      </c>
      <c r="HR269" s="2"/>
      <c r="HS269" s="2">
        <v>0</v>
      </c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>
        <v>0</v>
      </c>
      <c r="IL269" s="2"/>
      <c r="IM269" s="2"/>
      <c r="IN269" s="2"/>
      <c r="IO269" s="2"/>
      <c r="IP269" s="2"/>
      <c r="IQ269" s="2"/>
      <c r="IR269" s="2"/>
      <c r="IS269" s="2"/>
      <c r="IT269" s="2"/>
      <c r="IU269" s="2"/>
    </row>
    <row r="270" spans="1:255" x14ac:dyDescent="0.2">
      <c r="A270">
        <v>17</v>
      </c>
      <c r="B270">
        <v>1</v>
      </c>
      <c r="C270">
        <f>ROW(SmtRes!A44)</f>
        <v>44</v>
      </c>
      <c r="D270">
        <f>ROW(EtalonRes!A524)</f>
        <v>524</v>
      </c>
      <c r="E270" t="s">
        <v>355</v>
      </c>
      <c r="F270" t="s">
        <v>356</v>
      </c>
      <c r="G270" t="s">
        <v>357</v>
      </c>
      <c r="H270" t="s">
        <v>95</v>
      </c>
      <c r="I270">
        <v>0</v>
      </c>
      <c r="J270">
        <v>0</v>
      </c>
      <c r="K270">
        <v>0</v>
      </c>
      <c r="O270">
        <f t="shared" si="214"/>
        <v>0</v>
      </c>
      <c r="P270">
        <f t="shared" si="215"/>
        <v>0</v>
      </c>
      <c r="Q270">
        <f>(ROUND((ROUND((((ET270*1.05))*AV270*I270),2)*BB270),2)+ROUND((ROUND(((AE270-((EU270*1.05)))*AV270*I270),2)*BS270),2))</f>
        <v>0</v>
      </c>
      <c r="R270">
        <f t="shared" si="217"/>
        <v>0</v>
      </c>
      <c r="S270">
        <f t="shared" si="218"/>
        <v>0</v>
      </c>
      <c r="T270">
        <f t="shared" si="219"/>
        <v>0</v>
      </c>
      <c r="U270">
        <f t="shared" si="220"/>
        <v>0</v>
      </c>
      <c r="V270">
        <f t="shared" si="221"/>
        <v>0</v>
      </c>
      <c r="W270">
        <f t="shared" si="222"/>
        <v>0</v>
      </c>
      <c r="X270">
        <f t="shared" si="223"/>
        <v>0</v>
      </c>
      <c r="Y270">
        <f t="shared" si="224"/>
        <v>0</v>
      </c>
      <c r="AA270">
        <v>56610029</v>
      </c>
      <c r="AB270">
        <f t="shared" si="225"/>
        <v>445.41500000000002</v>
      </c>
      <c r="AC270">
        <f t="shared" si="226"/>
        <v>210.11</v>
      </c>
      <c r="AD270">
        <f>ROUND(((((ET270*1.05))-((EU270*1.05)))+AE270),6)</f>
        <v>122.1255</v>
      </c>
      <c r="AE270">
        <f>ROUND(((EU270*1.05)),6)</f>
        <v>10.836</v>
      </c>
      <c r="AF270">
        <f>ROUND(((EV270*1.05)),6)</f>
        <v>113.1795</v>
      </c>
      <c r="AG270">
        <f t="shared" si="229"/>
        <v>0</v>
      </c>
      <c r="AH270">
        <f>((EW270*1.05))</f>
        <v>9.4080000000000013</v>
      </c>
      <c r="AI270">
        <f>((EX270*1.05))</f>
        <v>0</v>
      </c>
      <c r="AJ270">
        <f t="shared" si="231"/>
        <v>0</v>
      </c>
      <c r="AK270">
        <v>434.21</v>
      </c>
      <c r="AL270">
        <v>210.11</v>
      </c>
      <c r="AM270">
        <v>116.31</v>
      </c>
      <c r="AN270">
        <v>10.32</v>
      </c>
      <c r="AO270">
        <v>107.79</v>
      </c>
      <c r="AP270">
        <v>0</v>
      </c>
      <c r="AQ270">
        <v>8.9600000000000009</v>
      </c>
      <c r="AR270">
        <v>0</v>
      </c>
      <c r="AS270">
        <v>0</v>
      </c>
      <c r="AT270">
        <v>109</v>
      </c>
      <c r="AU270">
        <v>41</v>
      </c>
      <c r="AV270">
        <v>1.0469999999999999</v>
      </c>
      <c r="AW270">
        <v>1</v>
      </c>
      <c r="AZ270">
        <v>1</v>
      </c>
      <c r="BA270">
        <v>34.51</v>
      </c>
      <c r="BB270">
        <v>11.89</v>
      </c>
      <c r="BC270">
        <v>14.55</v>
      </c>
      <c r="BD270" t="s">
        <v>3</v>
      </c>
      <c r="BE270" t="s">
        <v>3</v>
      </c>
      <c r="BF270" t="s">
        <v>3</v>
      </c>
      <c r="BG270" t="s">
        <v>3</v>
      </c>
      <c r="BH270">
        <v>0</v>
      </c>
      <c r="BI270">
        <v>1</v>
      </c>
      <c r="BJ270" t="s">
        <v>358</v>
      </c>
      <c r="BM270">
        <v>159</v>
      </c>
      <c r="BN270">
        <v>0</v>
      </c>
      <c r="BO270" t="s">
        <v>356</v>
      </c>
      <c r="BP270">
        <v>1</v>
      </c>
      <c r="BQ270">
        <v>30</v>
      </c>
      <c r="BR270">
        <v>0</v>
      </c>
      <c r="BS270">
        <v>34.51</v>
      </c>
      <c r="BT270">
        <v>1</v>
      </c>
      <c r="BU270">
        <v>1</v>
      </c>
      <c r="BV270">
        <v>1</v>
      </c>
      <c r="BW270">
        <v>1</v>
      </c>
      <c r="BX270">
        <v>1</v>
      </c>
      <c r="BY270" t="s">
        <v>3</v>
      </c>
      <c r="BZ270">
        <v>109</v>
      </c>
      <c r="CA270">
        <v>41</v>
      </c>
      <c r="CB270" t="s">
        <v>3</v>
      </c>
      <c r="CE270">
        <v>30</v>
      </c>
      <c r="CF270">
        <v>0</v>
      </c>
      <c r="CG270">
        <v>0</v>
      </c>
      <c r="CM270">
        <v>0</v>
      </c>
      <c r="CN270" t="s">
        <v>708</v>
      </c>
      <c r="CO270">
        <v>0</v>
      </c>
      <c r="CP270">
        <f t="shared" si="232"/>
        <v>0</v>
      </c>
      <c r="CQ270">
        <f t="shared" si="233"/>
        <v>3057.1</v>
      </c>
      <c r="CR270">
        <f>(ROUND((ROUND((((ET270*1.05))*AV270*1),2)*BB270),2)+ROUND((ROUND(((AE270-((EU270*1.05)))*AV270*1),2)*BS270),2))</f>
        <v>1520.37</v>
      </c>
      <c r="CS270">
        <f t="shared" si="235"/>
        <v>391.69</v>
      </c>
      <c r="CT270">
        <f t="shared" si="236"/>
        <v>4089.44</v>
      </c>
      <c r="CU270">
        <f t="shared" si="237"/>
        <v>0</v>
      </c>
      <c r="CV270">
        <f t="shared" si="238"/>
        <v>9.8501760000000012</v>
      </c>
      <c r="CW270">
        <f t="shared" si="239"/>
        <v>0</v>
      </c>
      <c r="CX270">
        <f t="shared" si="240"/>
        <v>0</v>
      </c>
      <c r="CY270">
        <f>S270*(BZ270/100)</f>
        <v>0</v>
      </c>
      <c r="CZ270">
        <f>S270*(CA270/100)</f>
        <v>0</v>
      </c>
      <c r="DB270">
        <v>112</v>
      </c>
      <c r="DC270" t="s">
        <v>3</v>
      </c>
      <c r="DD270" t="s">
        <v>3</v>
      </c>
      <c r="DE270" t="s">
        <v>22</v>
      </c>
      <c r="DF270" t="s">
        <v>22</v>
      </c>
      <c r="DG270" t="s">
        <v>22</v>
      </c>
      <c r="DH270" t="s">
        <v>3</v>
      </c>
      <c r="DI270" t="s">
        <v>22</v>
      </c>
      <c r="DJ270" t="s">
        <v>22</v>
      </c>
      <c r="DK270" t="s">
        <v>3</v>
      </c>
      <c r="DL270" t="s">
        <v>3</v>
      </c>
      <c r="DM270" t="s">
        <v>3</v>
      </c>
      <c r="DN270">
        <v>134</v>
      </c>
      <c r="DO270">
        <v>83</v>
      </c>
      <c r="DP270">
        <v>1.0469999999999999</v>
      </c>
      <c r="DQ270">
        <v>1</v>
      </c>
      <c r="DU270">
        <v>1013</v>
      </c>
      <c r="DV270" t="s">
        <v>95</v>
      </c>
      <c r="DW270" t="s">
        <v>95</v>
      </c>
      <c r="DX270">
        <v>1</v>
      </c>
      <c r="DZ270" t="s">
        <v>3</v>
      </c>
      <c r="EA270" t="s">
        <v>3</v>
      </c>
      <c r="EB270" t="s">
        <v>3</v>
      </c>
      <c r="EC270" t="s">
        <v>3</v>
      </c>
      <c r="EE270">
        <v>51696198</v>
      </c>
      <c r="EF270">
        <v>30</v>
      </c>
      <c r="EG270" t="s">
        <v>23</v>
      </c>
      <c r="EH270">
        <v>0</v>
      </c>
      <c r="EI270" t="s">
        <v>3</v>
      </c>
      <c r="EJ270">
        <v>1</v>
      </c>
      <c r="EK270">
        <v>159</v>
      </c>
      <c r="EL270" t="s">
        <v>359</v>
      </c>
      <c r="EM270" t="s">
        <v>360</v>
      </c>
      <c r="EO270" t="s">
        <v>26</v>
      </c>
      <c r="EQ270">
        <v>131072</v>
      </c>
      <c r="ER270">
        <v>434.21</v>
      </c>
      <c r="ES270">
        <v>210.11</v>
      </c>
      <c r="ET270">
        <v>116.31</v>
      </c>
      <c r="EU270">
        <v>10.32</v>
      </c>
      <c r="EV270">
        <v>107.79</v>
      </c>
      <c r="EW270">
        <v>8.9600000000000009</v>
      </c>
      <c r="EX270">
        <v>0</v>
      </c>
      <c r="EY270">
        <v>0</v>
      </c>
      <c r="FQ270">
        <v>0</v>
      </c>
      <c r="FR270">
        <v>0</v>
      </c>
      <c r="FS270">
        <v>0</v>
      </c>
      <c r="FX270">
        <v>134</v>
      </c>
      <c r="FY270">
        <v>83</v>
      </c>
      <c r="GA270" t="s">
        <v>3</v>
      </c>
      <c r="GD270">
        <v>0</v>
      </c>
      <c r="GF270">
        <v>-28234376</v>
      </c>
      <c r="GG270">
        <v>2</v>
      </c>
      <c r="GH270">
        <v>1</v>
      </c>
      <c r="GI270">
        <v>2</v>
      </c>
      <c r="GJ270">
        <v>0</v>
      </c>
      <c r="GK270">
        <f>ROUND(R270*(S12)/100,2)</f>
        <v>0</v>
      </c>
      <c r="GL270">
        <f t="shared" si="241"/>
        <v>0</v>
      </c>
      <c r="GM270">
        <f t="shared" si="242"/>
        <v>0</v>
      </c>
      <c r="GN270">
        <f t="shared" si="243"/>
        <v>0</v>
      </c>
      <c r="GO270">
        <f t="shared" si="244"/>
        <v>0</v>
      </c>
      <c r="GP270">
        <f t="shared" si="245"/>
        <v>0</v>
      </c>
      <c r="GR270">
        <v>0</v>
      </c>
      <c r="GS270">
        <v>3</v>
      </c>
      <c r="GT270">
        <v>0</v>
      </c>
      <c r="GU270" t="s">
        <v>3</v>
      </c>
      <c r="GV270">
        <f t="shared" si="246"/>
        <v>0</v>
      </c>
      <c r="GW270">
        <v>1</v>
      </c>
      <c r="GX270">
        <f t="shared" si="247"/>
        <v>0</v>
      </c>
      <c r="HA270">
        <v>0</v>
      </c>
      <c r="HB270">
        <v>0</v>
      </c>
      <c r="HC270">
        <f t="shared" si="248"/>
        <v>0</v>
      </c>
      <c r="HE270" t="s">
        <v>3</v>
      </c>
      <c r="HF270" t="s">
        <v>3</v>
      </c>
      <c r="HM270" t="s">
        <v>3</v>
      </c>
      <c r="HN270" t="s">
        <v>3</v>
      </c>
      <c r="HO270" t="s">
        <v>3</v>
      </c>
      <c r="HP270" t="s">
        <v>3</v>
      </c>
      <c r="HQ270" t="s">
        <v>3</v>
      </c>
      <c r="HS270">
        <v>0</v>
      </c>
      <c r="IK270">
        <v>0</v>
      </c>
    </row>
    <row r="271" spans="1:255" x14ac:dyDescent="0.2">
      <c r="A271" s="2">
        <v>18</v>
      </c>
      <c r="B271" s="2">
        <v>1</v>
      </c>
      <c r="C271" s="2">
        <v>43</v>
      </c>
      <c r="D271" s="2"/>
      <c r="E271" s="2" t="s">
        <v>361</v>
      </c>
      <c r="F271" s="2" t="s">
        <v>316</v>
      </c>
      <c r="G271" s="2" t="s">
        <v>317</v>
      </c>
      <c r="H271" s="2" t="s">
        <v>318</v>
      </c>
      <c r="I271" s="2">
        <f>I269*J271</f>
        <v>0</v>
      </c>
      <c r="J271" s="2">
        <v>10.7</v>
      </c>
      <c r="K271" s="2">
        <v>10.7</v>
      </c>
      <c r="L271" s="2"/>
      <c r="M271" s="2"/>
      <c r="N271" s="2"/>
      <c r="O271" s="2">
        <f t="shared" si="214"/>
        <v>0</v>
      </c>
      <c r="P271" s="2">
        <f t="shared" si="215"/>
        <v>0</v>
      </c>
      <c r="Q271" s="2">
        <f>(ROUND((ROUND(((ET271)*AV271*I271),2)*BB271),2)+ROUND((ROUND(((AE271-(EU271))*AV271*I271),2)*BS271),2))</f>
        <v>0</v>
      </c>
      <c r="R271" s="2">
        <f t="shared" si="217"/>
        <v>0</v>
      </c>
      <c r="S271" s="2">
        <f t="shared" si="218"/>
        <v>0</v>
      </c>
      <c r="T271" s="2">
        <f t="shared" si="219"/>
        <v>0</v>
      </c>
      <c r="U271" s="2">
        <f t="shared" si="220"/>
        <v>0</v>
      </c>
      <c r="V271" s="2">
        <f t="shared" si="221"/>
        <v>0</v>
      </c>
      <c r="W271" s="2">
        <f t="shared" si="222"/>
        <v>0</v>
      </c>
      <c r="X271" s="2">
        <f t="shared" si="223"/>
        <v>0</v>
      </c>
      <c r="Y271" s="2">
        <f t="shared" si="224"/>
        <v>0</v>
      </c>
      <c r="Z271" s="2"/>
      <c r="AA271" s="2">
        <v>56622490</v>
      </c>
      <c r="AB271" s="2">
        <f t="shared" si="225"/>
        <v>296.7</v>
      </c>
      <c r="AC271" s="2">
        <f t="shared" si="226"/>
        <v>296.7</v>
      </c>
      <c r="AD271" s="2">
        <f>ROUND((((ET271)-(EU271))+AE271),6)</f>
        <v>0</v>
      </c>
      <c r="AE271" s="2">
        <f>ROUND((EU271),6)</f>
        <v>0</v>
      </c>
      <c r="AF271" s="2">
        <f>ROUND((EV271),6)</f>
        <v>0</v>
      </c>
      <c r="AG271" s="2">
        <f t="shared" si="229"/>
        <v>0</v>
      </c>
      <c r="AH271" s="2">
        <f>(EW271)</f>
        <v>0</v>
      </c>
      <c r="AI271" s="2">
        <f>(EX271)</f>
        <v>0</v>
      </c>
      <c r="AJ271" s="2">
        <f t="shared" si="231"/>
        <v>0</v>
      </c>
      <c r="AK271" s="2">
        <v>296.7</v>
      </c>
      <c r="AL271" s="2">
        <v>296.7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134</v>
      </c>
      <c r="AU271" s="2">
        <v>83</v>
      </c>
      <c r="AV271" s="2">
        <v>1.0469999999999999</v>
      </c>
      <c r="AW271" s="2">
        <v>1</v>
      </c>
      <c r="AX271" s="2"/>
      <c r="AY271" s="2"/>
      <c r="AZ271" s="2">
        <v>1</v>
      </c>
      <c r="BA271" s="2">
        <v>1</v>
      </c>
      <c r="BB271" s="2">
        <v>1</v>
      </c>
      <c r="BC271" s="2">
        <v>1</v>
      </c>
      <c r="BD271" s="2" t="s">
        <v>3</v>
      </c>
      <c r="BE271" s="2" t="s">
        <v>3</v>
      </c>
      <c r="BF271" s="2" t="s">
        <v>3</v>
      </c>
      <c r="BG271" s="2" t="s">
        <v>3</v>
      </c>
      <c r="BH271" s="2">
        <v>3</v>
      </c>
      <c r="BI271" s="2">
        <v>1</v>
      </c>
      <c r="BJ271" s="2" t="s">
        <v>319</v>
      </c>
      <c r="BK271" s="2"/>
      <c r="BL271" s="2"/>
      <c r="BM271" s="2">
        <v>159</v>
      </c>
      <c r="BN271" s="2">
        <v>0</v>
      </c>
      <c r="BO271" s="2" t="s">
        <v>3</v>
      </c>
      <c r="BP271" s="2">
        <v>0</v>
      </c>
      <c r="BQ271" s="2">
        <v>30</v>
      </c>
      <c r="BR271" s="2">
        <v>0</v>
      </c>
      <c r="BS271" s="2">
        <v>1</v>
      </c>
      <c r="BT271" s="2">
        <v>1</v>
      </c>
      <c r="BU271" s="2">
        <v>1</v>
      </c>
      <c r="BV271" s="2">
        <v>1</v>
      </c>
      <c r="BW271" s="2">
        <v>1</v>
      </c>
      <c r="BX271" s="2">
        <v>1</v>
      </c>
      <c r="BY271" s="2" t="s">
        <v>3</v>
      </c>
      <c r="BZ271" s="2">
        <v>134</v>
      </c>
      <c r="CA271" s="2">
        <v>83</v>
      </c>
      <c r="CB271" s="2" t="s">
        <v>3</v>
      </c>
      <c r="CC271" s="2"/>
      <c r="CD271" s="2"/>
      <c r="CE271" s="2">
        <v>30</v>
      </c>
      <c r="CF271" s="2">
        <v>0</v>
      </c>
      <c r="CG271" s="2">
        <v>0</v>
      </c>
      <c r="CH271" s="2"/>
      <c r="CI271" s="2"/>
      <c r="CJ271" s="2"/>
      <c r="CK271" s="2"/>
      <c r="CL271" s="2"/>
      <c r="CM271" s="2">
        <v>0</v>
      </c>
      <c r="CN271" s="2" t="s">
        <v>3</v>
      </c>
      <c r="CO271" s="2">
        <v>0</v>
      </c>
      <c r="CP271" s="2">
        <f t="shared" si="232"/>
        <v>0</v>
      </c>
      <c r="CQ271" s="2">
        <f t="shared" si="233"/>
        <v>296.7</v>
      </c>
      <c r="CR271" s="2">
        <f>(ROUND((ROUND(((ET271)*AV271*1),2)*BB271),2)+ROUND((ROUND(((AE271-(EU271))*AV271*1),2)*BS271),2))</f>
        <v>0</v>
      </c>
      <c r="CS271" s="2">
        <f t="shared" si="235"/>
        <v>0</v>
      </c>
      <c r="CT271" s="2">
        <f t="shared" si="236"/>
        <v>0</v>
      </c>
      <c r="CU271" s="2">
        <f t="shared" si="237"/>
        <v>0</v>
      </c>
      <c r="CV271" s="2">
        <f t="shared" si="238"/>
        <v>0</v>
      </c>
      <c r="CW271" s="2">
        <f t="shared" si="239"/>
        <v>0</v>
      </c>
      <c r="CX271" s="2">
        <f t="shared" si="240"/>
        <v>0</v>
      </c>
      <c r="CY271" s="2">
        <f>((S271*BZ271)/100)</f>
        <v>0</v>
      </c>
      <c r="CZ271" s="2">
        <f>((S271*CA271)/100)</f>
        <v>0</v>
      </c>
      <c r="DA271" s="2"/>
      <c r="DB271" s="2"/>
      <c r="DC271" s="2" t="s">
        <v>3</v>
      </c>
      <c r="DD271" s="2" t="s">
        <v>3</v>
      </c>
      <c r="DE271" s="2" t="s">
        <v>3</v>
      </c>
      <c r="DF271" s="2" t="s">
        <v>3</v>
      </c>
      <c r="DG271" s="2" t="s">
        <v>3</v>
      </c>
      <c r="DH271" s="2" t="s">
        <v>3</v>
      </c>
      <c r="DI271" s="2" t="s">
        <v>3</v>
      </c>
      <c r="DJ271" s="2" t="s">
        <v>3</v>
      </c>
      <c r="DK271" s="2" t="s">
        <v>3</v>
      </c>
      <c r="DL271" s="2" t="s">
        <v>3</v>
      </c>
      <c r="DM271" s="2" t="s">
        <v>3</v>
      </c>
      <c r="DN271" s="2">
        <v>0</v>
      </c>
      <c r="DO271" s="2">
        <v>0</v>
      </c>
      <c r="DP271" s="2">
        <v>1</v>
      </c>
      <c r="DQ271" s="2">
        <v>1</v>
      </c>
      <c r="DR271" s="2"/>
      <c r="DS271" s="2"/>
      <c r="DT271" s="2"/>
      <c r="DU271" s="2">
        <v>1009</v>
      </c>
      <c r="DV271" s="2" t="s">
        <v>318</v>
      </c>
      <c r="DW271" s="2" t="s">
        <v>318</v>
      </c>
      <c r="DX271" s="2">
        <v>1000</v>
      </c>
      <c r="DY271" s="2"/>
      <c r="DZ271" s="2" t="s">
        <v>3</v>
      </c>
      <c r="EA271" s="2" t="s">
        <v>3</v>
      </c>
      <c r="EB271" s="2" t="s">
        <v>3</v>
      </c>
      <c r="EC271" s="2" t="s">
        <v>3</v>
      </c>
      <c r="ED271" s="2"/>
      <c r="EE271" s="2">
        <v>51696198</v>
      </c>
      <c r="EF271" s="2">
        <v>30</v>
      </c>
      <c r="EG271" s="2" t="s">
        <v>23</v>
      </c>
      <c r="EH271" s="2">
        <v>0</v>
      </c>
      <c r="EI271" s="2" t="s">
        <v>3</v>
      </c>
      <c r="EJ271" s="2">
        <v>1</v>
      </c>
      <c r="EK271" s="2">
        <v>159</v>
      </c>
      <c r="EL271" s="2" t="s">
        <v>359</v>
      </c>
      <c r="EM271" s="2" t="s">
        <v>360</v>
      </c>
      <c r="EN271" s="2"/>
      <c r="EO271" s="2" t="s">
        <v>3</v>
      </c>
      <c r="EP271" s="2"/>
      <c r="EQ271" s="2">
        <v>0</v>
      </c>
      <c r="ER271" s="2">
        <v>296.7</v>
      </c>
      <c r="ES271" s="2">
        <v>296.7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>
        <v>0</v>
      </c>
      <c r="FR271" s="2">
        <v>0</v>
      </c>
      <c r="FS271" s="2">
        <v>0</v>
      </c>
      <c r="FT271" s="2"/>
      <c r="FU271" s="2"/>
      <c r="FV271" s="2"/>
      <c r="FW271" s="2"/>
      <c r="FX271" s="2">
        <v>134</v>
      </c>
      <c r="FY271" s="2">
        <v>83</v>
      </c>
      <c r="FZ271" s="2"/>
      <c r="GA271" s="2" t="s">
        <v>3</v>
      </c>
      <c r="GB271" s="2"/>
      <c r="GC271" s="2"/>
      <c r="GD271" s="2">
        <v>0</v>
      </c>
      <c r="GE271" s="2"/>
      <c r="GF271" s="2">
        <v>1855215121</v>
      </c>
      <c r="GG271" s="2">
        <v>2</v>
      </c>
      <c r="GH271" s="2">
        <v>1</v>
      </c>
      <c r="GI271" s="2">
        <v>-2</v>
      </c>
      <c r="GJ271" s="2">
        <v>0</v>
      </c>
      <c r="GK271" s="2">
        <f>ROUND(R271*(R12)/100,2)</f>
        <v>0</v>
      </c>
      <c r="GL271" s="2">
        <f t="shared" si="241"/>
        <v>0</v>
      </c>
      <c r="GM271" s="2">
        <f t="shared" si="242"/>
        <v>0</v>
      </c>
      <c r="GN271" s="2">
        <f t="shared" si="243"/>
        <v>0</v>
      </c>
      <c r="GO271" s="2">
        <f t="shared" si="244"/>
        <v>0</v>
      </c>
      <c r="GP271" s="2">
        <f t="shared" si="245"/>
        <v>0</v>
      </c>
      <c r="GQ271" s="2"/>
      <c r="GR271" s="2">
        <v>0</v>
      </c>
      <c r="GS271" s="2">
        <v>0</v>
      </c>
      <c r="GT271" s="2">
        <v>0</v>
      </c>
      <c r="GU271" s="2" t="s">
        <v>3</v>
      </c>
      <c r="GV271" s="2">
        <f t="shared" si="246"/>
        <v>0</v>
      </c>
      <c r="GW271" s="2">
        <v>1</v>
      </c>
      <c r="GX271" s="2">
        <f t="shared" si="247"/>
        <v>0</v>
      </c>
      <c r="GY271" s="2"/>
      <c r="GZ271" s="2"/>
      <c r="HA271" s="2">
        <v>0</v>
      </c>
      <c r="HB271" s="2">
        <v>0</v>
      </c>
      <c r="HC271" s="2">
        <f t="shared" si="248"/>
        <v>0</v>
      </c>
      <c r="HD271" s="2"/>
      <c r="HE271" s="2" t="s">
        <v>3</v>
      </c>
      <c r="HF271" s="2" t="s">
        <v>3</v>
      </c>
      <c r="HG271" s="2"/>
      <c r="HH271" s="2"/>
      <c r="HI271" s="2"/>
      <c r="HJ271" s="2"/>
      <c r="HK271" s="2"/>
      <c r="HL271" s="2"/>
      <c r="HM271" s="2" t="s">
        <v>3</v>
      </c>
      <c r="HN271" s="2" t="s">
        <v>3</v>
      </c>
      <c r="HO271" s="2" t="s">
        <v>3</v>
      </c>
      <c r="HP271" s="2" t="s">
        <v>3</v>
      </c>
      <c r="HQ271" s="2" t="s">
        <v>3</v>
      </c>
      <c r="HR271" s="2"/>
      <c r="HS271" s="2">
        <v>0</v>
      </c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>
        <v>0</v>
      </c>
      <c r="IL271" s="2"/>
      <c r="IM271" s="2"/>
      <c r="IN271" s="2"/>
      <c r="IO271" s="2"/>
      <c r="IP271" s="2"/>
      <c r="IQ271" s="2"/>
      <c r="IR271" s="2"/>
      <c r="IS271" s="2"/>
      <c r="IT271" s="2"/>
      <c r="IU271" s="2"/>
    </row>
    <row r="272" spans="1:255" x14ac:dyDescent="0.2">
      <c r="A272">
        <v>18</v>
      </c>
      <c r="B272">
        <v>1</v>
      </c>
      <c r="C272">
        <v>44</v>
      </c>
      <c r="E272" t="s">
        <v>361</v>
      </c>
      <c r="F272" t="s">
        <v>316</v>
      </c>
      <c r="G272" t="s">
        <v>317</v>
      </c>
      <c r="H272" t="s">
        <v>318</v>
      </c>
      <c r="I272">
        <f>I270*J272</f>
        <v>0</v>
      </c>
      <c r="J272">
        <v>10.7</v>
      </c>
      <c r="K272">
        <v>10.7</v>
      </c>
      <c r="O272">
        <f t="shared" si="214"/>
        <v>0</v>
      </c>
      <c r="P272">
        <f t="shared" si="215"/>
        <v>0</v>
      </c>
      <c r="Q272">
        <f>(ROUND((ROUND(((ET272)*AV272*I272),2)*BB272),2)+ROUND((ROUND(((AE272-(EU272))*AV272*I272),2)*BS272),2))</f>
        <v>0</v>
      </c>
      <c r="R272">
        <f t="shared" si="217"/>
        <v>0</v>
      </c>
      <c r="S272">
        <f t="shared" si="218"/>
        <v>0</v>
      </c>
      <c r="T272">
        <f t="shared" si="219"/>
        <v>0</v>
      </c>
      <c r="U272">
        <f t="shared" si="220"/>
        <v>0</v>
      </c>
      <c r="V272">
        <f t="shared" si="221"/>
        <v>0</v>
      </c>
      <c r="W272">
        <f t="shared" si="222"/>
        <v>0</v>
      </c>
      <c r="X272">
        <f t="shared" si="223"/>
        <v>0</v>
      </c>
      <c r="Y272">
        <f t="shared" si="224"/>
        <v>0</v>
      </c>
      <c r="AA272">
        <v>56610029</v>
      </c>
      <c r="AB272">
        <f t="shared" si="225"/>
        <v>296.7</v>
      </c>
      <c r="AC272">
        <f t="shared" si="226"/>
        <v>296.7</v>
      </c>
      <c r="AD272">
        <f>ROUND((((ET272)-(EU272))+AE272),6)</f>
        <v>0</v>
      </c>
      <c r="AE272">
        <f>ROUND((EU272),6)</f>
        <v>0</v>
      </c>
      <c r="AF272">
        <f>ROUND((EV272),6)</f>
        <v>0</v>
      </c>
      <c r="AG272">
        <f t="shared" si="229"/>
        <v>0</v>
      </c>
      <c r="AH272">
        <f>(EW272)</f>
        <v>0</v>
      </c>
      <c r="AI272">
        <f>(EX272)</f>
        <v>0</v>
      </c>
      <c r="AJ272">
        <f t="shared" si="231"/>
        <v>0</v>
      </c>
      <c r="AK272">
        <v>296.7</v>
      </c>
      <c r="AL272">
        <v>296.7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1</v>
      </c>
      <c r="AZ272">
        <v>1</v>
      </c>
      <c r="BA272">
        <v>1</v>
      </c>
      <c r="BB272">
        <v>1</v>
      </c>
      <c r="BC272">
        <v>15.39</v>
      </c>
      <c r="BD272" t="s">
        <v>3</v>
      </c>
      <c r="BE272" t="s">
        <v>3</v>
      </c>
      <c r="BF272" t="s">
        <v>3</v>
      </c>
      <c r="BG272" t="s">
        <v>3</v>
      </c>
      <c r="BH272">
        <v>3</v>
      </c>
      <c r="BI272">
        <v>1</v>
      </c>
      <c r="BJ272" t="s">
        <v>319</v>
      </c>
      <c r="BM272">
        <v>159</v>
      </c>
      <c r="BN272">
        <v>0</v>
      </c>
      <c r="BO272" t="s">
        <v>316</v>
      </c>
      <c r="BP272">
        <v>1</v>
      </c>
      <c r="BQ272">
        <v>30</v>
      </c>
      <c r="BR272">
        <v>0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 t="s">
        <v>3</v>
      </c>
      <c r="BZ272">
        <v>0</v>
      </c>
      <c r="CA272">
        <v>0</v>
      </c>
      <c r="CB272" t="s">
        <v>3</v>
      </c>
      <c r="CE272">
        <v>30</v>
      </c>
      <c r="CF272">
        <v>0</v>
      </c>
      <c r="CG272">
        <v>0</v>
      </c>
      <c r="CM272">
        <v>0</v>
      </c>
      <c r="CN272" t="s">
        <v>3</v>
      </c>
      <c r="CO272">
        <v>0</v>
      </c>
      <c r="CP272">
        <f t="shared" si="232"/>
        <v>0</v>
      </c>
      <c r="CQ272">
        <f t="shared" si="233"/>
        <v>4566.21</v>
      </c>
      <c r="CR272">
        <f>(ROUND((ROUND(((ET272)*AV272*1),2)*BB272),2)+ROUND((ROUND(((AE272-(EU272))*AV272*1),2)*BS272),2))</f>
        <v>0</v>
      </c>
      <c r="CS272">
        <f t="shared" si="235"/>
        <v>0</v>
      </c>
      <c r="CT272">
        <f t="shared" si="236"/>
        <v>0</v>
      </c>
      <c r="CU272">
        <f t="shared" si="237"/>
        <v>0</v>
      </c>
      <c r="CV272">
        <f t="shared" si="238"/>
        <v>0</v>
      </c>
      <c r="CW272">
        <f t="shared" si="239"/>
        <v>0</v>
      </c>
      <c r="CX272">
        <f t="shared" si="240"/>
        <v>0</v>
      </c>
      <c r="CY272">
        <f>S272*(BZ272/100)</f>
        <v>0</v>
      </c>
      <c r="CZ272">
        <f>S272*(CA272/100)</f>
        <v>0</v>
      </c>
      <c r="DC272" t="s">
        <v>3</v>
      </c>
      <c r="DD272" t="s">
        <v>3</v>
      </c>
      <c r="DE272" t="s">
        <v>3</v>
      </c>
      <c r="DF272" t="s">
        <v>3</v>
      </c>
      <c r="DG272" t="s">
        <v>3</v>
      </c>
      <c r="DH272" t="s">
        <v>3</v>
      </c>
      <c r="DI272" t="s">
        <v>3</v>
      </c>
      <c r="DJ272" t="s">
        <v>3</v>
      </c>
      <c r="DK272" t="s">
        <v>3</v>
      </c>
      <c r="DL272" t="s">
        <v>3</v>
      </c>
      <c r="DM272" t="s">
        <v>3</v>
      </c>
      <c r="DN272">
        <v>134</v>
      </c>
      <c r="DO272">
        <v>83</v>
      </c>
      <c r="DP272">
        <v>1.0469999999999999</v>
      </c>
      <c r="DQ272">
        <v>1</v>
      </c>
      <c r="DU272">
        <v>1009</v>
      </c>
      <c r="DV272" t="s">
        <v>318</v>
      </c>
      <c r="DW272" t="s">
        <v>318</v>
      </c>
      <c r="DX272">
        <v>1000</v>
      </c>
      <c r="DZ272" t="s">
        <v>3</v>
      </c>
      <c r="EA272" t="s">
        <v>3</v>
      </c>
      <c r="EB272" t="s">
        <v>3</v>
      </c>
      <c r="EC272" t="s">
        <v>3</v>
      </c>
      <c r="EE272">
        <v>51696198</v>
      </c>
      <c r="EF272">
        <v>30</v>
      </c>
      <c r="EG272" t="s">
        <v>23</v>
      </c>
      <c r="EH272">
        <v>0</v>
      </c>
      <c r="EI272" t="s">
        <v>3</v>
      </c>
      <c r="EJ272">
        <v>1</v>
      </c>
      <c r="EK272">
        <v>159</v>
      </c>
      <c r="EL272" t="s">
        <v>359</v>
      </c>
      <c r="EM272" t="s">
        <v>360</v>
      </c>
      <c r="EO272" t="s">
        <v>3</v>
      </c>
      <c r="EQ272">
        <v>0</v>
      </c>
      <c r="ER272">
        <v>296.7</v>
      </c>
      <c r="ES272">
        <v>296.7</v>
      </c>
      <c r="ET272">
        <v>0</v>
      </c>
      <c r="EU272">
        <v>0</v>
      </c>
      <c r="EV272">
        <v>0</v>
      </c>
      <c r="EW272">
        <v>0</v>
      </c>
      <c r="EX272">
        <v>0</v>
      </c>
      <c r="FQ272">
        <v>0</v>
      </c>
      <c r="FR272">
        <v>0</v>
      </c>
      <c r="FS272">
        <v>0</v>
      </c>
      <c r="FX272">
        <v>134</v>
      </c>
      <c r="FY272">
        <v>83</v>
      </c>
      <c r="GA272" t="s">
        <v>3</v>
      </c>
      <c r="GD272">
        <v>0</v>
      </c>
      <c r="GF272">
        <v>1855215121</v>
      </c>
      <c r="GG272">
        <v>2</v>
      </c>
      <c r="GH272">
        <v>1</v>
      </c>
      <c r="GI272">
        <v>2</v>
      </c>
      <c r="GJ272">
        <v>0</v>
      </c>
      <c r="GK272">
        <f>ROUND(R272*(S12)/100,2)</f>
        <v>0</v>
      </c>
      <c r="GL272">
        <f t="shared" si="241"/>
        <v>0</v>
      </c>
      <c r="GM272">
        <f t="shared" si="242"/>
        <v>0</v>
      </c>
      <c r="GN272">
        <f t="shared" si="243"/>
        <v>0</v>
      </c>
      <c r="GO272">
        <f t="shared" si="244"/>
        <v>0</v>
      </c>
      <c r="GP272">
        <f t="shared" si="245"/>
        <v>0</v>
      </c>
      <c r="GR272">
        <v>0</v>
      </c>
      <c r="GS272">
        <v>3</v>
      </c>
      <c r="GT272">
        <v>0</v>
      </c>
      <c r="GU272" t="s">
        <v>3</v>
      </c>
      <c r="GV272">
        <f t="shared" si="246"/>
        <v>0</v>
      </c>
      <c r="GW272">
        <v>1</v>
      </c>
      <c r="GX272">
        <f t="shared" si="247"/>
        <v>0</v>
      </c>
      <c r="HA272">
        <v>0</v>
      </c>
      <c r="HB272">
        <v>0</v>
      </c>
      <c r="HC272">
        <f t="shared" si="248"/>
        <v>0</v>
      </c>
      <c r="HE272" t="s">
        <v>3</v>
      </c>
      <c r="HF272" t="s">
        <v>3</v>
      </c>
      <c r="HM272" t="s">
        <v>3</v>
      </c>
      <c r="HN272" t="s">
        <v>3</v>
      </c>
      <c r="HO272" t="s">
        <v>3</v>
      </c>
      <c r="HP272" t="s">
        <v>3</v>
      </c>
      <c r="HQ272" t="s">
        <v>3</v>
      </c>
      <c r="HS272">
        <v>0</v>
      </c>
      <c r="IK272">
        <v>0</v>
      </c>
    </row>
    <row r="273" spans="1:255" x14ac:dyDescent="0.2">
      <c r="A273" s="2">
        <v>17</v>
      </c>
      <c r="B273" s="2">
        <v>1</v>
      </c>
      <c r="C273" s="2">
        <f>ROW(SmtRes!A45)</f>
        <v>45</v>
      </c>
      <c r="D273" s="2">
        <f>ROW(EtalonRes!A528)</f>
        <v>528</v>
      </c>
      <c r="E273" s="2" t="s">
        <v>362</v>
      </c>
      <c r="F273" s="2" t="s">
        <v>363</v>
      </c>
      <c r="G273" s="2" t="s">
        <v>364</v>
      </c>
      <c r="H273" s="2" t="s">
        <v>95</v>
      </c>
      <c r="I273" s="2">
        <v>0</v>
      </c>
      <c r="J273" s="2">
        <v>0</v>
      </c>
      <c r="K273" s="2">
        <v>0</v>
      </c>
      <c r="L273" s="2"/>
      <c r="M273" s="2"/>
      <c r="N273" s="2"/>
      <c r="O273" s="2">
        <f t="shared" si="214"/>
        <v>0</v>
      </c>
      <c r="P273" s="2">
        <f t="shared" si="215"/>
        <v>0</v>
      </c>
      <c r="Q273" s="2">
        <f>(ROUND((ROUND((((ET273*1.05))*AV273*I273),2)*BB273),2)+ROUND((ROUND(((AE273-((EU273*1.05)))*AV273*I273),2)*BS273),2))</f>
        <v>0</v>
      </c>
      <c r="R273" s="2">
        <f t="shared" si="217"/>
        <v>0</v>
      </c>
      <c r="S273" s="2">
        <f t="shared" si="218"/>
        <v>0</v>
      </c>
      <c r="T273" s="2">
        <f t="shared" si="219"/>
        <v>0</v>
      </c>
      <c r="U273" s="2">
        <f t="shared" si="220"/>
        <v>0</v>
      </c>
      <c r="V273" s="2">
        <f t="shared" si="221"/>
        <v>0</v>
      </c>
      <c r="W273" s="2">
        <f t="shared" si="222"/>
        <v>0</v>
      </c>
      <c r="X273" s="2">
        <f t="shared" si="223"/>
        <v>0</v>
      </c>
      <c r="Y273" s="2">
        <f t="shared" si="224"/>
        <v>0</v>
      </c>
      <c r="Z273" s="2"/>
      <c r="AA273" s="2">
        <v>56622490</v>
      </c>
      <c r="AB273" s="2">
        <f t="shared" si="225"/>
        <v>445.41500000000002</v>
      </c>
      <c r="AC273" s="2">
        <f t="shared" si="226"/>
        <v>210.11</v>
      </c>
      <c r="AD273" s="2">
        <f>ROUND(((((ET273*1.05))-((EU273*1.05)))+AE273),6)</f>
        <v>122.1255</v>
      </c>
      <c r="AE273" s="2">
        <f>ROUND(((EU273*1.05)),6)</f>
        <v>10.836</v>
      </c>
      <c r="AF273" s="2">
        <f>ROUND(((EV273*1.05)),6)</f>
        <v>113.1795</v>
      </c>
      <c r="AG273" s="2">
        <f t="shared" si="229"/>
        <v>0</v>
      </c>
      <c r="AH273" s="2">
        <f>((EW273*1.05))</f>
        <v>9.4080000000000013</v>
      </c>
      <c r="AI273" s="2">
        <f>((EX273*1.05))</f>
        <v>0</v>
      </c>
      <c r="AJ273" s="2">
        <f t="shared" si="231"/>
        <v>0</v>
      </c>
      <c r="AK273" s="2">
        <v>434.21</v>
      </c>
      <c r="AL273" s="2">
        <v>210.11</v>
      </c>
      <c r="AM273" s="2">
        <v>116.31</v>
      </c>
      <c r="AN273" s="2">
        <v>10.32</v>
      </c>
      <c r="AO273" s="2">
        <v>107.79</v>
      </c>
      <c r="AP273" s="2">
        <v>0</v>
      </c>
      <c r="AQ273" s="2">
        <v>8.9600000000000009</v>
      </c>
      <c r="AR273" s="2">
        <v>0</v>
      </c>
      <c r="AS273" s="2">
        <v>0</v>
      </c>
      <c r="AT273" s="2">
        <v>134</v>
      </c>
      <c r="AU273" s="2">
        <v>83</v>
      </c>
      <c r="AV273" s="2">
        <v>1.0469999999999999</v>
      </c>
      <c r="AW273" s="2">
        <v>1</v>
      </c>
      <c r="AX273" s="2"/>
      <c r="AY273" s="2"/>
      <c r="AZ273" s="2">
        <v>1</v>
      </c>
      <c r="BA273" s="2">
        <v>1</v>
      </c>
      <c r="BB273" s="2">
        <v>1</v>
      </c>
      <c r="BC273" s="2">
        <v>1</v>
      </c>
      <c r="BD273" s="2" t="s">
        <v>3</v>
      </c>
      <c r="BE273" s="2" t="s">
        <v>3</v>
      </c>
      <c r="BF273" s="2" t="s">
        <v>3</v>
      </c>
      <c r="BG273" s="2" t="s">
        <v>3</v>
      </c>
      <c r="BH273" s="2">
        <v>0</v>
      </c>
      <c r="BI273" s="2">
        <v>1</v>
      </c>
      <c r="BJ273" s="2" t="s">
        <v>365</v>
      </c>
      <c r="BK273" s="2"/>
      <c r="BL273" s="2"/>
      <c r="BM273" s="2">
        <v>159</v>
      </c>
      <c r="BN273" s="2">
        <v>0</v>
      </c>
      <c r="BO273" s="2" t="s">
        <v>3</v>
      </c>
      <c r="BP273" s="2">
        <v>0</v>
      </c>
      <c r="BQ273" s="2">
        <v>30</v>
      </c>
      <c r="BR273" s="2">
        <v>0</v>
      </c>
      <c r="BS273" s="2">
        <v>1</v>
      </c>
      <c r="BT273" s="2">
        <v>1</v>
      </c>
      <c r="BU273" s="2">
        <v>1</v>
      </c>
      <c r="BV273" s="2">
        <v>1</v>
      </c>
      <c r="BW273" s="2">
        <v>1</v>
      </c>
      <c r="BX273" s="2">
        <v>1</v>
      </c>
      <c r="BY273" s="2" t="s">
        <v>3</v>
      </c>
      <c r="BZ273" s="2">
        <v>134</v>
      </c>
      <c r="CA273" s="2">
        <v>83</v>
      </c>
      <c r="CB273" s="2" t="s">
        <v>3</v>
      </c>
      <c r="CC273" s="2"/>
      <c r="CD273" s="2"/>
      <c r="CE273" s="2">
        <v>30</v>
      </c>
      <c r="CF273" s="2">
        <v>0</v>
      </c>
      <c r="CG273" s="2">
        <v>0</v>
      </c>
      <c r="CH273" s="2"/>
      <c r="CI273" s="2"/>
      <c r="CJ273" s="2"/>
      <c r="CK273" s="2"/>
      <c r="CL273" s="2"/>
      <c r="CM273" s="2">
        <v>0</v>
      </c>
      <c r="CN273" s="2" t="s">
        <v>708</v>
      </c>
      <c r="CO273" s="2">
        <v>0</v>
      </c>
      <c r="CP273" s="2">
        <f t="shared" si="232"/>
        <v>0</v>
      </c>
      <c r="CQ273" s="2">
        <f t="shared" si="233"/>
        <v>210.11</v>
      </c>
      <c r="CR273" s="2">
        <f>(ROUND((ROUND((((ET273*1.05))*AV273*1),2)*BB273),2)+ROUND((ROUND(((AE273-((EU273*1.05)))*AV273*1),2)*BS273),2))</f>
        <v>127.87</v>
      </c>
      <c r="CS273" s="2">
        <f t="shared" si="235"/>
        <v>11.35</v>
      </c>
      <c r="CT273" s="2">
        <f t="shared" si="236"/>
        <v>118.5</v>
      </c>
      <c r="CU273" s="2">
        <f t="shared" si="237"/>
        <v>0</v>
      </c>
      <c r="CV273" s="2">
        <f t="shared" si="238"/>
        <v>9.8501760000000012</v>
      </c>
      <c r="CW273" s="2">
        <f t="shared" si="239"/>
        <v>0</v>
      </c>
      <c r="CX273" s="2">
        <f t="shared" si="240"/>
        <v>0</v>
      </c>
      <c r="CY273" s="2">
        <f>((S273*BZ273)/100)</f>
        <v>0</v>
      </c>
      <c r="CZ273" s="2">
        <f>((S273*CA273)/100)</f>
        <v>0</v>
      </c>
      <c r="DA273" s="2"/>
      <c r="DB273" s="2">
        <v>113</v>
      </c>
      <c r="DC273" s="2" t="s">
        <v>3</v>
      </c>
      <c r="DD273" s="2" t="s">
        <v>3</v>
      </c>
      <c r="DE273" s="2" t="s">
        <v>22</v>
      </c>
      <c r="DF273" s="2" t="s">
        <v>22</v>
      </c>
      <c r="DG273" s="2" t="s">
        <v>22</v>
      </c>
      <c r="DH273" s="2" t="s">
        <v>3</v>
      </c>
      <c r="DI273" s="2" t="s">
        <v>22</v>
      </c>
      <c r="DJ273" s="2" t="s">
        <v>22</v>
      </c>
      <c r="DK273" s="2" t="s">
        <v>3</v>
      </c>
      <c r="DL273" s="2" t="s">
        <v>3</v>
      </c>
      <c r="DM273" s="2" t="s">
        <v>3</v>
      </c>
      <c r="DN273" s="2">
        <v>0</v>
      </c>
      <c r="DO273" s="2">
        <v>0</v>
      </c>
      <c r="DP273" s="2">
        <v>1</v>
      </c>
      <c r="DQ273" s="2">
        <v>1</v>
      </c>
      <c r="DR273" s="2"/>
      <c r="DS273" s="2"/>
      <c r="DT273" s="2"/>
      <c r="DU273" s="2">
        <v>1013</v>
      </c>
      <c r="DV273" s="2" t="s">
        <v>95</v>
      </c>
      <c r="DW273" s="2" t="s">
        <v>95</v>
      </c>
      <c r="DX273" s="2">
        <v>1</v>
      </c>
      <c r="DY273" s="2"/>
      <c r="DZ273" s="2" t="s">
        <v>3</v>
      </c>
      <c r="EA273" s="2" t="s">
        <v>3</v>
      </c>
      <c r="EB273" s="2" t="s">
        <v>3</v>
      </c>
      <c r="EC273" s="2" t="s">
        <v>3</v>
      </c>
      <c r="ED273" s="2"/>
      <c r="EE273" s="2">
        <v>51696198</v>
      </c>
      <c r="EF273" s="2">
        <v>30</v>
      </c>
      <c r="EG273" s="2" t="s">
        <v>23</v>
      </c>
      <c r="EH273" s="2">
        <v>0</v>
      </c>
      <c r="EI273" s="2" t="s">
        <v>3</v>
      </c>
      <c r="EJ273" s="2">
        <v>1</v>
      </c>
      <c r="EK273" s="2">
        <v>159</v>
      </c>
      <c r="EL273" s="2" t="s">
        <v>359</v>
      </c>
      <c r="EM273" s="2" t="s">
        <v>360</v>
      </c>
      <c r="EN273" s="2"/>
      <c r="EO273" s="2" t="s">
        <v>26</v>
      </c>
      <c r="EP273" s="2"/>
      <c r="EQ273" s="2">
        <v>131072</v>
      </c>
      <c r="ER273" s="2">
        <v>434.21</v>
      </c>
      <c r="ES273" s="2">
        <v>210.11</v>
      </c>
      <c r="ET273" s="2">
        <v>116.31</v>
      </c>
      <c r="EU273" s="2">
        <v>10.32</v>
      </c>
      <c r="EV273" s="2">
        <v>107.79</v>
      </c>
      <c r="EW273" s="2">
        <v>8.9600000000000009</v>
      </c>
      <c r="EX273" s="2">
        <v>0</v>
      </c>
      <c r="EY273" s="2">
        <v>0</v>
      </c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>
        <v>0</v>
      </c>
      <c r="FR273" s="2">
        <v>0</v>
      </c>
      <c r="FS273" s="2">
        <v>0</v>
      </c>
      <c r="FT273" s="2"/>
      <c r="FU273" s="2"/>
      <c r="FV273" s="2"/>
      <c r="FW273" s="2"/>
      <c r="FX273" s="2">
        <v>134</v>
      </c>
      <c r="FY273" s="2">
        <v>83</v>
      </c>
      <c r="FZ273" s="2"/>
      <c r="GA273" s="2" t="s">
        <v>3</v>
      </c>
      <c r="GB273" s="2"/>
      <c r="GC273" s="2"/>
      <c r="GD273" s="2">
        <v>0</v>
      </c>
      <c r="GE273" s="2"/>
      <c r="GF273" s="2">
        <v>6860709</v>
      </c>
      <c r="GG273" s="2">
        <v>2</v>
      </c>
      <c r="GH273" s="2">
        <v>1</v>
      </c>
      <c r="GI273" s="2">
        <v>-2</v>
      </c>
      <c r="GJ273" s="2">
        <v>0</v>
      </c>
      <c r="GK273" s="2">
        <f>ROUND(R273*(R12)/100,2)</f>
        <v>0</v>
      </c>
      <c r="GL273" s="2">
        <f t="shared" si="241"/>
        <v>0</v>
      </c>
      <c r="GM273" s="2">
        <f t="shared" si="242"/>
        <v>0</v>
      </c>
      <c r="GN273" s="2">
        <f t="shared" si="243"/>
        <v>0</v>
      </c>
      <c r="GO273" s="2">
        <f t="shared" si="244"/>
        <v>0</v>
      </c>
      <c r="GP273" s="2">
        <f t="shared" si="245"/>
        <v>0</v>
      </c>
      <c r="GQ273" s="2"/>
      <c r="GR273" s="2">
        <v>0</v>
      </c>
      <c r="GS273" s="2">
        <v>0</v>
      </c>
      <c r="GT273" s="2">
        <v>0</v>
      </c>
      <c r="GU273" s="2" t="s">
        <v>3</v>
      </c>
      <c r="GV273" s="2">
        <f t="shared" si="246"/>
        <v>0</v>
      </c>
      <c r="GW273" s="2">
        <v>1</v>
      </c>
      <c r="GX273" s="2">
        <f t="shared" si="247"/>
        <v>0</v>
      </c>
      <c r="GY273" s="2"/>
      <c r="GZ273" s="2"/>
      <c r="HA273" s="2">
        <v>0</v>
      </c>
      <c r="HB273" s="2">
        <v>0</v>
      </c>
      <c r="HC273" s="2">
        <f t="shared" si="248"/>
        <v>0</v>
      </c>
      <c r="HD273" s="2"/>
      <c r="HE273" s="2" t="s">
        <v>3</v>
      </c>
      <c r="HF273" s="2" t="s">
        <v>3</v>
      </c>
      <c r="HG273" s="2"/>
      <c r="HH273" s="2"/>
      <c r="HI273" s="2"/>
      <c r="HJ273" s="2"/>
      <c r="HK273" s="2"/>
      <c r="HL273" s="2"/>
      <c r="HM273" s="2" t="s">
        <v>3</v>
      </c>
      <c r="HN273" s="2" t="s">
        <v>3</v>
      </c>
      <c r="HO273" s="2" t="s">
        <v>3</v>
      </c>
      <c r="HP273" s="2" t="s">
        <v>3</v>
      </c>
      <c r="HQ273" s="2" t="s">
        <v>3</v>
      </c>
      <c r="HR273" s="2"/>
      <c r="HS273" s="2">
        <v>0</v>
      </c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>
        <v>0</v>
      </c>
      <c r="IL273" s="2"/>
      <c r="IM273" s="2"/>
      <c r="IN273" s="2"/>
      <c r="IO273" s="2"/>
      <c r="IP273" s="2"/>
      <c r="IQ273" s="2"/>
      <c r="IR273" s="2"/>
      <c r="IS273" s="2"/>
      <c r="IT273" s="2"/>
      <c r="IU273" s="2"/>
    </row>
    <row r="274" spans="1:255" x14ac:dyDescent="0.2">
      <c r="A274">
        <v>17</v>
      </c>
      <c r="B274">
        <v>1</v>
      </c>
      <c r="C274">
        <f>ROW(SmtRes!A46)</f>
        <v>46</v>
      </c>
      <c r="D274">
        <f>ROW(EtalonRes!A532)</f>
        <v>532</v>
      </c>
      <c r="E274" t="s">
        <v>362</v>
      </c>
      <c r="F274" t="s">
        <v>363</v>
      </c>
      <c r="G274" t="s">
        <v>364</v>
      </c>
      <c r="H274" t="s">
        <v>95</v>
      </c>
      <c r="I274">
        <v>0</v>
      </c>
      <c r="J274">
        <v>0</v>
      </c>
      <c r="K274">
        <v>0</v>
      </c>
      <c r="O274">
        <f t="shared" si="214"/>
        <v>0</v>
      </c>
      <c r="P274">
        <f t="shared" si="215"/>
        <v>0</v>
      </c>
      <c r="Q274">
        <f>(ROUND((ROUND((((ET274*1.05))*AV274*I274),2)*BB274),2)+ROUND((ROUND(((AE274-((EU274*1.05)))*AV274*I274),2)*BS274),2))</f>
        <v>0</v>
      </c>
      <c r="R274">
        <f t="shared" si="217"/>
        <v>0</v>
      </c>
      <c r="S274">
        <f t="shared" si="218"/>
        <v>0</v>
      </c>
      <c r="T274">
        <f t="shared" si="219"/>
        <v>0</v>
      </c>
      <c r="U274">
        <f t="shared" si="220"/>
        <v>0</v>
      </c>
      <c r="V274">
        <f t="shared" si="221"/>
        <v>0</v>
      </c>
      <c r="W274">
        <f t="shared" si="222"/>
        <v>0</v>
      </c>
      <c r="X274">
        <f t="shared" si="223"/>
        <v>0</v>
      </c>
      <c r="Y274">
        <f t="shared" si="224"/>
        <v>0</v>
      </c>
      <c r="AA274">
        <v>56610029</v>
      </c>
      <c r="AB274">
        <f t="shared" si="225"/>
        <v>445.41500000000002</v>
      </c>
      <c r="AC274">
        <f t="shared" si="226"/>
        <v>210.11</v>
      </c>
      <c r="AD274">
        <f>ROUND(((((ET274*1.05))-((EU274*1.05)))+AE274),6)</f>
        <v>122.1255</v>
      </c>
      <c r="AE274">
        <f>ROUND(((EU274*1.05)),6)</f>
        <v>10.836</v>
      </c>
      <c r="AF274">
        <f>ROUND(((EV274*1.05)),6)</f>
        <v>113.1795</v>
      </c>
      <c r="AG274">
        <f t="shared" si="229"/>
        <v>0</v>
      </c>
      <c r="AH274">
        <f>((EW274*1.05))</f>
        <v>9.4080000000000013</v>
      </c>
      <c r="AI274">
        <f>((EX274*1.05))</f>
        <v>0</v>
      </c>
      <c r="AJ274">
        <f t="shared" si="231"/>
        <v>0</v>
      </c>
      <c r="AK274">
        <v>434.21</v>
      </c>
      <c r="AL274">
        <v>210.11</v>
      </c>
      <c r="AM274">
        <v>116.31</v>
      </c>
      <c r="AN274">
        <v>10.32</v>
      </c>
      <c r="AO274">
        <v>107.79</v>
      </c>
      <c r="AP274">
        <v>0</v>
      </c>
      <c r="AQ274">
        <v>8.9600000000000009</v>
      </c>
      <c r="AR274">
        <v>0</v>
      </c>
      <c r="AS274">
        <v>0</v>
      </c>
      <c r="AT274">
        <v>109</v>
      </c>
      <c r="AU274">
        <v>41</v>
      </c>
      <c r="AV274">
        <v>1.0469999999999999</v>
      </c>
      <c r="AW274">
        <v>1</v>
      </c>
      <c r="AZ274">
        <v>1</v>
      </c>
      <c r="BA274">
        <v>34.51</v>
      </c>
      <c r="BB274">
        <v>11.89</v>
      </c>
      <c r="BC274">
        <v>14.55</v>
      </c>
      <c r="BD274" t="s">
        <v>3</v>
      </c>
      <c r="BE274" t="s">
        <v>3</v>
      </c>
      <c r="BF274" t="s">
        <v>3</v>
      </c>
      <c r="BG274" t="s">
        <v>3</v>
      </c>
      <c r="BH274">
        <v>0</v>
      </c>
      <c r="BI274">
        <v>1</v>
      </c>
      <c r="BJ274" t="s">
        <v>365</v>
      </c>
      <c r="BM274">
        <v>159</v>
      </c>
      <c r="BN274">
        <v>0</v>
      </c>
      <c r="BO274" t="s">
        <v>363</v>
      </c>
      <c r="BP274">
        <v>1</v>
      </c>
      <c r="BQ274">
        <v>30</v>
      </c>
      <c r="BR274">
        <v>0</v>
      </c>
      <c r="BS274">
        <v>34.51</v>
      </c>
      <c r="BT274">
        <v>1</v>
      </c>
      <c r="BU274">
        <v>1</v>
      </c>
      <c r="BV274">
        <v>1</v>
      </c>
      <c r="BW274">
        <v>1</v>
      </c>
      <c r="BX274">
        <v>1</v>
      </c>
      <c r="BY274" t="s">
        <v>3</v>
      </c>
      <c r="BZ274">
        <v>109</v>
      </c>
      <c r="CA274">
        <v>41</v>
      </c>
      <c r="CB274" t="s">
        <v>3</v>
      </c>
      <c r="CE274">
        <v>30</v>
      </c>
      <c r="CF274">
        <v>0</v>
      </c>
      <c r="CG274">
        <v>0</v>
      </c>
      <c r="CM274">
        <v>0</v>
      </c>
      <c r="CN274" t="s">
        <v>708</v>
      </c>
      <c r="CO274">
        <v>0</v>
      </c>
      <c r="CP274">
        <f t="shared" si="232"/>
        <v>0</v>
      </c>
      <c r="CQ274">
        <f t="shared" si="233"/>
        <v>3057.1</v>
      </c>
      <c r="CR274">
        <f>(ROUND((ROUND((((ET274*1.05))*AV274*1),2)*BB274),2)+ROUND((ROUND(((AE274-((EU274*1.05)))*AV274*1),2)*BS274),2))</f>
        <v>1520.37</v>
      </c>
      <c r="CS274">
        <f t="shared" si="235"/>
        <v>391.69</v>
      </c>
      <c r="CT274">
        <f t="shared" si="236"/>
        <v>4089.44</v>
      </c>
      <c r="CU274">
        <f t="shared" si="237"/>
        <v>0</v>
      </c>
      <c r="CV274">
        <f t="shared" si="238"/>
        <v>9.8501760000000012</v>
      </c>
      <c r="CW274">
        <f t="shared" si="239"/>
        <v>0</v>
      </c>
      <c r="CX274">
        <f t="shared" si="240"/>
        <v>0</v>
      </c>
      <c r="CY274">
        <f>S274*(BZ274/100)</f>
        <v>0</v>
      </c>
      <c r="CZ274">
        <f>S274*(CA274/100)</f>
        <v>0</v>
      </c>
      <c r="DB274">
        <v>114</v>
      </c>
      <c r="DC274" t="s">
        <v>3</v>
      </c>
      <c r="DD274" t="s">
        <v>3</v>
      </c>
      <c r="DE274" t="s">
        <v>22</v>
      </c>
      <c r="DF274" t="s">
        <v>22</v>
      </c>
      <c r="DG274" t="s">
        <v>22</v>
      </c>
      <c r="DH274" t="s">
        <v>3</v>
      </c>
      <c r="DI274" t="s">
        <v>22</v>
      </c>
      <c r="DJ274" t="s">
        <v>22</v>
      </c>
      <c r="DK274" t="s">
        <v>3</v>
      </c>
      <c r="DL274" t="s">
        <v>3</v>
      </c>
      <c r="DM274" t="s">
        <v>3</v>
      </c>
      <c r="DN274">
        <v>134</v>
      </c>
      <c r="DO274">
        <v>83</v>
      </c>
      <c r="DP274">
        <v>1.0469999999999999</v>
      </c>
      <c r="DQ274">
        <v>1</v>
      </c>
      <c r="DU274">
        <v>1013</v>
      </c>
      <c r="DV274" t="s">
        <v>95</v>
      </c>
      <c r="DW274" t="s">
        <v>95</v>
      </c>
      <c r="DX274">
        <v>1</v>
      </c>
      <c r="DZ274" t="s">
        <v>3</v>
      </c>
      <c r="EA274" t="s">
        <v>3</v>
      </c>
      <c r="EB274" t="s">
        <v>3</v>
      </c>
      <c r="EC274" t="s">
        <v>3</v>
      </c>
      <c r="EE274">
        <v>51696198</v>
      </c>
      <c r="EF274">
        <v>30</v>
      </c>
      <c r="EG274" t="s">
        <v>23</v>
      </c>
      <c r="EH274">
        <v>0</v>
      </c>
      <c r="EI274" t="s">
        <v>3</v>
      </c>
      <c r="EJ274">
        <v>1</v>
      </c>
      <c r="EK274">
        <v>159</v>
      </c>
      <c r="EL274" t="s">
        <v>359</v>
      </c>
      <c r="EM274" t="s">
        <v>360</v>
      </c>
      <c r="EO274" t="s">
        <v>26</v>
      </c>
      <c r="EQ274">
        <v>131072</v>
      </c>
      <c r="ER274">
        <v>434.21</v>
      </c>
      <c r="ES274">
        <v>210.11</v>
      </c>
      <c r="ET274">
        <v>116.31</v>
      </c>
      <c r="EU274">
        <v>10.32</v>
      </c>
      <c r="EV274">
        <v>107.79</v>
      </c>
      <c r="EW274">
        <v>8.9600000000000009</v>
      </c>
      <c r="EX274">
        <v>0</v>
      </c>
      <c r="EY274">
        <v>0</v>
      </c>
      <c r="FQ274">
        <v>0</v>
      </c>
      <c r="FR274">
        <v>0</v>
      </c>
      <c r="FS274">
        <v>0</v>
      </c>
      <c r="FX274">
        <v>134</v>
      </c>
      <c r="FY274">
        <v>83</v>
      </c>
      <c r="GA274" t="s">
        <v>3</v>
      </c>
      <c r="GD274">
        <v>0</v>
      </c>
      <c r="GF274">
        <v>6860709</v>
      </c>
      <c r="GG274">
        <v>2</v>
      </c>
      <c r="GH274">
        <v>1</v>
      </c>
      <c r="GI274">
        <v>2</v>
      </c>
      <c r="GJ274">
        <v>0</v>
      </c>
      <c r="GK274">
        <f>ROUND(R274*(S12)/100,2)</f>
        <v>0</v>
      </c>
      <c r="GL274">
        <f t="shared" si="241"/>
        <v>0</v>
      </c>
      <c r="GM274">
        <f t="shared" si="242"/>
        <v>0</v>
      </c>
      <c r="GN274">
        <f t="shared" si="243"/>
        <v>0</v>
      </c>
      <c r="GO274">
        <f t="shared" si="244"/>
        <v>0</v>
      </c>
      <c r="GP274">
        <f t="shared" si="245"/>
        <v>0</v>
      </c>
      <c r="GR274">
        <v>0</v>
      </c>
      <c r="GS274">
        <v>3</v>
      </c>
      <c r="GT274">
        <v>0</v>
      </c>
      <c r="GU274" t="s">
        <v>3</v>
      </c>
      <c r="GV274">
        <f t="shared" si="246"/>
        <v>0</v>
      </c>
      <c r="GW274">
        <v>1</v>
      </c>
      <c r="GX274">
        <f t="shared" si="247"/>
        <v>0</v>
      </c>
      <c r="HA274">
        <v>0</v>
      </c>
      <c r="HB274">
        <v>0</v>
      </c>
      <c r="HC274">
        <f t="shared" si="248"/>
        <v>0</v>
      </c>
      <c r="HE274" t="s">
        <v>3</v>
      </c>
      <c r="HF274" t="s">
        <v>3</v>
      </c>
      <c r="HM274" t="s">
        <v>3</v>
      </c>
      <c r="HN274" t="s">
        <v>3</v>
      </c>
      <c r="HO274" t="s">
        <v>3</v>
      </c>
      <c r="HP274" t="s">
        <v>3</v>
      </c>
      <c r="HQ274" t="s">
        <v>3</v>
      </c>
      <c r="HS274">
        <v>0</v>
      </c>
      <c r="IK274">
        <v>0</v>
      </c>
    </row>
    <row r="275" spans="1:255" x14ac:dyDescent="0.2">
      <c r="A275" s="2">
        <v>18</v>
      </c>
      <c r="B275" s="2">
        <v>1</v>
      </c>
      <c r="C275" s="2">
        <v>45</v>
      </c>
      <c r="D275" s="2"/>
      <c r="E275" s="2" t="s">
        <v>366</v>
      </c>
      <c r="F275" s="2" t="s">
        <v>367</v>
      </c>
      <c r="G275" s="2" t="s">
        <v>368</v>
      </c>
      <c r="H275" s="2" t="s">
        <v>318</v>
      </c>
      <c r="I275" s="2">
        <f>I273*J275</f>
        <v>0</v>
      </c>
      <c r="J275" s="2">
        <v>7.14</v>
      </c>
      <c r="K275" s="2">
        <v>7.14</v>
      </c>
      <c r="L275" s="2"/>
      <c r="M275" s="2"/>
      <c r="N275" s="2"/>
      <c r="O275" s="2">
        <f t="shared" si="214"/>
        <v>0</v>
      </c>
      <c r="P275" s="2">
        <f t="shared" si="215"/>
        <v>0</v>
      </c>
      <c r="Q275" s="2">
        <f>(ROUND((ROUND(((ET275)*AV275*I275),2)*BB275),2)+ROUND((ROUND(((AE275-(EU275))*AV275*I275),2)*BS275),2))</f>
        <v>0</v>
      </c>
      <c r="R275" s="2">
        <f t="shared" si="217"/>
        <v>0</v>
      </c>
      <c r="S275" s="2">
        <f t="shared" si="218"/>
        <v>0</v>
      </c>
      <c r="T275" s="2">
        <f t="shared" si="219"/>
        <v>0</v>
      </c>
      <c r="U275" s="2">
        <f t="shared" si="220"/>
        <v>0</v>
      </c>
      <c r="V275" s="2">
        <f t="shared" si="221"/>
        <v>0</v>
      </c>
      <c r="W275" s="2">
        <f t="shared" si="222"/>
        <v>0</v>
      </c>
      <c r="X275" s="2">
        <f t="shared" si="223"/>
        <v>0</v>
      </c>
      <c r="Y275" s="2">
        <f t="shared" si="224"/>
        <v>0</v>
      </c>
      <c r="Z275" s="2"/>
      <c r="AA275" s="2">
        <v>56622490</v>
      </c>
      <c r="AB275" s="2">
        <f t="shared" si="225"/>
        <v>293.51</v>
      </c>
      <c r="AC275" s="2">
        <f t="shared" si="226"/>
        <v>293.51</v>
      </c>
      <c r="AD275" s="2">
        <f>ROUND((((ET275)-(EU275))+AE275),6)</f>
        <v>0</v>
      </c>
      <c r="AE275" s="2">
        <f>ROUND((EU275),6)</f>
        <v>0</v>
      </c>
      <c r="AF275" s="2">
        <f>ROUND((EV275),6)</f>
        <v>0</v>
      </c>
      <c r="AG275" s="2">
        <f t="shared" si="229"/>
        <v>0</v>
      </c>
      <c r="AH275" s="2">
        <f>(EW275)</f>
        <v>0</v>
      </c>
      <c r="AI275" s="2">
        <f>(EX275)</f>
        <v>0</v>
      </c>
      <c r="AJ275" s="2">
        <f t="shared" si="231"/>
        <v>0</v>
      </c>
      <c r="AK275" s="2">
        <v>293.51</v>
      </c>
      <c r="AL275" s="2">
        <v>293.51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134</v>
      </c>
      <c r="AU275" s="2">
        <v>83</v>
      </c>
      <c r="AV275" s="2">
        <v>1.0469999999999999</v>
      </c>
      <c r="AW275" s="2">
        <v>1</v>
      </c>
      <c r="AX275" s="2"/>
      <c r="AY275" s="2"/>
      <c r="AZ275" s="2">
        <v>1</v>
      </c>
      <c r="BA275" s="2">
        <v>1</v>
      </c>
      <c r="BB275" s="2">
        <v>1</v>
      </c>
      <c r="BC275" s="2">
        <v>1</v>
      </c>
      <c r="BD275" s="2" t="s">
        <v>3</v>
      </c>
      <c r="BE275" s="2" t="s">
        <v>3</v>
      </c>
      <c r="BF275" s="2" t="s">
        <v>3</v>
      </c>
      <c r="BG275" s="2" t="s">
        <v>3</v>
      </c>
      <c r="BH275" s="2">
        <v>3</v>
      </c>
      <c r="BI275" s="2">
        <v>1</v>
      </c>
      <c r="BJ275" s="2" t="s">
        <v>369</v>
      </c>
      <c r="BK275" s="2"/>
      <c r="BL275" s="2"/>
      <c r="BM275" s="2">
        <v>159</v>
      </c>
      <c r="BN275" s="2">
        <v>0</v>
      </c>
      <c r="BO275" s="2" t="s">
        <v>3</v>
      </c>
      <c r="BP275" s="2">
        <v>0</v>
      </c>
      <c r="BQ275" s="2">
        <v>30</v>
      </c>
      <c r="BR275" s="2">
        <v>0</v>
      </c>
      <c r="BS275" s="2">
        <v>1</v>
      </c>
      <c r="BT275" s="2">
        <v>1</v>
      </c>
      <c r="BU275" s="2">
        <v>1</v>
      </c>
      <c r="BV275" s="2">
        <v>1</v>
      </c>
      <c r="BW275" s="2">
        <v>1</v>
      </c>
      <c r="BX275" s="2">
        <v>1</v>
      </c>
      <c r="BY275" s="2" t="s">
        <v>3</v>
      </c>
      <c r="BZ275" s="2">
        <v>134</v>
      </c>
      <c r="CA275" s="2">
        <v>83</v>
      </c>
      <c r="CB275" s="2" t="s">
        <v>3</v>
      </c>
      <c r="CC275" s="2"/>
      <c r="CD275" s="2"/>
      <c r="CE275" s="2">
        <v>30</v>
      </c>
      <c r="CF275" s="2">
        <v>0</v>
      </c>
      <c r="CG275" s="2">
        <v>0</v>
      </c>
      <c r="CH275" s="2"/>
      <c r="CI275" s="2"/>
      <c r="CJ275" s="2"/>
      <c r="CK275" s="2"/>
      <c r="CL275" s="2"/>
      <c r="CM275" s="2">
        <v>0</v>
      </c>
      <c r="CN275" s="2" t="s">
        <v>3</v>
      </c>
      <c r="CO275" s="2">
        <v>0</v>
      </c>
      <c r="CP275" s="2">
        <f t="shared" si="232"/>
        <v>0</v>
      </c>
      <c r="CQ275" s="2">
        <f t="shared" si="233"/>
        <v>293.51</v>
      </c>
      <c r="CR275" s="2">
        <f>(ROUND((ROUND(((ET275)*AV275*1),2)*BB275),2)+ROUND((ROUND(((AE275-(EU275))*AV275*1),2)*BS275),2))</f>
        <v>0</v>
      </c>
      <c r="CS275" s="2">
        <f t="shared" si="235"/>
        <v>0</v>
      </c>
      <c r="CT275" s="2">
        <f t="shared" si="236"/>
        <v>0</v>
      </c>
      <c r="CU275" s="2">
        <f t="shared" si="237"/>
        <v>0</v>
      </c>
      <c r="CV275" s="2">
        <f t="shared" si="238"/>
        <v>0</v>
      </c>
      <c r="CW275" s="2">
        <f t="shared" si="239"/>
        <v>0</v>
      </c>
      <c r="CX275" s="2">
        <f t="shared" si="240"/>
        <v>0</v>
      </c>
      <c r="CY275" s="2">
        <f>((S275*BZ275)/100)</f>
        <v>0</v>
      </c>
      <c r="CZ275" s="2">
        <f>((S275*CA275)/100)</f>
        <v>0</v>
      </c>
      <c r="DA275" s="2"/>
      <c r="DB275" s="2"/>
      <c r="DC275" s="2" t="s">
        <v>3</v>
      </c>
      <c r="DD275" s="2" t="s">
        <v>3</v>
      </c>
      <c r="DE275" s="2" t="s">
        <v>3</v>
      </c>
      <c r="DF275" s="2" t="s">
        <v>3</v>
      </c>
      <c r="DG275" s="2" t="s">
        <v>3</v>
      </c>
      <c r="DH275" s="2" t="s">
        <v>3</v>
      </c>
      <c r="DI275" s="2" t="s">
        <v>3</v>
      </c>
      <c r="DJ275" s="2" t="s">
        <v>3</v>
      </c>
      <c r="DK275" s="2" t="s">
        <v>3</v>
      </c>
      <c r="DL275" s="2" t="s">
        <v>3</v>
      </c>
      <c r="DM275" s="2" t="s">
        <v>3</v>
      </c>
      <c r="DN275" s="2">
        <v>0</v>
      </c>
      <c r="DO275" s="2">
        <v>0</v>
      </c>
      <c r="DP275" s="2">
        <v>1</v>
      </c>
      <c r="DQ275" s="2">
        <v>1</v>
      </c>
      <c r="DR275" s="2"/>
      <c r="DS275" s="2"/>
      <c r="DT275" s="2"/>
      <c r="DU275" s="2">
        <v>1009</v>
      </c>
      <c r="DV275" s="2" t="s">
        <v>318</v>
      </c>
      <c r="DW275" s="2" t="s">
        <v>318</v>
      </c>
      <c r="DX275" s="2">
        <v>1000</v>
      </c>
      <c r="DY275" s="2"/>
      <c r="DZ275" s="2" t="s">
        <v>3</v>
      </c>
      <c r="EA275" s="2" t="s">
        <v>3</v>
      </c>
      <c r="EB275" s="2" t="s">
        <v>3</v>
      </c>
      <c r="EC275" s="2" t="s">
        <v>3</v>
      </c>
      <c r="ED275" s="2"/>
      <c r="EE275" s="2">
        <v>51696198</v>
      </c>
      <c r="EF275" s="2">
        <v>30</v>
      </c>
      <c r="EG275" s="2" t="s">
        <v>23</v>
      </c>
      <c r="EH275" s="2">
        <v>0</v>
      </c>
      <c r="EI275" s="2" t="s">
        <v>3</v>
      </c>
      <c r="EJ275" s="2">
        <v>1</v>
      </c>
      <c r="EK275" s="2">
        <v>159</v>
      </c>
      <c r="EL275" s="2" t="s">
        <v>359</v>
      </c>
      <c r="EM275" s="2" t="s">
        <v>360</v>
      </c>
      <c r="EN275" s="2"/>
      <c r="EO275" s="2" t="s">
        <v>3</v>
      </c>
      <c r="EP275" s="2"/>
      <c r="EQ275" s="2">
        <v>0</v>
      </c>
      <c r="ER275" s="2">
        <v>293.51</v>
      </c>
      <c r="ES275" s="2">
        <v>293.51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>
        <v>0</v>
      </c>
      <c r="FR275" s="2">
        <v>0</v>
      </c>
      <c r="FS275" s="2">
        <v>0</v>
      </c>
      <c r="FT275" s="2"/>
      <c r="FU275" s="2"/>
      <c r="FV275" s="2"/>
      <c r="FW275" s="2"/>
      <c r="FX275" s="2">
        <v>134</v>
      </c>
      <c r="FY275" s="2">
        <v>83</v>
      </c>
      <c r="FZ275" s="2"/>
      <c r="GA275" s="2" t="s">
        <v>3</v>
      </c>
      <c r="GB275" s="2"/>
      <c r="GC275" s="2"/>
      <c r="GD275" s="2">
        <v>0</v>
      </c>
      <c r="GE275" s="2"/>
      <c r="GF275" s="2">
        <v>-1088409324</v>
      </c>
      <c r="GG275" s="2">
        <v>2</v>
      </c>
      <c r="GH275" s="2">
        <v>1</v>
      </c>
      <c r="GI275" s="2">
        <v>-2</v>
      </c>
      <c r="GJ275" s="2">
        <v>0</v>
      </c>
      <c r="GK275" s="2">
        <f>ROUND(R275*(R12)/100,2)</f>
        <v>0</v>
      </c>
      <c r="GL275" s="2">
        <f t="shared" si="241"/>
        <v>0</v>
      </c>
      <c r="GM275" s="2">
        <f t="shared" si="242"/>
        <v>0</v>
      </c>
      <c r="GN275" s="2">
        <f t="shared" si="243"/>
        <v>0</v>
      </c>
      <c r="GO275" s="2">
        <f t="shared" si="244"/>
        <v>0</v>
      </c>
      <c r="GP275" s="2">
        <f t="shared" si="245"/>
        <v>0</v>
      </c>
      <c r="GQ275" s="2"/>
      <c r="GR275" s="2">
        <v>0</v>
      </c>
      <c r="GS275" s="2">
        <v>0</v>
      </c>
      <c r="GT275" s="2">
        <v>0</v>
      </c>
      <c r="GU275" s="2" t="s">
        <v>3</v>
      </c>
      <c r="GV275" s="2">
        <f t="shared" si="246"/>
        <v>0</v>
      </c>
      <c r="GW275" s="2">
        <v>1</v>
      </c>
      <c r="GX275" s="2">
        <f t="shared" si="247"/>
        <v>0</v>
      </c>
      <c r="GY275" s="2"/>
      <c r="GZ275" s="2"/>
      <c r="HA275" s="2">
        <v>0</v>
      </c>
      <c r="HB275" s="2">
        <v>0</v>
      </c>
      <c r="HC275" s="2">
        <f t="shared" si="248"/>
        <v>0</v>
      </c>
      <c r="HD275" s="2"/>
      <c r="HE275" s="2" t="s">
        <v>3</v>
      </c>
      <c r="HF275" s="2" t="s">
        <v>3</v>
      </c>
      <c r="HG275" s="2"/>
      <c r="HH275" s="2"/>
      <c r="HI275" s="2"/>
      <c r="HJ275" s="2"/>
      <c r="HK275" s="2"/>
      <c r="HL275" s="2"/>
      <c r="HM275" s="2" t="s">
        <v>3</v>
      </c>
      <c r="HN275" s="2" t="s">
        <v>3</v>
      </c>
      <c r="HO275" s="2" t="s">
        <v>3</v>
      </c>
      <c r="HP275" s="2" t="s">
        <v>3</v>
      </c>
      <c r="HQ275" s="2" t="s">
        <v>3</v>
      </c>
      <c r="HR275" s="2"/>
      <c r="HS275" s="2">
        <v>0</v>
      </c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>
        <v>0</v>
      </c>
      <c r="IL275" s="2"/>
      <c r="IM275" s="2"/>
      <c r="IN275" s="2"/>
      <c r="IO275" s="2"/>
      <c r="IP275" s="2"/>
      <c r="IQ275" s="2"/>
      <c r="IR275" s="2"/>
      <c r="IS275" s="2"/>
      <c r="IT275" s="2"/>
      <c r="IU275" s="2"/>
    </row>
    <row r="276" spans="1:255" x14ac:dyDescent="0.2">
      <c r="A276">
        <v>18</v>
      </c>
      <c r="B276">
        <v>1</v>
      </c>
      <c r="C276">
        <v>46</v>
      </c>
      <c r="E276" t="s">
        <v>366</v>
      </c>
      <c r="F276" t="s">
        <v>367</v>
      </c>
      <c r="G276" t="s">
        <v>368</v>
      </c>
      <c r="H276" t="s">
        <v>318</v>
      </c>
      <c r="I276">
        <f>I274*J276</f>
        <v>0</v>
      </c>
      <c r="J276">
        <v>7.14</v>
      </c>
      <c r="K276">
        <v>7.14</v>
      </c>
      <c r="O276">
        <f t="shared" si="214"/>
        <v>0</v>
      </c>
      <c r="P276">
        <f t="shared" si="215"/>
        <v>0</v>
      </c>
      <c r="Q276">
        <f>(ROUND((ROUND(((ET276)*AV276*I276),2)*BB276),2)+ROUND((ROUND(((AE276-(EU276))*AV276*I276),2)*BS276),2))</f>
        <v>0</v>
      </c>
      <c r="R276">
        <f t="shared" si="217"/>
        <v>0</v>
      </c>
      <c r="S276">
        <f t="shared" si="218"/>
        <v>0</v>
      </c>
      <c r="T276">
        <f t="shared" si="219"/>
        <v>0</v>
      </c>
      <c r="U276">
        <f t="shared" si="220"/>
        <v>0</v>
      </c>
      <c r="V276">
        <f t="shared" si="221"/>
        <v>0</v>
      </c>
      <c r="W276">
        <f t="shared" si="222"/>
        <v>0</v>
      </c>
      <c r="X276">
        <f t="shared" si="223"/>
        <v>0</v>
      </c>
      <c r="Y276">
        <f t="shared" si="224"/>
        <v>0</v>
      </c>
      <c r="AA276">
        <v>56610029</v>
      </c>
      <c r="AB276">
        <f t="shared" si="225"/>
        <v>293.51</v>
      </c>
      <c r="AC276">
        <f t="shared" si="226"/>
        <v>293.51</v>
      </c>
      <c r="AD276">
        <f>ROUND((((ET276)-(EU276))+AE276),6)</f>
        <v>0</v>
      </c>
      <c r="AE276">
        <f>ROUND((EU276),6)</f>
        <v>0</v>
      </c>
      <c r="AF276">
        <f>ROUND((EV276),6)</f>
        <v>0</v>
      </c>
      <c r="AG276">
        <f t="shared" si="229"/>
        <v>0</v>
      </c>
      <c r="AH276">
        <f>(EW276)</f>
        <v>0</v>
      </c>
      <c r="AI276">
        <f>(EX276)</f>
        <v>0</v>
      </c>
      <c r="AJ276">
        <f t="shared" si="231"/>
        <v>0</v>
      </c>
      <c r="AK276">
        <v>293.51</v>
      </c>
      <c r="AL276">
        <v>293.51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</v>
      </c>
      <c r="AW276">
        <v>1</v>
      </c>
      <c r="AZ276">
        <v>1</v>
      </c>
      <c r="BA276">
        <v>1</v>
      </c>
      <c r="BB276">
        <v>1</v>
      </c>
      <c r="BC276">
        <v>17.559999999999999</v>
      </c>
      <c r="BD276" t="s">
        <v>3</v>
      </c>
      <c r="BE276" t="s">
        <v>3</v>
      </c>
      <c r="BF276" t="s">
        <v>3</v>
      </c>
      <c r="BG276" t="s">
        <v>3</v>
      </c>
      <c r="BH276">
        <v>3</v>
      </c>
      <c r="BI276">
        <v>1</v>
      </c>
      <c r="BJ276" t="s">
        <v>369</v>
      </c>
      <c r="BM276">
        <v>159</v>
      </c>
      <c r="BN276">
        <v>0</v>
      </c>
      <c r="BO276" t="s">
        <v>367</v>
      </c>
      <c r="BP276">
        <v>1</v>
      </c>
      <c r="BQ276">
        <v>30</v>
      </c>
      <c r="BR276">
        <v>0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 t="s">
        <v>3</v>
      </c>
      <c r="BZ276">
        <v>0</v>
      </c>
      <c r="CA276">
        <v>0</v>
      </c>
      <c r="CB276" t="s">
        <v>3</v>
      </c>
      <c r="CE276">
        <v>30</v>
      </c>
      <c r="CF276">
        <v>0</v>
      </c>
      <c r="CG276">
        <v>0</v>
      </c>
      <c r="CM276">
        <v>0</v>
      </c>
      <c r="CN276" t="s">
        <v>3</v>
      </c>
      <c r="CO276">
        <v>0</v>
      </c>
      <c r="CP276">
        <f t="shared" si="232"/>
        <v>0</v>
      </c>
      <c r="CQ276">
        <f t="shared" si="233"/>
        <v>5154.04</v>
      </c>
      <c r="CR276">
        <f>(ROUND((ROUND(((ET276)*AV276*1),2)*BB276),2)+ROUND((ROUND(((AE276-(EU276))*AV276*1),2)*BS276),2))</f>
        <v>0</v>
      </c>
      <c r="CS276">
        <f t="shared" si="235"/>
        <v>0</v>
      </c>
      <c r="CT276">
        <f t="shared" si="236"/>
        <v>0</v>
      </c>
      <c r="CU276">
        <f t="shared" si="237"/>
        <v>0</v>
      </c>
      <c r="CV276">
        <f t="shared" si="238"/>
        <v>0</v>
      </c>
      <c r="CW276">
        <f t="shared" si="239"/>
        <v>0</v>
      </c>
      <c r="CX276">
        <f t="shared" si="240"/>
        <v>0</v>
      </c>
      <c r="CY276">
        <f>S276*(BZ276/100)</f>
        <v>0</v>
      </c>
      <c r="CZ276">
        <f>S276*(CA276/100)</f>
        <v>0</v>
      </c>
      <c r="DC276" t="s">
        <v>3</v>
      </c>
      <c r="DD276" t="s">
        <v>3</v>
      </c>
      <c r="DE276" t="s">
        <v>3</v>
      </c>
      <c r="DF276" t="s">
        <v>3</v>
      </c>
      <c r="DG276" t="s">
        <v>3</v>
      </c>
      <c r="DH276" t="s">
        <v>3</v>
      </c>
      <c r="DI276" t="s">
        <v>3</v>
      </c>
      <c r="DJ276" t="s">
        <v>3</v>
      </c>
      <c r="DK276" t="s">
        <v>3</v>
      </c>
      <c r="DL276" t="s">
        <v>3</v>
      </c>
      <c r="DM276" t="s">
        <v>3</v>
      </c>
      <c r="DN276">
        <v>134</v>
      </c>
      <c r="DO276">
        <v>83</v>
      </c>
      <c r="DP276">
        <v>1.0469999999999999</v>
      </c>
      <c r="DQ276">
        <v>1</v>
      </c>
      <c r="DU276">
        <v>1009</v>
      </c>
      <c r="DV276" t="s">
        <v>318</v>
      </c>
      <c r="DW276" t="s">
        <v>318</v>
      </c>
      <c r="DX276">
        <v>1000</v>
      </c>
      <c r="DZ276" t="s">
        <v>3</v>
      </c>
      <c r="EA276" t="s">
        <v>3</v>
      </c>
      <c r="EB276" t="s">
        <v>3</v>
      </c>
      <c r="EC276" t="s">
        <v>3</v>
      </c>
      <c r="EE276">
        <v>51696198</v>
      </c>
      <c r="EF276">
        <v>30</v>
      </c>
      <c r="EG276" t="s">
        <v>23</v>
      </c>
      <c r="EH276">
        <v>0</v>
      </c>
      <c r="EI276" t="s">
        <v>3</v>
      </c>
      <c r="EJ276">
        <v>1</v>
      </c>
      <c r="EK276">
        <v>159</v>
      </c>
      <c r="EL276" t="s">
        <v>359</v>
      </c>
      <c r="EM276" t="s">
        <v>360</v>
      </c>
      <c r="EO276" t="s">
        <v>3</v>
      </c>
      <c r="EQ276">
        <v>0</v>
      </c>
      <c r="ER276">
        <v>293.51</v>
      </c>
      <c r="ES276">
        <v>293.51</v>
      </c>
      <c r="ET276">
        <v>0</v>
      </c>
      <c r="EU276">
        <v>0</v>
      </c>
      <c r="EV276">
        <v>0</v>
      </c>
      <c r="EW276">
        <v>0</v>
      </c>
      <c r="EX276">
        <v>0</v>
      </c>
      <c r="FQ276">
        <v>0</v>
      </c>
      <c r="FR276">
        <v>0</v>
      </c>
      <c r="FS276">
        <v>0</v>
      </c>
      <c r="FX276">
        <v>134</v>
      </c>
      <c r="FY276">
        <v>83</v>
      </c>
      <c r="GA276" t="s">
        <v>3</v>
      </c>
      <c r="GD276">
        <v>0</v>
      </c>
      <c r="GF276">
        <v>-1088409324</v>
      </c>
      <c r="GG276">
        <v>2</v>
      </c>
      <c r="GH276">
        <v>1</v>
      </c>
      <c r="GI276">
        <v>2</v>
      </c>
      <c r="GJ276">
        <v>0</v>
      </c>
      <c r="GK276">
        <f>ROUND(R276*(S12)/100,2)</f>
        <v>0</v>
      </c>
      <c r="GL276">
        <f t="shared" si="241"/>
        <v>0</v>
      </c>
      <c r="GM276">
        <f t="shared" si="242"/>
        <v>0</v>
      </c>
      <c r="GN276">
        <f t="shared" si="243"/>
        <v>0</v>
      </c>
      <c r="GO276">
        <f t="shared" si="244"/>
        <v>0</v>
      </c>
      <c r="GP276">
        <f t="shared" si="245"/>
        <v>0</v>
      </c>
      <c r="GR276">
        <v>0</v>
      </c>
      <c r="GS276">
        <v>3</v>
      </c>
      <c r="GT276">
        <v>0</v>
      </c>
      <c r="GU276" t="s">
        <v>3</v>
      </c>
      <c r="GV276">
        <f t="shared" si="246"/>
        <v>0</v>
      </c>
      <c r="GW276">
        <v>1</v>
      </c>
      <c r="GX276">
        <f t="shared" si="247"/>
        <v>0</v>
      </c>
      <c r="HA276">
        <v>0</v>
      </c>
      <c r="HB276">
        <v>0</v>
      </c>
      <c r="HC276">
        <f t="shared" si="248"/>
        <v>0</v>
      </c>
      <c r="HE276" t="s">
        <v>3</v>
      </c>
      <c r="HF276" t="s">
        <v>3</v>
      </c>
      <c r="HM276" t="s">
        <v>3</v>
      </c>
      <c r="HN276" t="s">
        <v>3</v>
      </c>
      <c r="HO276" t="s">
        <v>3</v>
      </c>
      <c r="HP276" t="s">
        <v>3</v>
      </c>
      <c r="HQ276" t="s">
        <v>3</v>
      </c>
      <c r="HS276">
        <v>0</v>
      </c>
      <c r="IK276">
        <v>0</v>
      </c>
    </row>
    <row r="277" spans="1:255" x14ac:dyDescent="0.2">
      <c r="A277" s="2">
        <v>17</v>
      </c>
      <c r="B277" s="2">
        <v>1</v>
      </c>
      <c r="C277" s="2">
        <f>ROW(SmtRes!A47)</f>
        <v>47</v>
      </c>
      <c r="D277" s="2">
        <f>ROW(EtalonRes!A533)</f>
        <v>533</v>
      </c>
      <c r="E277" s="2" t="s">
        <v>370</v>
      </c>
      <c r="F277" s="2" t="s">
        <v>371</v>
      </c>
      <c r="G277" s="2" t="s">
        <v>372</v>
      </c>
      <c r="H277" s="2" t="s">
        <v>373</v>
      </c>
      <c r="I277" s="2">
        <v>0</v>
      </c>
      <c r="J277" s="2">
        <v>0</v>
      </c>
      <c r="K277" s="2">
        <v>0</v>
      </c>
      <c r="L277" s="2"/>
      <c r="M277" s="2"/>
      <c r="N277" s="2"/>
      <c r="O277" s="2">
        <f t="shared" si="214"/>
        <v>0</v>
      </c>
      <c r="P277" s="2">
        <f t="shared" si="215"/>
        <v>0</v>
      </c>
      <c r="Q277" s="2">
        <f>(ROUND((ROUND((((ET277*1.05))*AV277*I277),2)*BB277),2)+ROUND((ROUND(((AE277-((EU277*1.05)))*AV277*I277),2)*BS277),2))</f>
        <v>0</v>
      </c>
      <c r="R277" s="2">
        <f t="shared" si="217"/>
        <v>0</v>
      </c>
      <c r="S277" s="2">
        <f t="shared" si="218"/>
        <v>0</v>
      </c>
      <c r="T277" s="2">
        <f t="shared" si="219"/>
        <v>0</v>
      </c>
      <c r="U277" s="2">
        <f t="shared" si="220"/>
        <v>0</v>
      </c>
      <c r="V277" s="2">
        <f t="shared" si="221"/>
        <v>0</v>
      </c>
      <c r="W277" s="2">
        <f t="shared" si="222"/>
        <v>0</v>
      </c>
      <c r="X277" s="2">
        <f t="shared" si="223"/>
        <v>0</v>
      </c>
      <c r="Y277" s="2">
        <f t="shared" si="224"/>
        <v>0</v>
      </c>
      <c r="Z277" s="2"/>
      <c r="AA277" s="2">
        <v>56622490</v>
      </c>
      <c r="AB277" s="2">
        <f t="shared" si="225"/>
        <v>900.38549999999998</v>
      </c>
      <c r="AC277" s="2">
        <f t="shared" si="226"/>
        <v>0</v>
      </c>
      <c r="AD277" s="2">
        <f>ROUND(((((ET277*1.05))-((EU277*1.05)))+AE277),6)</f>
        <v>0</v>
      </c>
      <c r="AE277" s="2">
        <f t="shared" ref="AE277:AF280" si="249">ROUND(((EU277*1.05)),6)</f>
        <v>0</v>
      </c>
      <c r="AF277" s="2">
        <f t="shared" si="249"/>
        <v>900.38549999999998</v>
      </c>
      <c r="AG277" s="2">
        <f t="shared" si="229"/>
        <v>0</v>
      </c>
      <c r="AH277" s="2">
        <f t="shared" ref="AH277:AI280" si="250">((EW277*1.05))</f>
        <v>80.535000000000011</v>
      </c>
      <c r="AI277" s="2">
        <f t="shared" si="250"/>
        <v>0</v>
      </c>
      <c r="AJ277" s="2">
        <f t="shared" si="231"/>
        <v>0</v>
      </c>
      <c r="AK277" s="2">
        <v>857.51</v>
      </c>
      <c r="AL277" s="2">
        <v>0</v>
      </c>
      <c r="AM277" s="2">
        <v>0</v>
      </c>
      <c r="AN277" s="2">
        <v>0</v>
      </c>
      <c r="AO277" s="2">
        <v>857.51</v>
      </c>
      <c r="AP277" s="2">
        <v>0</v>
      </c>
      <c r="AQ277" s="2">
        <v>76.7</v>
      </c>
      <c r="AR277" s="2">
        <v>0</v>
      </c>
      <c r="AS277" s="2">
        <v>0</v>
      </c>
      <c r="AT277" s="2">
        <v>80</v>
      </c>
      <c r="AU277" s="2">
        <v>55</v>
      </c>
      <c r="AV277" s="2">
        <v>1.0469999999999999</v>
      </c>
      <c r="AW277" s="2">
        <v>1</v>
      </c>
      <c r="AX277" s="2"/>
      <c r="AY277" s="2"/>
      <c r="AZ277" s="2">
        <v>1</v>
      </c>
      <c r="BA277" s="2">
        <v>1</v>
      </c>
      <c r="BB277" s="2">
        <v>1</v>
      </c>
      <c r="BC277" s="2">
        <v>1</v>
      </c>
      <c r="BD277" s="2" t="s">
        <v>3</v>
      </c>
      <c r="BE277" s="2" t="s">
        <v>3</v>
      </c>
      <c r="BF277" s="2" t="s">
        <v>3</v>
      </c>
      <c r="BG277" s="2" t="s">
        <v>3</v>
      </c>
      <c r="BH277" s="2">
        <v>0</v>
      </c>
      <c r="BI277" s="2">
        <v>1</v>
      </c>
      <c r="BJ277" s="2" t="s">
        <v>374</v>
      </c>
      <c r="BK277" s="2"/>
      <c r="BL277" s="2"/>
      <c r="BM277" s="2">
        <v>674</v>
      </c>
      <c r="BN277" s="2">
        <v>0</v>
      </c>
      <c r="BO277" s="2" t="s">
        <v>3</v>
      </c>
      <c r="BP277" s="2">
        <v>0</v>
      </c>
      <c r="BQ277" s="2">
        <v>60</v>
      </c>
      <c r="BR277" s="2">
        <v>0</v>
      </c>
      <c r="BS277" s="2">
        <v>1</v>
      </c>
      <c r="BT277" s="2">
        <v>1</v>
      </c>
      <c r="BU277" s="2">
        <v>1</v>
      </c>
      <c r="BV277" s="2">
        <v>1</v>
      </c>
      <c r="BW277" s="2">
        <v>1</v>
      </c>
      <c r="BX277" s="2">
        <v>1</v>
      </c>
      <c r="BY277" s="2" t="s">
        <v>3</v>
      </c>
      <c r="BZ277" s="2">
        <v>80</v>
      </c>
      <c r="CA277" s="2">
        <v>55</v>
      </c>
      <c r="CB277" s="2" t="s">
        <v>3</v>
      </c>
      <c r="CC277" s="2"/>
      <c r="CD277" s="2"/>
      <c r="CE277" s="2">
        <v>30</v>
      </c>
      <c r="CF277" s="2">
        <v>0</v>
      </c>
      <c r="CG277" s="2">
        <v>0</v>
      </c>
      <c r="CH277" s="2"/>
      <c r="CI277" s="2"/>
      <c r="CJ277" s="2"/>
      <c r="CK277" s="2"/>
      <c r="CL277" s="2"/>
      <c r="CM277" s="2">
        <v>0</v>
      </c>
      <c r="CN277" s="2" t="s">
        <v>708</v>
      </c>
      <c r="CO277" s="2">
        <v>0</v>
      </c>
      <c r="CP277" s="2">
        <f t="shared" si="232"/>
        <v>0</v>
      </c>
      <c r="CQ277" s="2">
        <f t="shared" si="233"/>
        <v>0</v>
      </c>
      <c r="CR277" s="2">
        <f>(ROUND((ROUND((((ET277*1.05))*AV277*1),2)*BB277),2)+ROUND((ROUND(((AE277-((EU277*1.05)))*AV277*1),2)*BS277),2))</f>
        <v>0</v>
      </c>
      <c r="CS277" s="2">
        <f t="shared" si="235"/>
        <v>0</v>
      </c>
      <c r="CT277" s="2">
        <f t="shared" si="236"/>
        <v>942.7</v>
      </c>
      <c r="CU277" s="2">
        <f t="shared" si="237"/>
        <v>0</v>
      </c>
      <c r="CV277" s="2">
        <f t="shared" si="238"/>
        <v>84.320145000000011</v>
      </c>
      <c r="CW277" s="2">
        <f t="shared" si="239"/>
        <v>0</v>
      </c>
      <c r="CX277" s="2">
        <f t="shared" si="240"/>
        <v>0</v>
      </c>
      <c r="CY277" s="2">
        <f>((S277*BZ277)/100)</f>
        <v>0</v>
      </c>
      <c r="CZ277" s="2">
        <f>((S277*CA277)/100)</f>
        <v>0</v>
      </c>
      <c r="DA277" s="2"/>
      <c r="DB277" s="2">
        <v>115</v>
      </c>
      <c r="DC277" s="2" t="s">
        <v>3</v>
      </c>
      <c r="DD277" s="2" t="s">
        <v>3</v>
      </c>
      <c r="DE277" s="2" t="s">
        <v>22</v>
      </c>
      <c r="DF277" s="2" t="s">
        <v>22</v>
      </c>
      <c r="DG277" s="2" t="s">
        <v>22</v>
      </c>
      <c r="DH277" s="2" t="s">
        <v>3</v>
      </c>
      <c r="DI277" s="2" t="s">
        <v>22</v>
      </c>
      <c r="DJ277" s="2" t="s">
        <v>22</v>
      </c>
      <c r="DK277" s="2" t="s">
        <v>3</v>
      </c>
      <c r="DL277" s="2" t="s">
        <v>3</v>
      </c>
      <c r="DM277" s="2" t="s">
        <v>3</v>
      </c>
      <c r="DN277" s="2">
        <v>0</v>
      </c>
      <c r="DO277" s="2">
        <v>0</v>
      </c>
      <c r="DP277" s="2">
        <v>1</v>
      </c>
      <c r="DQ277" s="2">
        <v>1</v>
      </c>
      <c r="DR277" s="2"/>
      <c r="DS277" s="2"/>
      <c r="DT277" s="2"/>
      <c r="DU277" s="2">
        <v>1003</v>
      </c>
      <c r="DV277" s="2" t="s">
        <v>373</v>
      </c>
      <c r="DW277" s="2" t="s">
        <v>373</v>
      </c>
      <c r="DX277" s="2">
        <v>100</v>
      </c>
      <c r="DY277" s="2"/>
      <c r="DZ277" s="2" t="s">
        <v>3</v>
      </c>
      <c r="EA277" s="2" t="s">
        <v>3</v>
      </c>
      <c r="EB277" s="2" t="s">
        <v>3</v>
      </c>
      <c r="EC277" s="2" t="s">
        <v>3</v>
      </c>
      <c r="ED277" s="2"/>
      <c r="EE277" s="2">
        <v>51696713</v>
      </c>
      <c r="EF277" s="2">
        <v>60</v>
      </c>
      <c r="EG277" s="2" t="s">
        <v>270</v>
      </c>
      <c r="EH277" s="2">
        <v>0</v>
      </c>
      <c r="EI277" s="2" t="s">
        <v>3</v>
      </c>
      <c r="EJ277" s="2">
        <v>1</v>
      </c>
      <c r="EK277" s="2">
        <v>674</v>
      </c>
      <c r="EL277" s="2" t="s">
        <v>271</v>
      </c>
      <c r="EM277" s="2" t="s">
        <v>272</v>
      </c>
      <c r="EN277" s="2"/>
      <c r="EO277" s="2" t="s">
        <v>26</v>
      </c>
      <c r="EP277" s="2"/>
      <c r="EQ277" s="2">
        <v>131072</v>
      </c>
      <c r="ER277" s="2">
        <v>857.51</v>
      </c>
      <c r="ES277" s="2">
        <v>0</v>
      </c>
      <c r="ET277" s="2">
        <v>0</v>
      </c>
      <c r="EU277" s="2">
        <v>0</v>
      </c>
      <c r="EV277" s="2">
        <v>857.51</v>
      </c>
      <c r="EW277" s="2">
        <v>76.7</v>
      </c>
      <c r="EX277" s="2">
        <v>0</v>
      </c>
      <c r="EY277" s="2">
        <v>0</v>
      </c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>
        <v>0</v>
      </c>
      <c r="FR277" s="2">
        <v>0</v>
      </c>
      <c r="FS277" s="2">
        <v>0</v>
      </c>
      <c r="FT277" s="2"/>
      <c r="FU277" s="2"/>
      <c r="FV277" s="2"/>
      <c r="FW277" s="2"/>
      <c r="FX277" s="2">
        <v>80</v>
      </c>
      <c r="FY277" s="2">
        <v>55</v>
      </c>
      <c r="FZ277" s="2"/>
      <c r="GA277" s="2" t="s">
        <v>3</v>
      </c>
      <c r="GB277" s="2"/>
      <c r="GC277" s="2"/>
      <c r="GD277" s="2">
        <v>0</v>
      </c>
      <c r="GE277" s="2"/>
      <c r="GF277" s="2">
        <v>665913781</v>
      </c>
      <c r="GG277" s="2">
        <v>2</v>
      </c>
      <c r="GH277" s="2">
        <v>1</v>
      </c>
      <c r="GI277" s="2">
        <v>-2</v>
      </c>
      <c r="GJ277" s="2">
        <v>0</v>
      </c>
      <c r="GK277" s="2">
        <f>ROUND(R277*(R12)/100,2)</f>
        <v>0</v>
      </c>
      <c r="GL277" s="2">
        <f t="shared" si="241"/>
        <v>0</v>
      </c>
      <c r="GM277" s="2">
        <f t="shared" si="242"/>
        <v>0</v>
      </c>
      <c r="GN277" s="2">
        <f t="shared" si="243"/>
        <v>0</v>
      </c>
      <c r="GO277" s="2">
        <f t="shared" si="244"/>
        <v>0</v>
      </c>
      <c r="GP277" s="2">
        <f t="shared" si="245"/>
        <v>0</v>
      </c>
      <c r="GQ277" s="2"/>
      <c r="GR277" s="2">
        <v>0</v>
      </c>
      <c r="GS277" s="2">
        <v>0</v>
      </c>
      <c r="GT277" s="2">
        <v>0</v>
      </c>
      <c r="GU277" s="2" t="s">
        <v>3</v>
      </c>
      <c r="GV277" s="2">
        <f t="shared" si="246"/>
        <v>0</v>
      </c>
      <c r="GW277" s="2">
        <v>1</v>
      </c>
      <c r="GX277" s="2">
        <f t="shared" si="247"/>
        <v>0</v>
      </c>
      <c r="GY277" s="2"/>
      <c r="GZ277" s="2"/>
      <c r="HA277" s="2">
        <v>0</v>
      </c>
      <c r="HB277" s="2">
        <v>0</v>
      </c>
      <c r="HC277" s="2">
        <f t="shared" si="248"/>
        <v>0</v>
      </c>
      <c r="HD277" s="2"/>
      <c r="HE277" s="2" t="s">
        <v>3</v>
      </c>
      <c r="HF277" s="2" t="s">
        <v>3</v>
      </c>
      <c r="HG277" s="2"/>
      <c r="HH277" s="2"/>
      <c r="HI277" s="2"/>
      <c r="HJ277" s="2"/>
      <c r="HK277" s="2"/>
      <c r="HL277" s="2"/>
      <c r="HM277" s="2" t="s">
        <v>3</v>
      </c>
      <c r="HN277" s="2" t="s">
        <v>3</v>
      </c>
      <c r="HO277" s="2" t="s">
        <v>3</v>
      </c>
      <c r="HP277" s="2" t="s">
        <v>3</v>
      </c>
      <c r="HQ277" s="2" t="s">
        <v>3</v>
      </c>
      <c r="HR277" s="2"/>
      <c r="HS277" s="2">
        <v>0</v>
      </c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>
        <v>0</v>
      </c>
      <c r="IL277" s="2"/>
      <c r="IM277" s="2"/>
      <c r="IN277" s="2"/>
      <c r="IO277" s="2"/>
      <c r="IP277" s="2"/>
      <c r="IQ277" s="2"/>
      <c r="IR277" s="2"/>
      <c r="IS277" s="2"/>
      <c r="IT277" s="2"/>
      <c r="IU277" s="2"/>
    </row>
    <row r="278" spans="1:255" x14ac:dyDescent="0.2">
      <c r="A278">
        <v>17</v>
      </c>
      <c r="B278">
        <v>1</v>
      </c>
      <c r="C278">
        <f>ROW(SmtRes!A48)</f>
        <v>48</v>
      </c>
      <c r="D278">
        <f>ROW(EtalonRes!A534)</f>
        <v>534</v>
      </c>
      <c r="E278" t="s">
        <v>370</v>
      </c>
      <c r="F278" t="s">
        <v>371</v>
      </c>
      <c r="G278" t="s">
        <v>372</v>
      </c>
      <c r="H278" t="s">
        <v>373</v>
      </c>
      <c r="I278">
        <v>0</v>
      </c>
      <c r="J278">
        <v>0</v>
      </c>
      <c r="K278">
        <v>0</v>
      </c>
      <c r="O278">
        <f t="shared" si="214"/>
        <v>0</v>
      </c>
      <c r="P278">
        <f t="shared" si="215"/>
        <v>0</v>
      </c>
      <c r="Q278">
        <f>(ROUND((ROUND((((ET278*1.05))*AV278*I278),2)*BB278),2)+ROUND((ROUND(((AE278-((EU278*1.05)))*AV278*I278),2)*BS278),2))</f>
        <v>0</v>
      </c>
      <c r="R278">
        <f t="shared" si="217"/>
        <v>0</v>
      </c>
      <c r="S278">
        <f t="shared" si="218"/>
        <v>0</v>
      </c>
      <c r="T278">
        <f t="shared" si="219"/>
        <v>0</v>
      </c>
      <c r="U278">
        <f t="shared" si="220"/>
        <v>0</v>
      </c>
      <c r="V278">
        <f t="shared" si="221"/>
        <v>0</v>
      </c>
      <c r="W278">
        <f t="shared" si="222"/>
        <v>0</v>
      </c>
      <c r="X278">
        <f t="shared" si="223"/>
        <v>0</v>
      </c>
      <c r="Y278">
        <f t="shared" si="224"/>
        <v>0</v>
      </c>
      <c r="AA278">
        <v>56610029</v>
      </c>
      <c r="AB278">
        <f t="shared" si="225"/>
        <v>900.38549999999998</v>
      </c>
      <c r="AC278">
        <f t="shared" si="226"/>
        <v>0</v>
      </c>
      <c r="AD278">
        <f>ROUND(((((ET278*1.05))-((EU278*1.05)))+AE278),6)</f>
        <v>0</v>
      </c>
      <c r="AE278">
        <f t="shared" si="249"/>
        <v>0</v>
      </c>
      <c r="AF278">
        <f t="shared" si="249"/>
        <v>900.38549999999998</v>
      </c>
      <c r="AG278">
        <f t="shared" si="229"/>
        <v>0</v>
      </c>
      <c r="AH278">
        <f t="shared" si="250"/>
        <v>80.535000000000011</v>
      </c>
      <c r="AI278">
        <f t="shared" si="250"/>
        <v>0</v>
      </c>
      <c r="AJ278">
        <f t="shared" si="231"/>
        <v>0</v>
      </c>
      <c r="AK278">
        <v>857.51</v>
      </c>
      <c r="AL278">
        <v>0</v>
      </c>
      <c r="AM278">
        <v>0</v>
      </c>
      <c r="AN278">
        <v>0</v>
      </c>
      <c r="AO278">
        <v>857.51</v>
      </c>
      <c r="AP278">
        <v>0</v>
      </c>
      <c r="AQ278">
        <v>76.7</v>
      </c>
      <c r="AR278">
        <v>0</v>
      </c>
      <c r="AS278">
        <v>0</v>
      </c>
      <c r="AT278">
        <v>70</v>
      </c>
      <c r="AU278">
        <v>41</v>
      </c>
      <c r="AV278">
        <v>1.0469999999999999</v>
      </c>
      <c r="AW278">
        <v>1</v>
      </c>
      <c r="AZ278">
        <v>1</v>
      </c>
      <c r="BA278">
        <v>34.51</v>
      </c>
      <c r="BB278">
        <v>1</v>
      </c>
      <c r="BC278">
        <v>1</v>
      </c>
      <c r="BD278" t="s">
        <v>3</v>
      </c>
      <c r="BE278" t="s">
        <v>3</v>
      </c>
      <c r="BF278" t="s">
        <v>3</v>
      </c>
      <c r="BG278" t="s">
        <v>3</v>
      </c>
      <c r="BH278">
        <v>0</v>
      </c>
      <c r="BI278">
        <v>1</v>
      </c>
      <c r="BJ278" t="s">
        <v>374</v>
      </c>
      <c r="BM278">
        <v>674</v>
      </c>
      <c r="BN278">
        <v>0</v>
      </c>
      <c r="BO278" t="s">
        <v>371</v>
      </c>
      <c r="BP278">
        <v>1</v>
      </c>
      <c r="BQ278">
        <v>60</v>
      </c>
      <c r="BR278">
        <v>0</v>
      </c>
      <c r="BS278">
        <v>34.51</v>
      </c>
      <c r="BT278">
        <v>1</v>
      </c>
      <c r="BU278">
        <v>1</v>
      </c>
      <c r="BV278">
        <v>1</v>
      </c>
      <c r="BW278">
        <v>1</v>
      </c>
      <c r="BX278">
        <v>1</v>
      </c>
      <c r="BY278" t="s">
        <v>3</v>
      </c>
      <c r="BZ278">
        <v>70</v>
      </c>
      <c r="CA278">
        <v>41</v>
      </c>
      <c r="CB278" t="s">
        <v>3</v>
      </c>
      <c r="CE278">
        <v>30</v>
      </c>
      <c r="CF278">
        <v>0</v>
      </c>
      <c r="CG278">
        <v>0</v>
      </c>
      <c r="CM278">
        <v>0</v>
      </c>
      <c r="CN278" t="s">
        <v>708</v>
      </c>
      <c r="CO278">
        <v>0</v>
      </c>
      <c r="CP278">
        <f t="shared" si="232"/>
        <v>0</v>
      </c>
      <c r="CQ278">
        <f t="shared" si="233"/>
        <v>0</v>
      </c>
      <c r="CR278">
        <f>(ROUND((ROUND((((ET278*1.05))*AV278*1),2)*BB278),2)+ROUND((ROUND(((AE278-((EU278*1.05)))*AV278*1),2)*BS278),2))</f>
        <v>0</v>
      </c>
      <c r="CS278">
        <f t="shared" si="235"/>
        <v>0</v>
      </c>
      <c r="CT278">
        <f t="shared" si="236"/>
        <v>32532.58</v>
      </c>
      <c r="CU278">
        <f t="shared" si="237"/>
        <v>0</v>
      </c>
      <c r="CV278">
        <f t="shared" si="238"/>
        <v>84.320145000000011</v>
      </c>
      <c r="CW278">
        <f t="shared" si="239"/>
        <v>0</v>
      </c>
      <c r="CX278">
        <f t="shared" si="240"/>
        <v>0</v>
      </c>
      <c r="CY278">
        <f>S278*(BZ278/100)</f>
        <v>0</v>
      </c>
      <c r="CZ278">
        <f>S278*(CA278/100)</f>
        <v>0</v>
      </c>
      <c r="DB278">
        <v>116</v>
      </c>
      <c r="DC278" t="s">
        <v>3</v>
      </c>
      <c r="DD278" t="s">
        <v>3</v>
      </c>
      <c r="DE278" t="s">
        <v>22</v>
      </c>
      <c r="DF278" t="s">
        <v>22</v>
      </c>
      <c r="DG278" t="s">
        <v>22</v>
      </c>
      <c r="DH278" t="s">
        <v>3</v>
      </c>
      <c r="DI278" t="s">
        <v>22</v>
      </c>
      <c r="DJ278" t="s">
        <v>22</v>
      </c>
      <c r="DK278" t="s">
        <v>3</v>
      </c>
      <c r="DL278" t="s">
        <v>3</v>
      </c>
      <c r="DM278" t="s">
        <v>3</v>
      </c>
      <c r="DN278">
        <v>80</v>
      </c>
      <c r="DO278">
        <v>55</v>
      </c>
      <c r="DP278">
        <v>1.0469999999999999</v>
      </c>
      <c r="DQ278">
        <v>1</v>
      </c>
      <c r="DU278">
        <v>1003</v>
      </c>
      <c r="DV278" t="s">
        <v>373</v>
      </c>
      <c r="DW278" t="s">
        <v>373</v>
      </c>
      <c r="DX278">
        <v>100</v>
      </c>
      <c r="DZ278" t="s">
        <v>3</v>
      </c>
      <c r="EA278" t="s">
        <v>3</v>
      </c>
      <c r="EB278" t="s">
        <v>3</v>
      </c>
      <c r="EC278" t="s">
        <v>3</v>
      </c>
      <c r="EE278">
        <v>51696713</v>
      </c>
      <c r="EF278">
        <v>60</v>
      </c>
      <c r="EG278" t="s">
        <v>270</v>
      </c>
      <c r="EH278">
        <v>0</v>
      </c>
      <c r="EI278" t="s">
        <v>3</v>
      </c>
      <c r="EJ278">
        <v>1</v>
      </c>
      <c r="EK278">
        <v>674</v>
      </c>
      <c r="EL278" t="s">
        <v>271</v>
      </c>
      <c r="EM278" t="s">
        <v>272</v>
      </c>
      <c r="EO278" t="s">
        <v>26</v>
      </c>
      <c r="EQ278">
        <v>131072</v>
      </c>
      <c r="ER278">
        <v>857.51</v>
      </c>
      <c r="ES278">
        <v>0</v>
      </c>
      <c r="ET278">
        <v>0</v>
      </c>
      <c r="EU278">
        <v>0</v>
      </c>
      <c r="EV278">
        <v>857.51</v>
      </c>
      <c r="EW278">
        <v>76.7</v>
      </c>
      <c r="EX278">
        <v>0</v>
      </c>
      <c r="EY278">
        <v>0</v>
      </c>
      <c r="FQ278">
        <v>0</v>
      </c>
      <c r="FR278">
        <v>0</v>
      </c>
      <c r="FS278">
        <v>0</v>
      </c>
      <c r="FX278">
        <v>80</v>
      </c>
      <c r="FY278">
        <v>55</v>
      </c>
      <c r="GA278" t="s">
        <v>3</v>
      </c>
      <c r="GD278">
        <v>0</v>
      </c>
      <c r="GF278">
        <v>665913781</v>
      </c>
      <c r="GG278">
        <v>2</v>
      </c>
      <c r="GH278">
        <v>1</v>
      </c>
      <c r="GI278">
        <v>2</v>
      </c>
      <c r="GJ278">
        <v>0</v>
      </c>
      <c r="GK278">
        <f>ROUND(R278*(S12)/100,2)</f>
        <v>0</v>
      </c>
      <c r="GL278">
        <f t="shared" si="241"/>
        <v>0</v>
      </c>
      <c r="GM278">
        <f t="shared" si="242"/>
        <v>0</v>
      </c>
      <c r="GN278">
        <f t="shared" si="243"/>
        <v>0</v>
      </c>
      <c r="GO278">
        <f t="shared" si="244"/>
        <v>0</v>
      </c>
      <c r="GP278">
        <f t="shared" si="245"/>
        <v>0</v>
      </c>
      <c r="GR278">
        <v>0</v>
      </c>
      <c r="GS278">
        <v>3</v>
      </c>
      <c r="GT278">
        <v>0</v>
      </c>
      <c r="GU278" t="s">
        <v>3</v>
      </c>
      <c r="GV278">
        <f t="shared" si="246"/>
        <v>0</v>
      </c>
      <c r="GW278">
        <v>1</v>
      </c>
      <c r="GX278">
        <f t="shared" si="247"/>
        <v>0</v>
      </c>
      <c r="HA278">
        <v>0</v>
      </c>
      <c r="HB278">
        <v>0</v>
      </c>
      <c r="HC278">
        <f t="shared" si="248"/>
        <v>0</v>
      </c>
      <c r="HE278" t="s">
        <v>3</v>
      </c>
      <c r="HF278" t="s">
        <v>3</v>
      </c>
      <c r="HM278" t="s">
        <v>3</v>
      </c>
      <c r="HN278" t="s">
        <v>3</v>
      </c>
      <c r="HO278" t="s">
        <v>3</v>
      </c>
      <c r="HP278" t="s">
        <v>3</v>
      </c>
      <c r="HQ278" t="s">
        <v>3</v>
      </c>
      <c r="HS278">
        <v>0</v>
      </c>
      <c r="IK278">
        <v>0</v>
      </c>
    </row>
    <row r="279" spans="1:255" x14ac:dyDescent="0.2">
      <c r="A279" s="2">
        <v>17</v>
      </c>
      <c r="B279" s="2">
        <v>1</v>
      </c>
      <c r="C279" s="2"/>
      <c r="D279" s="2">
        <f>ROW(EtalonRes!A541)</f>
        <v>541</v>
      </c>
      <c r="E279" s="2" t="s">
        <v>375</v>
      </c>
      <c r="F279" s="2" t="s">
        <v>376</v>
      </c>
      <c r="G279" s="2" t="s">
        <v>377</v>
      </c>
      <c r="H279" s="2" t="s">
        <v>378</v>
      </c>
      <c r="I279" s="2">
        <v>0</v>
      </c>
      <c r="J279" s="2">
        <v>0</v>
      </c>
      <c r="K279" s="2">
        <v>0</v>
      </c>
      <c r="L279" s="2"/>
      <c r="M279" s="2"/>
      <c r="N279" s="2"/>
      <c r="O279" s="2">
        <f t="shared" si="214"/>
        <v>0</v>
      </c>
      <c r="P279" s="2">
        <f t="shared" si="215"/>
        <v>0</v>
      </c>
      <c r="Q279" s="2">
        <f>(ROUND((ROUND((((ET279*1.05))*AV279*I279),2)*BB279),2)+ROUND((ROUND(((AE279-((EU279*1.05)))*AV279*I279),2)*BS279),2))</f>
        <v>0</v>
      </c>
      <c r="R279" s="2">
        <f t="shared" si="217"/>
        <v>0</v>
      </c>
      <c r="S279" s="2">
        <f t="shared" si="218"/>
        <v>0</v>
      </c>
      <c r="T279" s="2">
        <f t="shared" si="219"/>
        <v>0</v>
      </c>
      <c r="U279" s="2">
        <f t="shared" si="220"/>
        <v>0</v>
      </c>
      <c r="V279" s="2">
        <f t="shared" si="221"/>
        <v>0</v>
      </c>
      <c r="W279" s="2">
        <f t="shared" si="222"/>
        <v>0</v>
      </c>
      <c r="X279" s="2">
        <f t="shared" si="223"/>
        <v>0</v>
      </c>
      <c r="Y279" s="2">
        <f t="shared" si="224"/>
        <v>0</v>
      </c>
      <c r="Z279" s="2"/>
      <c r="AA279" s="2">
        <v>56622490</v>
      </c>
      <c r="AB279" s="2">
        <f t="shared" si="225"/>
        <v>4013.7294999999999</v>
      </c>
      <c r="AC279" s="2">
        <f t="shared" si="226"/>
        <v>3093.52</v>
      </c>
      <c r="AD279" s="2">
        <f>ROUND(((((ET279*1.05))-((EU279*1.05)))+AE279),6)</f>
        <v>114.75449999999999</v>
      </c>
      <c r="AE279" s="2">
        <f t="shared" si="249"/>
        <v>10.846500000000001</v>
      </c>
      <c r="AF279" s="2">
        <f t="shared" si="249"/>
        <v>805.45500000000004</v>
      </c>
      <c r="AG279" s="2">
        <f t="shared" si="229"/>
        <v>0</v>
      </c>
      <c r="AH279" s="2">
        <f t="shared" si="250"/>
        <v>73.290000000000006</v>
      </c>
      <c r="AI279" s="2">
        <f t="shared" si="250"/>
        <v>0</v>
      </c>
      <c r="AJ279" s="2">
        <f t="shared" si="231"/>
        <v>0</v>
      </c>
      <c r="AK279" s="2">
        <v>3969.91</v>
      </c>
      <c r="AL279" s="2">
        <v>3093.52</v>
      </c>
      <c r="AM279" s="2">
        <v>109.29</v>
      </c>
      <c r="AN279" s="2">
        <v>10.33</v>
      </c>
      <c r="AO279" s="2">
        <v>767.1</v>
      </c>
      <c r="AP279" s="2">
        <v>0</v>
      </c>
      <c r="AQ279" s="2">
        <v>69.8</v>
      </c>
      <c r="AR279" s="2">
        <v>0</v>
      </c>
      <c r="AS279" s="2">
        <v>0</v>
      </c>
      <c r="AT279" s="2">
        <v>161</v>
      </c>
      <c r="AU279" s="2">
        <v>107</v>
      </c>
      <c r="AV279" s="2">
        <v>1.0469999999999999</v>
      </c>
      <c r="AW279" s="2">
        <v>1.03</v>
      </c>
      <c r="AX279" s="2"/>
      <c r="AY279" s="2"/>
      <c r="AZ279" s="2">
        <v>1</v>
      </c>
      <c r="BA279" s="2">
        <v>1</v>
      </c>
      <c r="BB279" s="2">
        <v>1</v>
      </c>
      <c r="BC279" s="2">
        <v>1</v>
      </c>
      <c r="BD279" s="2" t="s">
        <v>3</v>
      </c>
      <c r="BE279" s="2" t="s">
        <v>3</v>
      </c>
      <c r="BF279" s="2" t="s">
        <v>3</v>
      </c>
      <c r="BG279" s="2" t="s">
        <v>3</v>
      </c>
      <c r="BH279" s="2">
        <v>0</v>
      </c>
      <c r="BI279" s="2">
        <v>1</v>
      </c>
      <c r="BJ279" s="2" t="s">
        <v>379</v>
      </c>
      <c r="BK279" s="2"/>
      <c r="BL279" s="2"/>
      <c r="BM279" s="2">
        <v>148</v>
      </c>
      <c r="BN279" s="2">
        <v>0</v>
      </c>
      <c r="BO279" s="2" t="s">
        <v>3</v>
      </c>
      <c r="BP279" s="2">
        <v>0</v>
      </c>
      <c r="BQ279" s="2">
        <v>30</v>
      </c>
      <c r="BR279" s="2">
        <v>0</v>
      </c>
      <c r="BS279" s="2">
        <v>1</v>
      </c>
      <c r="BT279" s="2">
        <v>1</v>
      </c>
      <c r="BU279" s="2">
        <v>1</v>
      </c>
      <c r="BV279" s="2">
        <v>1</v>
      </c>
      <c r="BW279" s="2">
        <v>1</v>
      </c>
      <c r="BX279" s="2">
        <v>1</v>
      </c>
      <c r="BY279" s="2" t="s">
        <v>3</v>
      </c>
      <c r="BZ279" s="2">
        <v>161</v>
      </c>
      <c r="CA279" s="2">
        <v>107</v>
      </c>
      <c r="CB279" s="2" t="s">
        <v>3</v>
      </c>
      <c r="CC279" s="2"/>
      <c r="CD279" s="2"/>
      <c r="CE279" s="2">
        <v>30</v>
      </c>
      <c r="CF279" s="2">
        <v>0</v>
      </c>
      <c r="CG279" s="2">
        <v>0</v>
      </c>
      <c r="CH279" s="2"/>
      <c r="CI279" s="2"/>
      <c r="CJ279" s="2"/>
      <c r="CK279" s="2"/>
      <c r="CL279" s="2"/>
      <c r="CM279" s="2">
        <v>0</v>
      </c>
      <c r="CN279" s="2" t="s">
        <v>708</v>
      </c>
      <c r="CO279" s="2">
        <v>0</v>
      </c>
      <c r="CP279" s="2">
        <f t="shared" si="232"/>
        <v>0</v>
      </c>
      <c r="CQ279" s="2">
        <f t="shared" si="233"/>
        <v>3186.33</v>
      </c>
      <c r="CR279" s="2">
        <f>(ROUND((ROUND((((ET279*1.05))*AV279*1),2)*BB279),2)+ROUND((ROUND(((AE279-((EU279*1.05)))*AV279*1),2)*BS279),2))</f>
        <v>120.15</v>
      </c>
      <c r="CS279" s="2">
        <f t="shared" si="235"/>
        <v>11.36</v>
      </c>
      <c r="CT279" s="2">
        <f t="shared" si="236"/>
        <v>843.31</v>
      </c>
      <c r="CU279" s="2">
        <f t="shared" si="237"/>
        <v>0</v>
      </c>
      <c r="CV279" s="2">
        <f t="shared" si="238"/>
        <v>76.734629999999996</v>
      </c>
      <c r="CW279" s="2">
        <f t="shared" si="239"/>
        <v>0</v>
      </c>
      <c r="CX279" s="2">
        <f t="shared" si="240"/>
        <v>0</v>
      </c>
      <c r="CY279" s="2">
        <f>((S279*BZ279)/100)</f>
        <v>0</v>
      </c>
      <c r="CZ279" s="2">
        <f>((S279*CA279)/100)</f>
        <v>0</v>
      </c>
      <c r="DA279" s="2"/>
      <c r="DB279" s="2">
        <v>117</v>
      </c>
      <c r="DC279" s="2" t="s">
        <v>3</v>
      </c>
      <c r="DD279" s="2" t="s">
        <v>3</v>
      </c>
      <c r="DE279" s="2" t="s">
        <v>22</v>
      </c>
      <c r="DF279" s="2" t="s">
        <v>22</v>
      </c>
      <c r="DG279" s="2" t="s">
        <v>22</v>
      </c>
      <c r="DH279" s="2" t="s">
        <v>3</v>
      </c>
      <c r="DI279" s="2" t="s">
        <v>22</v>
      </c>
      <c r="DJ279" s="2" t="s">
        <v>22</v>
      </c>
      <c r="DK279" s="2" t="s">
        <v>3</v>
      </c>
      <c r="DL279" s="2" t="s">
        <v>3</v>
      </c>
      <c r="DM279" s="2" t="s">
        <v>3</v>
      </c>
      <c r="DN279" s="2">
        <v>0</v>
      </c>
      <c r="DO279" s="2">
        <v>0</v>
      </c>
      <c r="DP279" s="2">
        <v>1</v>
      </c>
      <c r="DQ279" s="2">
        <v>1</v>
      </c>
      <c r="DR279" s="2"/>
      <c r="DS279" s="2"/>
      <c r="DT279" s="2"/>
      <c r="DU279" s="2">
        <v>1013</v>
      </c>
      <c r="DV279" s="2" t="s">
        <v>378</v>
      </c>
      <c r="DW279" s="2" t="s">
        <v>378</v>
      </c>
      <c r="DX279" s="2">
        <v>1</v>
      </c>
      <c r="DY279" s="2"/>
      <c r="DZ279" s="2" t="s">
        <v>3</v>
      </c>
      <c r="EA279" s="2" t="s">
        <v>3</v>
      </c>
      <c r="EB279" s="2" t="s">
        <v>3</v>
      </c>
      <c r="EC279" s="2" t="s">
        <v>3</v>
      </c>
      <c r="ED279" s="2"/>
      <c r="EE279" s="2">
        <v>51696187</v>
      </c>
      <c r="EF279" s="2">
        <v>30</v>
      </c>
      <c r="EG279" s="2" t="s">
        <v>23</v>
      </c>
      <c r="EH279" s="2">
        <v>0</v>
      </c>
      <c r="EI279" s="2" t="s">
        <v>3</v>
      </c>
      <c r="EJ279" s="2">
        <v>1</v>
      </c>
      <c r="EK279" s="2">
        <v>148</v>
      </c>
      <c r="EL279" s="2" t="s">
        <v>380</v>
      </c>
      <c r="EM279" s="2" t="s">
        <v>381</v>
      </c>
      <c r="EN279" s="2"/>
      <c r="EO279" s="2" t="s">
        <v>26</v>
      </c>
      <c r="EP279" s="2"/>
      <c r="EQ279" s="2">
        <v>131072</v>
      </c>
      <c r="ER279" s="2">
        <v>3969.91</v>
      </c>
      <c r="ES279" s="2">
        <v>3093.52</v>
      </c>
      <c r="ET279" s="2">
        <v>109.29</v>
      </c>
      <c r="EU279" s="2">
        <v>10.33</v>
      </c>
      <c r="EV279" s="2">
        <v>767.1</v>
      </c>
      <c r="EW279" s="2">
        <v>69.8</v>
      </c>
      <c r="EX279" s="2">
        <v>0</v>
      </c>
      <c r="EY279" s="2">
        <v>0</v>
      </c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>
        <v>0</v>
      </c>
      <c r="FR279" s="2">
        <v>0</v>
      </c>
      <c r="FS279" s="2">
        <v>0</v>
      </c>
      <c r="FT279" s="2"/>
      <c r="FU279" s="2"/>
      <c r="FV279" s="2"/>
      <c r="FW279" s="2"/>
      <c r="FX279" s="2">
        <v>161</v>
      </c>
      <c r="FY279" s="2">
        <v>107</v>
      </c>
      <c r="FZ279" s="2"/>
      <c r="GA279" s="2" t="s">
        <v>3</v>
      </c>
      <c r="GB279" s="2"/>
      <c r="GC279" s="2"/>
      <c r="GD279" s="2">
        <v>0</v>
      </c>
      <c r="GE279" s="2"/>
      <c r="GF279" s="2">
        <v>1981713923</v>
      </c>
      <c r="GG279" s="2">
        <v>2</v>
      </c>
      <c r="GH279" s="2">
        <v>1</v>
      </c>
      <c r="GI279" s="2">
        <v>-2</v>
      </c>
      <c r="GJ279" s="2">
        <v>0</v>
      </c>
      <c r="GK279" s="2">
        <f>ROUND(R279*(R12)/100,2)</f>
        <v>0</v>
      </c>
      <c r="GL279" s="2">
        <f t="shared" si="241"/>
        <v>0</v>
      </c>
      <c r="GM279" s="2">
        <f t="shared" si="242"/>
        <v>0</v>
      </c>
      <c r="GN279" s="2">
        <f t="shared" si="243"/>
        <v>0</v>
      </c>
      <c r="GO279" s="2">
        <f t="shared" si="244"/>
        <v>0</v>
      </c>
      <c r="GP279" s="2">
        <f t="shared" si="245"/>
        <v>0</v>
      </c>
      <c r="GQ279" s="2"/>
      <c r="GR279" s="2">
        <v>0</v>
      </c>
      <c r="GS279" s="2">
        <v>0</v>
      </c>
      <c r="GT279" s="2">
        <v>0</v>
      </c>
      <c r="GU279" s="2" t="s">
        <v>3</v>
      </c>
      <c r="GV279" s="2">
        <f t="shared" si="246"/>
        <v>0</v>
      </c>
      <c r="GW279" s="2">
        <v>1</v>
      </c>
      <c r="GX279" s="2">
        <f t="shared" si="247"/>
        <v>0</v>
      </c>
      <c r="GY279" s="2"/>
      <c r="GZ279" s="2"/>
      <c r="HA279" s="2">
        <v>0</v>
      </c>
      <c r="HB279" s="2">
        <v>0</v>
      </c>
      <c r="HC279" s="2">
        <f t="shared" si="248"/>
        <v>0</v>
      </c>
      <c r="HD279" s="2"/>
      <c r="HE279" s="2" t="s">
        <v>3</v>
      </c>
      <c r="HF279" s="2" t="s">
        <v>3</v>
      </c>
      <c r="HG279" s="2"/>
      <c r="HH279" s="2"/>
      <c r="HI279" s="2"/>
      <c r="HJ279" s="2"/>
      <c r="HK279" s="2"/>
      <c r="HL279" s="2"/>
      <c r="HM279" s="2" t="s">
        <v>3</v>
      </c>
      <c r="HN279" s="2" t="s">
        <v>3</v>
      </c>
      <c r="HO279" s="2" t="s">
        <v>3</v>
      </c>
      <c r="HP279" s="2" t="s">
        <v>3</v>
      </c>
      <c r="HQ279" s="2" t="s">
        <v>3</v>
      </c>
      <c r="HR279" s="2"/>
      <c r="HS279" s="2">
        <v>0</v>
      </c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>
        <v>0</v>
      </c>
      <c r="IL279" s="2"/>
      <c r="IM279" s="2"/>
      <c r="IN279" s="2"/>
      <c r="IO279" s="2"/>
      <c r="IP279" s="2"/>
      <c r="IQ279" s="2"/>
      <c r="IR279" s="2"/>
      <c r="IS279" s="2"/>
      <c r="IT279" s="2"/>
      <c r="IU279" s="2"/>
    </row>
    <row r="280" spans="1:255" x14ac:dyDescent="0.2">
      <c r="A280">
        <v>17</v>
      </c>
      <c r="B280">
        <v>1</v>
      </c>
      <c r="D280">
        <f>ROW(EtalonRes!A548)</f>
        <v>548</v>
      </c>
      <c r="E280" t="s">
        <v>375</v>
      </c>
      <c r="F280" t="s">
        <v>376</v>
      </c>
      <c r="G280" t="s">
        <v>377</v>
      </c>
      <c r="H280" t="s">
        <v>378</v>
      </c>
      <c r="I280">
        <v>0</v>
      </c>
      <c r="J280">
        <v>0</v>
      </c>
      <c r="K280">
        <v>0</v>
      </c>
      <c r="O280">
        <f t="shared" si="214"/>
        <v>0</v>
      </c>
      <c r="P280">
        <f t="shared" si="215"/>
        <v>0</v>
      </c>
      <c r="Q280">
        <f>(ROUND((ROUND((((ET280*1.05))*AV280*I280),2)*BB280),2)+ROUND((ROUND(((AE280-((EU280*1.05)))*AV280*I280),2)*BS280),2))</f>
        <v>0</v>
      </c>
      <c r="R280">
        <f t="shared" si="217"/>
        <v>0</v>
      </c>
      <c r="S280">
        <f t="shared" si="218"/>
        <v>0</v>
      </c>
      <c r="T280">
        <f t="shared" si="219"/>
        <v>0</v>
      </c>
      <c r="U280">
        <f t="shared" si="220"/>
        <v>0</v>
      </c>
      <c r="V280">
        <f t="shared" si="221"/>
        <v>0</v>
      </c>
      <c r="W280">
        <f t="shared" si="222"/>
        <v>0</v>
      </c>
      <c r="X280">
        <f t="shared" si="223"/>
        <v>0</v>
      </c>
      <c r="Y280">
        <f t="shared" si="224"/>
        <v>0</v>
      </c>
      <c r="AA280">
        <v>56610029</v>
      </c>
      <c r="AB280">
        <f t="shared" si="225"/>
        <v>4013.7294999999999</v>
      </c>
      <c r="AC280">
        <f t="shared" si="226"/>
        <v>3093.52</v>
      </c>
      <c r="AD280">
        <f>ROUND(((((ET280*1.05))-((EU280*1.05)))+AE280),6)</f>
        <v>114.75449999999999</v>
      </c>
      <c r="AE280">
        <f t="shared" si="249"/>
        <v>10.846500000000001</v>
      </c>
      <c r="AF280">
        <f t="shared" si="249"/>
        <v>805.45500000000004</v>
      </c>
      <c r="AG280">
        <f t="shared" si="229"/>
        <v>0</v>
      </c>
      <c r="AH280">
        <f t="shared" si="250"/>
        <v>73.290000000000006</v>
      </c>
      <c r="AI280">
        <f t="shared" si="250"/>
        <v>0</v>
      </c>
      <c r="AJ280">
        <f t="shared" si="231"/>
        <v>0</v>
      </c>
      <c r="AK280">
        <v>3969.91</v>
      </c>
      <c r="AL280">
        <v>3093.52</v>
      </c>
      <c r="AM280">
        <v>109.29</v>
      </c>
      <c r="AN280">
        <v>10.33</v>
      </c>
      <c r="AO280">
        <v>767.1</v>
      </c>
      <c r="AP280">
        <v>0</v>
      </c>
      <c r="AQ280">
        <v>69.8</v>
      </c>
      <c r="AR280">
        <v>0</v>
      </c>
      <c r="AS280">
        <v>0</v>
      </c>
      <c r="AT280">
        <v>134</v>
      </c>
      <c r="AU280">
        <v>55</v>
      </c>
      <c r="AV280">
        <v>1.0469999999999999</v>
      </c>
      <c r="AW280">
        <v>1.03</v>
      </c>
      <c r="AZ280">
        <v>1</v>
      </c>
      <c r="BA280">
        <v>34.51</v>
      </c>
      <c r="BB280">
        <v>11.46</v>
      </c>
      <c r="BC280">
        <v>8.0500000000000007</v>
      </c>
      <c r="BD280" t="s">
        <v>3</v>
      </c>
      <c r="BE280" t="s">
        <v>3</v>
      </c>
      <c r="BF280" t="s">
        <v>3</v>
      </c>
      <c r="BG280" t="s">
        <v>3</v>
      </c>
      <c r="BH280">
        <v>0</v>
      </c>
      <c r="BI280">
        <v>1</v>
      </c>
      <c r="BJ280" t="s">
        <v>379</v>
      </c>
      <c r="BM280">
        <v>148</v>
      </c>
      <c r="BN280">
        <v>0</v>
      </c>
      <c r="BO280" t="s">
        <v>376</v>
      </c>
      <c r="BP280">
        <v>1</v>
      </c>
      <c r="BQ280">
        <v>30</v>
      </c>
      <c r="BR280">
        <v>0</v>
      </c>
      <c r="BS280">
        <v>34.51</v>
      </c>
      <c r="BT280">
        <v>1</v>
      </c>
      <c r="BU280">
        <v>1</v>
      </c>
      <c r="BV280">
        <v>1</v>
      </c>
      <c r="BW280">
        <v>1</v>
      </c>
      <c r="BX280">
        <v>1</v>
      </c>
      <c r="BY280" t="s">
        <v>3</v>
      </c>
      <c r="BZ280">
        <v>134</v>
      </c>
      <c r="CA280">
        <v>55</v>
      </c>
      <c r="CB280" t="s">
        <v>3</v>
      </c>
      <c r="CE280">
        <v>30</v>
      </c>
      <c r="CF280">
        <v>0</v>
      </c>
      <c r="CG280">
        <v>0</v>
      </c>
      <c r="CM280">
        <v>0</v>
      </c>
      <c r="CN280" t="s">
        <v>708</v>
      </c>
      <c r="CO280">
        <v>0</v>
      </c>
      <c r="CP280">
        <f t="shared" si="232"/>
        <v>0</v>
      </c>
      <c r="CQ280">
        <f t="shared" si="233"/>
        <v>25649.96</v>
      </c>
      <c r="CR280">
        <f>(ROUND((ROUND((((ET280*1.05))*AV280*1),2)*BB280),2)+ROUND((ROUND(((AE280-((EU280*1.05)))*AV280*1),2)*BS280),2))</f>
        <v>1376.92</v>
      </c>
      <c r="CS280">
        <f t="shared" si="235"/>
        <v>392.03</v>
      </c>
      <c r="CT280">
        <f t="shared" si="236"/>
        <v>29102.63</v>
      </c>
      <c r="CU280">
        <f t="shared" si="237"/>
        <v>0</v>
      </c>
      <c r="CV280">
        <f t="shared" si="238"/>
        <v>76.734629999999996</v>
      </c>
      <c r="CW280">
        <f t="shared" si="239"/>
        <v>0</v>
      </c>
      <c r="CX280">
        <f t="shared" si="240"/>
        <v>0</v>
      </c>
      <c r="CY280">
        <f>S280*(BZ280/100)</f>
        <v>0</v>
      </c>
      <c r="CZ280">
        <f>S280*(CA280/100)</f>
        <v>0</v>
      </c>
      <c r="DB280">
        <v>118</v>
      </c>
      <c r="DC280" t="s">
        <v>3</v>
      </c>
      <c r="DD280" t="s">
        <v>3</v>
      </c>
      <c r="DE280" t="s">
        <v>22</v>
      </c>
      <c r="DF280" t="s">
        <v>22</v>
      </c>
      <c r="DG280" t="s">
        <v>22</v>
      </c>
      <c r="DH280" t="s">
        <v>3</v>
      </c>
      <c r="DI280" t="s">
        <v>22</v>
      </c>
      <c r="DJ280" t="s">
        <v>22</v>
      </c>
      <c r="DK280" t="s">
        <v>3</v>
      </c>
      <c r="DL280" t="s">
        <v>3</v>
      </c>
      <c r="DM280" t="s">
        <v>3</v>
      </c>
      <c r="DN280">
        <v>161</v>
      </c>
      <c r="DO280">
        <v>107</v>
      </c>
      <c r="DP280">
        <v>1.0469999999999999</v>
      </c>
      <c r="DQ280">
        <v>1.03</v>
      </c>
      <c r="DU280">
        <v>1013</v>
      </c>
      <c r="DV280" t="s">
        <v>378</v>
      </c>
      <c r="DW280" t="s">
        <v>378</v>
      </c>
      <c r="DX280">
        <v>1</v>
      </c>
      <c r="DZ280" t="s">
        <v>3</v>
      </c>
      <c r="EA280" t="s">
        <v>3</v>
      </c>
      <c r="EB280" t="s">
        <v>3</v>
      </c>
      <c r="EC280" t="s">
        <v>3</v>
      </c>
      <c r="EE280">
        <v>51696187</v>
      </c>
      <c r="EF280">
        <v>30</v>
      </c>
      <c r="EG280" t="s">
        <v>23</v>
      </c>
      <c r="EH280">
        <v>0</v>
      </c>
      <c r="EI280" t="s">
        <v>3</v>
      </c>
      <c r="EJ280">
        <v>1</v>
      </c>
      <c r="EK280">
        <v>148</v>
      </c>
      <c r="EL280" t="s">
        <v>380</v>
      </c>
      <c r="EM280" t="s">
        <v>381</v>
      </c>
      <c r="EO280" t="s">
        <v>26</v>
      </c>
      <c r="EQ280">
        <v>131072</v>
      </c>
      <c r="ER280">
        <v>3969.91</v>
      </c>
      <c r="ES280">
        <v>3093.52</v>
      </c>
      <c r="ET280">
        <v>109.29</v>
      </c>
      <c r="EU280">
        <v>10.33</v>
      </c>
      <c r="EV280">
        <v>767.1</v>
      </c>
      <c r="EW280">
        <v>69.8</v>
      </c>
      <c r="EX280">
        <v>0</v>
      </c>
      <c r="EY280">
        <v>0</v>
      </c>
      <c r="FQ280">
        <v>0</v>
      </c>
      <c r="FR280">
        <v>0</v>
      </c>
      <c r="FS280">
        <v>0</v>
      </c>
      <c r="FX280">
        <v>161</v>
      </c>
      <c r="FY280">
        <v>107</v>
      </c>
      <c r="GA280" t="s">
        <v>3</v>
      </c>
      <c r="GD280">
        <v>0</v>
      </c>
      <c r="GF280">
        <v>1981713923</v>
      </c>
      <c r="GG280">
        <v>2</v>
      </c>
      <c r="GH280">
        <v>1</v>
      </c>
      <c r="GI280">
        <v>2</v>
      </c>
      <c r="GJ280">
        <v>0</v>
      </c>
      <c r="GK280">
        <f>ROUND(R280*(S12)/100,2)</f>
        <v>0</v>
      </c>
      <c r="GL280">
        <f t="shared" si="241"/>
        <v>0</v>
      </c>
      <c r="GM280">
        <f t="shared" si="242"/>
        <v>0</v>
      </c>
      <c r="GN280">
        <f t="shared" si="243"/>
        <v>0</v>
      </c>
      <c r="GO280">
        <f t="shared" si="244"/>
        <v>0</v>
      </c>
      <c r="GP280">
        <f t="shared" si="245"/>
        <v>0</v>
      </c>
      <c r="GR280">
        <v>0</v>
      </c>
      <c r="GS280">
        <v>3</v>
      </c>
      <c r="GT280">
        <v>0</v>
      </c>
      <c r="GU280" t="s">
        <v>3</v>
      </c>
      <c r="GV280">
        <f t="shared" si="246"/>
        <v>0</v>
      </c>
      <c r="GW280">
        <v>1</v>
      </c>
      <c r="GX280">
        <f t="shared" si="247"/>
        <v>0</v>
      </c>
      <c r="HA280">
        <v>0</v>
      </c>
      <c r="HB280">
        <v>0</v>
      </c>
      <c r="HC280">
        <f t="shared" si="248"/>
        <v>0</v>
      </c>
      <c r="HE280" t="s">
        <v>3</v>
      </c>
      <c r="HF280" t="s">
        <v>3</v>
      </c>
      <c r="HM280" t="s">
        <v>3</v>
      </c>
      <c r="HN280" t="s">
        <v>3</v>
      </c>
      <c r="HO280" t="s">
        <v>3</v>
      </c>
      <c r="HP280" t="s">
        <v>3</v>
      </c>
      <c r="HQ280" t="s">
        <v>3</v>
      </c>
      <c r="HS280">
        <v>0</v>
      </c>
      <c r="IK280">
        <v>0</v>
      </c>
    </row>
    <row r="282" spans="1:255" x14ac:dyDescent="0.2">
      <c r="A282" s="3">
        <v>51</v>
      </c>
      <c r="B282" s="3">
        <f>B251</f>
        <v>1</v>
      </c>
      <c r="C282" s="3">
        <f>A251</f>
        <v>5</v>
      </c>
      <c r="D282" s="3">
        <f>ROW(A251)</f>
        <v>251</v>
      </c>
      <c r="E282" s="3"/>
      <c r="F282" s="3" t="str">
        <f>IF(F251&lt;&gt;"",F251,"")</f>
        <v>Новый подраздел</v>
      </c>
      <c r="G282" s="3" t="str">
        <f>IF(G251&lt;&gt;"",G251,"")</f>
        <v>Тротуар</v>
      </c>
      <c r="H282" s="3">
        <v>0</v>
      </c>
      <c r="I282" s="3"/>
      <c r="J282" s="3"/>
      <c r="K282" s="3"/>
      <c r="L282" s="3"/>
      <c r="M282" s="3"/>
      <c r="N282" s="3"/>
      <c r="O282" s="3">
        <f t="shared" ref="O282:T282" si="251">ROUND(AB282,2)</f>
        <v>0</v>
      </c>
      <c r="P282" s="3">
        <f t="shared" si="251"/>
        <v>0</v>
      </c>
      <c r="Q282" s="3">
        <f t="shared" si="251"/>
        <v>0</v>
      </c>
      <c r="R282" s="3">
        <f t="shared" si="251"/>
        <v>0</v>
      </c>
      <c r="S282" s="3">
        <f t="shared" si="251"/>
        <v>0</v>
      </c>
      <c r="T282" s="3">
        <f t="shared" si="251"/>
        <v>0</v>
      </c>
      <c r="U282" s="3">
        <f>AH282</f>
        <v>0</v>
      </c>
      <c r="V282" s="3">
        <f>AI282</f>
        <v>0</v>
      </c>
      <c r="W282" s="3">
        <f>ROUND(AJ282,2)</f>
        <v>0</v>
      </c>
      <c r="X282" s="3">
        <f>ROUND(AK282,2)</f>
        <v>0</v>
      </c>
      <c r="Y282" s="3">
        <f>ROUND(AL282,2)</f>
        <v>0</v>
      </c>
      <c r="Z282" s="3"/>
      <c r="AA282" s="3"/>
      <c r="AB282" s="3">
        <f>ROUND(SUMIF(AA255:AA280,"=56622490",O255:O280),2)</f>
        <v>0</v>
      </c>
      <c r="AC282" s="3">
        <f>ROUND(SUMIF(AA255:AA280,"=56622490",P255:P280),2)</f>
        <v>0</v>
      </c>
      <c r="AD282" s="3">
        <f>ROUND(SUMIF(AA255:AA280,"=56622490",Q255:Q280),2)</f>
        <v>0</v>
      </c>
      <c r="AE282" s="3">
        <f>ROUND(SUMIF(AA255:AA280,"=56622490",R255:R280),2)</f>
        <v>0</v>
      </c>
      <c r="AF282" s="3">
        <f>ROUND(SUMIF(AA255:AA280,"=56622490",S255:S280),2)</f>
        <v>0</v>
      </c>
      <c r="AG282" s="3">
        <f>ROUND(SUMIF(AA255:AA280,"=56622490",T255:T280),2)</f>
        <v>0</v>
      </c>
      <c r="AH282" s="3">
        <f>SUMIF(AA255:AA280,"=56622490",U255:U280)</f>
        <v>0</v>
      </c>
      <c r="AI282" s="3">
        <f>SUMIF(AA255:AA280,"=56622490",V255:V280)</f>
        <v>0</v>
      </c>
      <c r="AJ282" s="3">
        <f>ROUND(SUMIF(AA255:AA280,"=56622490",W255:W280),2)</f>
        <v>0</v>
      </c>
      <c r="AK282" s="3">
        <f>ROUND(SUMIF(AA255:AA280,"=56622490",X255:X280),2)</f>
        <v>0</v>
      </c>
      <c r="AL282" s="3">
        <f>ROUND(SUMIF(AA255:AA280,"=56622490",Y255:Y280),2)</f>
        <v>0</v>
      </c>
      <c r="AM282" s="3"/>
      <c r="AN282" s="3"/>
      <c r="AO282" s="3">
        <f t="shared" ref="AO282:BD282" si="252">ROUND(BX282,2)</f>
        <v>0</v>
      </c>
      <c r="AP282" s="3">
        <f t="shared" si="252"/>
        <v>0</v>
      </c>
      <c r="AQ282" s="3">
        <f t="shared" si="252"/>
        <v>0</v>
      </c>
      <c r="AR282" s="3">
        <f t="shared" si="252"/>
        <v>0</v>
      </c>
      <c r="AS282" s="3">
        <f t="shared" si="252"/>
        <v>0</v>
      </c>
      <c r="AT282" s="3">
        <f t="shared" si="252"/>
        <v>0</v>
      </c>
      <c r="AU282" s="3">
        <f t="shared" si="252"/>
        <v>0</v>
      </c>
      <c r="AV282" s="3">
        <f t="shared" si="252"/>
        <v>0</v>
      </c>
      <c r="AW282" s="3">
        <f t="shared" si="252"/>
        <v>0</v>
      </c>
      <c r="AX282" s="3">
        <f t="shared" si="252"/>
        <v>0</v>
      </c>
      <c r="AY282" s="3">
        <f t="shared" si="252"/>
        <v>0</v>
      </c>
      <c r="AZ282" s="3">
        <f t="shared" si="252"/>
        <v>0</v>
      </c>
      <c r="BA282" s="3">
        <f t="shared" si="252"/>
        <v>0</v>
      </c>
      <c r="BB282" s="3">
        <f t="shared" si="252"/>
        <v>0</v>
      </c>
      <c r="BC282" s="3">
        <f t="shared" si="252"/>
        <v>0</v>
      </c>
      <c r="BD282" s="3">
        <f t="shared" si="252"/>
        <v>0</v>
      </c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>
        <f>ROUND(SUMIF(AA255:AA280,"=56622490",FQ255:FQ280),2)</f>
        <v>0</v>
      </c>
      <c r="BY282" s="3">
        <f>ROUND(SUMIF(AA255:AA280,"=56622490",FR255:FR280),2)</f>
        <v>0</v>
      </c>
      <c r="BZ282" s="3">
        <f>ROUND(SUMIF(AA255:AA280,"=56622490",GL255:GL280),2)</f>
        <v>0</v>
      </c>
      <c r="CA282" s="3">
        <f>ROUND(SUMIF(AA255:AA280,"=56622490",GM255:GM280),2)</f>
        <v>0</v>
      </c>
      <c r="CB282" s="3">
        <f>ROUND(SUMIF(AA255:AA280,"=56622490",GN255:GN280),2)</f>
        <v>0</v>
      </c>
      <c r="CC282" s="3">
        <f>ROUND(SUMIF(AA255:AA280,"=56622490",GO255:GO280),2)</f>
        <v>0</v>
      </c>
      <c r="CD282" s="3">
        <f>ROUND(SUMIF(AA255:AA280,"=56622490",GP255:GP280),2)</f>
        <v>0</v>
      </c>
      <c r="CE282" s="3">
        <f>AC282-BX282</f>
        <v>0</v>
      </c>
      <c r="CF282" s="3">
        <f>AC282-BY282</f>
        <v>0</v>
      </c>
      <c r="CG282" s="3">
        <f>BX282-BZ282</f>
        <v>0</v>
      </c>
      <c r="CH282" s="3">
        <f>AC282-BX282-BY282+BZ282</f>
        <v>0</v>
      </c>
      <c r="CI282" s="3">
        <f>BY282-BZ282</f>
        <v>0</v>
      </c>
      <c r="CJ282" s="3">
        <f>ROUND(SUMIF(AA255:AA280,"=56622490",GX255:GX280),2)</f>
        <v>0</v>
      </c>
      <c r="CK282" s="3">
        <f>ROUND(SUMIF(AA255:AA280,"=56622490",GY255:GY280),2)</f>
        <v>0</v>
      </c>
      <c r="CL282" s="3">
        <f>ROUND(SUMIF(AA255:AA280,"=56622490",GZ255:GZ280),2)</f>
        <v>0</v>
      </c>
      <c r="CM282" s="3">
        <f>ROUND(SUMIF(AA255:AA280,"=56622490",HD255:HD280),2)</f>
        <v>0</v>
      </c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4">
        <f t="shared" ref="DG282:DL282" si="253">ROUND(DT282,2)</f>
        <v>0</v>
      </c>
      <c r="DH282" s="4">
        <f t="shared" si="253"/>
        <v>0</v>
      </c>
      <c r="DI282" s="4">
        <f t="shared" si="253"/>
        <v>0</v>
      </c>
      <c r="DJ282" s="4">
        <f t="shared" si="253"/>
        <v>0</v>
      </c>
      <c r="DK282" s="4">
        <f t="shared" si="253"/>
        <v>0</v>
      </c>
      <c r="DL282" s="4">
        <f t="shared" si="253"/>
        <v>0</v>
      </c>
      <c r="DM282" s="4">
        <f>DZ282</f>
        <v>0</v>
      </c>
      <c r="DN282" s="4">
        <f>EA282</f>
        <v>0</v>
      </c>
      <c r="DO282" s="4">
        <f>ROUND(EB282,2)</f>
        <v>0</v>
      </c>
      <c r="DP282" s="4">
        <f>ROUND(EC282,2)</f>
        <v>0</v>
      </c>
      <c r="DQ282" s="4">
        <f>ROUND(ED282,2)</f>
        <v>0</v>
      </c>
      <c r="DR282" s="4"/>
      <c r="DS282" s="4"/>
      <c r="DT282" s="4">
        <f>ROUND(SUMIF(AA255:AA280,"=56610029",O255:O280),2)</f>
        <v>0</v>
      </c>
      <c r="DU282" s="4">
        <f>ROUND(SUMIF(AA255:AA280,"=56610029",P255:P280),2)</f>
        <v>0</v>
      </c>
      <c r="DV282" s="4">
        <f>ROUND(SUMIF(AA255:AA280,"=56610029",Q255:Q280),2)</f>
        <v>0</v>
      </c>
      <c r="DW282" s="4">
        <f>ROUND(SUMIF(AA255:AA280,"=56610029",R255:R280),2)</f>
        <v>0</v>
      </c>
      <c r="DX282" s="4">
        <f>ROUND(SUMIF(AA255:AA280,"=56610029",S255:S280),2)</f>
        <v>0</v>
      </c>
      <c r="DY282" s="4">
        <f>ROUND(SUMIF(AA255:AA280,"=56610029",T255:T280),2)</f>
        <v>0</v>
      </c>
      <c r="DZ282" s="4">
        <f>SUMIF(AA255:AA280,"=56610029",U255:U280)</f>
        <v>0</v>
      </c>
      <c r="EA282" s="4">
        <f>SUMIF(AA255:AA280,"=56610029",V255:V280)</f>
        <v>0</v>
      </c>
      <c r="EB282" s="4">
        <f>ROUND(SUMIF(AA255:AA280,"=56610029",W255:W280),2)</f>
        <v>0</v>
      </c>
      <c r="EC282" s="4">
        <f>ROUND(SUMIF(AA255:AA280,"=56610029",X255:X280),2)</f>
        <v>0</v>
      </c>
      <c r="ED282" s="4">
        <f>ROUND(SUMIF(AA255:AA280,"=56610029",Y255:Y280),2)</f>
        <v>0</v>
      </c>
      <c r="EE282" s="4"/>
      <c r="EF282" s="4"/>
      <c r="EG282" s="4">
        <f t="shared" ref="EG282:EV282" si="254">ROUND(FP282,2)</f>
        <v>0</v>
      </c>
      <c r="EH282" s="4">
        <f t="shared" si="254"/>
        <v>0</v>
      </c>
      <c r="EI282" s="4">
        <f t="shared" si="254"/>
        <v>0</v>
      </c>
      <c r="EJ282" s="4">
        <f t="shared" si="254"/>
        <v>0</v>
      </c>
      <c r="EK282" s="4">
        <f t="shared" si="254"/>
        <v>0</v>
      </c>
      <c r="EL282" s="4">
        <f t="shared" si="254"/>
        <v>0</v>
      </c>
      <c r="EM282" s="4">
        <f t="shared" si="254"/>
        <v>0</v>
      </c>
      <c r="EN282" s="4">
        <f t="shared" si="254"/>
        <v>0</v>
      </c>
      <c r="EO282" s="4">
        <f t="shared" si="254"/>
        <v>0</v>
      </c>
      <c r="EP282" s="4">
        <f t="shared" si="254"/>
        <v>0</v>
      </c>
      <c r="EQ282" s="4">
        <f t="shared" si="254"/>
        <v>0</v>
      </c>
      <c r="ER282" s="4">
        <f t="shared" si="254"/>
        <v>0</v>
      </c>
      <c r="ES282" s="4">
        <f t="shared" si="254"/>
        <v>0</v>
      </c>
      <c r="ET282" s="4">
        <f t="shared" si="254"/>
        <v>0</v>
      </c>
      <c r="EU282" s="4">
        <f t="shared" si="254"/>
        <v>0</v>
      </c>
      <c r="EV282" s="4">
        <f t="shared" si="254"/>
        <v>0</v>
      </c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>
        <f>ROUND(SUMIF(AA255:AA280,"=56610029",FQ255:FQ280),2)</f>
        <v>0</v>
      </c>
      <c r="FQ282" s="4">
        <f>ROUND(SUMIF(AA255:AA280,"=56610029",FR255:FR280),2)</f>
        <v>0</v>
      </c>
      <c r="FR282" s="4">
        <f>ROUND(SUMIF(AA255:AA280,"=56610029",GL255:GL280),2)</f>
        <v>0</v>
      </c>
      <c r="FS282" s="4">
        <f>ROUND(SUMIF(AA255:AA280,"=56610029",GM255:GM280),2)</f>
        <v>0</v>
      </c>
      <c r="FT282" s="4">
        <f>ROUND(SUMIF(AA255:AA280,"=56610029",GN255:GN280),2)</f>
        <v>0</v>
      </c>
      <c r="FU282" s="4">
        <f>ROUND(SUMIF(AA255:AA280,"=56610029",GO255:GO280),2)</f>
        <v>0</v>
      </c>
      <c r="FV282" s="4">
        <f>ROUND(SUMIF(AA255:AA280,"=56610029",GP255:GP280),2)</f>
        <v>0</v>
      </c>
      <c r="FW282" s="4">
        <f>DU282-FP282</f>
        <v>0</v>
      </c>
      <c r="FX282" s="4">
        <f>DU282-FQ282</f>
        <v>0</v>
      </c>
      <c r="FY282" s="4">
        <f>FP282-FR282</f>
        <v>0</v>
      </c>
      <c r="FZ282" s="4">
        <f>DU282-FP282-FQ282+FR282</f>
        <v>0</v>
      </c>
      <c r="GA282" s="4">
        <f>FQ282-FR282</f>
        <v>0</v>
      </c>
      <c r="GB282" s="4">
        <f>ROUND(SUMIF(AA255:AA280,"=56610029",GX255:GX280),2)</f>
        <v>0</v>
      </c>
      <c r="GC282" s="4">
        <f>ROUND(SUMIF(AA255:AA280,"=56610029",GY255:GY280),2)</f>
        <v>0</v>
      </c>
      <c r="GD282" s="4">
        <f>ROUND(SUMIF(AA255:AA280,"=56610029",GZ255:GZ280),2)</f>
        <v>0</v>
      </c>
      <c r="GE282" s="4">
        <f>ROUND(SUMIF(AA255:AA280,"=56610029",HD255:HD280),2)</f>
        <v>0</v>
      </c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>
        <v>0</v>
      </c>
    </row>
    <row r="284" spans="1:255" x14ac:dyDescent="0.2">
      <c r="A284" s="5">
        <v>50</v>
      </c>
      <c r="B284" s="5">
        <v>0</v>
      </c>
      <c r="C284" s="5">
        <v>0</v>
      </c>
      <c r="D284" s="5">
        <v>1</v>
      </c>
      <c r="E284" s="5">
        <v>201</v>
      </c>
      <c r="F284" s="5">
        <f>ROUND(Source!O282,O284)</f>
        <v>0</v>
      </c>
      <c r="G284" s="5" t="s">
        <v>103</v>
      </c>
      <c r="H284" s="5" t="s">
        <v>104</v>
      </c>
      <c r="I284" s="5"/>
      <c r="J284" s="5"/>
      <c r="K284" s="5">
        <v>201</v>
      </c>
      <c r="L284" s="5">
        <v>1</v>
      </c>
      <c r="M284" s="5">
        <v>3</v>
      </c>
      <c r="N284" s="5" t="s">
        <v>3</v>
      </c>
      <c r="O284" s="5">
        <v>2</v>
      </c>
      <c r="P284" s="5">
        <f>ROUND(Source!DG282,O284)</f>
        <v>0</v>
      </c>
      <c r="Q284" s="5"/>
      <c r="R284" s="5"/>
      <c r="S284" s="5"/>
      <c r="T284" s="5"/>
      <c r="U284" s="5"/>
      <c r="V284" s="5"/>
      <c r="W284" s="5">
        <v>0</v>
      </c>
      <c r="X284" s="5">
        <v>1</v>
      </c>
      <c r="Y284" s="5">
        <v>0</v>
      </c>
      <c r="Z284" s="5">
        <v>0</v>
      </c>
      <c r="AA284" s="5">
        <v>1</v>
      </c>
      <c r="AB284" s="5">
        <v>0</v>
      </c>
    </row>
    <row r="285" spans="1:255" x14ac:dyDescent="0.2">
      <c r="A285" s="5">
        <v>50</v>
      </c>
      <c r="B285" s="5">
        <v>0</v>
      </c>
      <c r="C285" s="5">
        <v>0</v>
      </c>
      <c r="D285" s="5">
        <v>1</v>
      </c>
      <c r="E285" s="5">
        <v>202</v>
      </c>
      <c r="F285" s="5">
        <f>ROUND(Source!P282,O285)</f>
        <v>0</v>
      </c>
      <c r="G285" s="5" t="s">
        <v>105</v>
      </c>
      <c r="H285" s="5" t="s">
        <v>106</v>
      </c>
      <c r="I285" s="5"/>
      <c r="J285" s="5"/>
      <c r="K285" s="5">
        <v>202</v>
      </c>
      <c r="L285" s="5">
        <v>2</v>
      </c>
      <c r="M285" s="5">
        <v>3</v>
      </c>
      <c r="N285" s="5" t="s">
        <v>3</v>
      </c>
      <c r="O285" s="5">
        <v>2</v>
      </c>
      <c r="P285" s="5">
        <f>ROUND(Source!DH282,O285)</f>
        <v>0</v>
      </c>
      <c r="Q285" s="5"/>
      <c r="R285" s="5"/>
      <c r="S285" s="5"/>
      <c r="T285" s="5"/>
      <c r="U285" s="5"/>
      <c r="V285" s="5"/>
      <c r="W285" s="5">
        <v>0</v>
      </c>
      <c r="X285" s="5">
        <v>1</v>
      </c>
      <c r="Y285" s="5">
        <v>0</v>
      </c>
      <c r="Z285" s="5">
        <v>0</v>
      </c>
      <c r="AA285" s="5">
        <v>1</v>
      </c>
      <c r="AB285" s="5">
        <v>0</v>
      </c>
    </row>
    <row r="286" spans="1:255" x14ac:dyDescent="0.2">
      <c r="A286" s="5">
        <v>50</v>
      </c>
      <c r="B286" s="5">
        <v>0</v>
      </c>
      <c r="C286" s="5">
        <v>0</v>
      </c>
      <c r="D286" s="5">
        <v>1</v>
      </c>
      <c r="E286" s="5">
        <v>222</v>
      </c>
      <c r="F286" s="5">
        <f>ROUND(Source!AO282,O286)</f>
        <v>0</v>
      </c>
      <c r="G286" s="5" t="s">
        <v>107</v>
      </c>
      <c r="H286" s="5" t="s">
        <v>108</v>
      </c>
      <c r="I286" s="5"/>
      <c r="J286" s="5"/>
      <c r="K286" s="5">
        <v>222</v>
      </c>
      <c r="L286" s="5">
        <v>3</v>
      </c>
      <c r="M286" s="5">
        <v>3</v>
      </c>
      <c r="N286" s="5" t="s">
        <v>3</v>
      </c>
      <c r="O286" s="5">
        <v>2</v>
      </c>
      <c r="P286" s="5">
        <f>ROUND(Source!EG282,O286)</f>
        <v>0</v>
      </c>
      <c r="Q286" s="5"/>
      <c r="R286" s="5"/>
      <c r="S286" s="5"/>
      <c r="T286" s="5"/>
      <c r="U286" s="5"/>
      <c r="V286" s="5"/>
      <c r="W286" s="5">
        <v>0</v>
      </c>
      <c r="X286" s="5">
        <v>1</v>
      </c>
      <c r="Y286" s="5">
        <v>0</v>
      </c>
      <c r="Z286" s="5">
        <v>0</v>
      </c>
      <c r="AA286" s="5">
        <v>1</v>
      </c>
      <c r="AB286" s="5">
        <v>0</v>
      </c>
    </row>
    <row r="287" spans="1:255" x14ac:dyDescent="0.2">
      <c r="A287" s="5">
        <v>50</v>
      </c>
      <c r="B287" s="5">
        <v>0</v>
      </c>
      <c r="C287" s="5">
        <v>0</v>
      </c>
      <c r="D287" s="5">
        <v>1</v>
      </c>
      <c r="E287" s="5">
        <v>225</v>
      </c>
      <c r="F287" s="5">
        <f>ROUND(Source!AV282,O287)</f>
        <v>0</v>
      </c>
      <c r="G287" s="5" t="s">
        <v>109</v>
      </c>
      <c r="H287" s="5" t="s">
        <v>110</v>
      </c>
      <c r="I287" s="5"/>
      <c r="J287" s="5"/>
      <c r="K287" s="5">
        <v>225</v>
      </c>
      <c r="L287" s="5">
        <v>4</v>
      </c>
      <c r="M287" s="5">
        <v>3</v>
      </c>
      <c r="N287" s="5" t="s">
        <v>3</v>
      </c>
      <c r="O287" s="5">
        <v>2</v>
      </c>
      <c r="P287" s="5">
        <f>ROUND(Source!EN282,O287)</f>
        <v>0</v>
      </c>
      <c r="Q287" s="5"/>
      <c r="R287" s="5"/>
      <c r="S287" s="5"/>
      <c r="T287" s="5"/>
      <c r="U287" s="5"/>
      <c r="V287" s="5"/>
      <c r="W287" s="5">
        <v>0</v>
      </c>
      <c r="X287" s="5">
        <v>1</v>
      </c>
      <c r="Y287" s="5">
        <v>0</v>
      </c>
      <c r="Z287" s="5">
        <v>0</v>
      </c>
      <c r="AA287" s="5">
        <v>1</v>
      </c>
      <c r="AB287" s="5">
        <v>0</v>
      </c>
    </row>
    <row r="288" spans="1:255" x14ac:dyDescent="0.2">
      <c r="A288" s="5">
        <v>50</v>
      </c>
      <c r="B288" s="5">
        <v>0</v>
      </c>
      <c r="C288" s="5">
        <v>0</v>
      </c>
      <c r="D288" s="5">
        <v>1</v>
      </c>
      <c r="E288" s="5">
        <v>226</v>
      </c>
      <c r="F288" s="5">
        <f>ROUND(Source!AW282,O288)</f>
        <v>0</v>
      </c>
      <c r="G288" s="5" t="s">
        <v>111</v>
      </c>
      <c r="H288" s="5" t="s">
        <v>112</v>
      </c>
      <c r="I288" s="5"/>
      <c r="J288" s="5"/>
      <c r="K288" s="5">
        <v>226</v>
      </c>
      <c r="L288" s="5">
        <v>5</v>
      </c>
      <c r="M288" s="5">
        <v>3</v>
      </c>
      <c r="N288" s="5" t="s">
        <v>3</v>
      </c>
      <c r="O288" s="5">
        <v>2</v>
      </c>
      <c r="P288" s="5">
        <f>ROUND(Source!EO282,O288)</f>
        <v>0</v>
      </c>
      <c r="Q288" s="5"/>
      <c r="R288" s="5"/>
      <c r="S288" s="5"/>
      <c r="T288" s="5"/>
      <c r="U288" s="5"/>
      <c r="V288" s="5"/>
      <c r="W288" s="5">
        <v>0</v>
      </c>
      <c r="X288" s="5">
        <v>1</v>
      </c>
      <c r="Y288" s="5">
        <v>0</v>
      </c>
      <c r="Z288" s="5">
        <v>0</v>
      </c>
      <c r="AA288" s="5">
        <v>1</v>
      </c>
      <c r="AB288" s="5">
        <v>0</v>
      </c>
    </row>
    <row r="289" spans="1:28" x14ac:dyDescent="0.2">
      <c r="A289" s="5">
        <v>50</v>
      </c>
      <c r="B289" s="5">
        <v>0</v>
      </c>
      <c r="C289" s="5">
        <v>0</v>
      </c>
      <c r="D289" s="5">
        <v>1</v>
      </c>
      <c r="E289" s="5">
        <v>227</v>
      </c>
      <c r="F289" s="5">
        <f>ROUND(Source!AX282,O289)</f>
        <v>0</v>
      </c>
      <c r="G289" s="5" t="s">
        <v>113</v>
      </c>
      <c r="H289" s="5" t="s">
        <v>114</v>
      </c>
      <c r="I289" s="5"/>
      <c r="J289" s="5"/>
      <c r="K289" s="5">
        <v>227</v>
      </c>
      <c r="L289" s="5">
        <v>6</v>
      </c>
      <c r="M289" s="5">
        <v>3</v>
      </c>
      <c r="N289" s="5" t="s">
        <v>3</v>
      </c>
      <c r="O289" s="5">
        <v>2</v>
      </c>
      <c r="P289" s="5">
        <f>ROUND(Source!EP282,O289)</f>
        <v>0</v>
      </c>
      <c r="Q289" s="5"/>
      <c r="R289" s="5"/>
      <c r="S289" s="5"/>
      <c r="T289" s="5"/>
      <c r="U289" s="5"/>
      <c r="V289" s="5"/>
      <c r="W289" s="5">
        <v>0</v>
      </c>
      <c r="X289" s="5">
        <v>1</v>
      </c>
      <c r="Y289" s="5">
        <v>0</v>
      </c>
      <c r="Z289" s="5">
        <v>0</v>
      </c>
      <c r="AA289" s="5">
        <v>1</v>
      </c>
      <c r="AB289" s="5">
        <v>0</v>
      </c>
    </row>
    <row r="290" spans="1:28" x14ac:dyDescent="0.2">
      <c r="A290" s="5">
        <v>50</v>
      </c>
      <c r="B290" s="5">
        <v>0</v>
      </c>
      <c r="C290" s="5">
        <v>0</v>
      </c>
      <c r="D290" s="5">
        <v>1</v>
      </c>
      <c r="E290" s="5">
        <v>228</v>
      </c>
      <c r="F290" s="5">
        <f>ROUND(Source!AY282,O290)</f>
        <v>0</v>
      </c>
      <c r="G290" s="5" t="s">
        <v>115</v>
      </c>
      <c r="H290" s="5" t="s">
        <v>116</v>
      </c>
      <c r="I290" s="5"/>
      <c r="J290" s="5"/>
      <c r="K290" s="5">
        <v>228</v>
      </c>
      <c r="L290" s="5">
        <v>7</v>
      </c>
      <c r="M290" s="5">
        <v>3</v>
      </c>
      <c r="N290" s="5" t="s">
        <v>3</v>
      </c>
      <c r="O290" s="5">
        <v>2</v>
      </c>
      <c r="P290" s="5">
        <f>ROUND(Source!EQ282,O290)</f>
        <v>0</v>
      </c>
      <c r="Q290" s="5"/>
      <c r="R290" s="5"/>
      <c r="S290" s="5"/>
      <c r="T290" s="5"/>
      <c r="U290" s="5"/>
      <c r="V290" s="5"/>
      <c r="W290" s="5">
        <v>0</v>
      </c>
      <c r="X290" s="5">
        <v>1</v>
      </c>
      <c r="Y290" s="5">
        <v>0</v>
      </c>
      <c r="Z290" s="5">
        <v>0</v>
      </c>
      <c r="AA290" s="5">
        <v>1</v>
      </c>
      <c r="AB290" s="5">
        <v>0</v>
      </c>
    </row>
    <row r="291" spans="1:28" x14ac:dyDescent="0.2">
      <c r="A291" s="5">
        <v>50</v>
      </c>
      <c r="B291" s="5">
        <v>0</v>
      </c>
      <c r="C291" s="5">
        <v>0</v>
      </c>
      <c r="D291" s="5">
        <v>1</v>
      </c>
      <c r="E291" s="5">
        <v>216</v>
      </c>
      <c r="F291" s="5">
        <f>ROUND(Source!AP282,O291)</f>
        <v>0</v>
      </c>
      <c r="G291" s="5" t="s">
        <v>117</v>
      </c>
      <c r="H291" s="5" t="s">
        <v>118</v>
      </c>
      <c r="I291" s="5"/>
      <c r="J291" s="5"/>
      <c r="K291" s="5">
        <v>216</v>
      </c>
      <c r="L291" s="5">
        <v>8</v>
      </c>
      <c r="M291" s="5">
        <v>3</v>
      </c>
      <c r="N291" s="5" t="s">
        <v>3</v>
      </c>
      <c r="O291" s="5">
        <v>2</v>
      </c>
      <c r="P291" s="5">
        <f>ROUND(Source!EH282,O291)</f>
        <v>0</v>
      </c>
      <c r="Q291" s="5"/>
      <c r="R291" s="5"/>
      <c r="S291" s="5"/>
      <c r="T291" s="5"/>
      <c r="U291" s="5"/>
      <c r="V291" s="5"/>
      <c r="W291" s="5">
        <v>0</v>
      </c>
      <c r="X291" s="5">
        <v>1</v>
      </c>
      <c r="Y291" s="5">
        <v>0</v>
      </c>
      <c r="Z291" s="5">
        <v>0</v>
      </c>
      <c r="AA291" s="5">
        <v>1</v>
      </c>
      <c r="AB291" s="5">
        <v>0</v>
      </c>
    </row>
    <row r="292" spans="1:28" x14ac:dyDescent="0.2">
      <c r="A292" s="5">
        <v>50</v>
      </c>
      <c r="B292" s="5">
        <v>0</v>
      </c>
      <c r="C292" s="5">
        <v>0</v>
      </c>
      <c r="D292" s="5">
        <v>1</v>
      </c>
      <c r="E292" s="5">
        <v>223</v>
      </c>
      <c r="F292" s="5">
        <f>ROUND(Source!AQ282,O292)</f>
        <v>0</v>
      </c>
      <c r="G292" s="5" t="s">
        <v>119</v>
      </c>
      <c r="H292" s="5" t="s">
        <v>120</v>
      </c>
      <c r="I292" s="5"/>
      <c r="J292" s="5"/>
      <c r="K292" s="5">
        <v>223</v>
      </c>
      <c r="L292" s="5">
        <v>9</v>
      </c>
      <c r="M292" s="5">
        <v>3</v>
      </c>
      <c r="N292" s="5" t="s">
        <v>3</v>
      </c>
      <c r="O292" s="5">
        <v>2</v>
      </c>
      <c r="P292" s="5">
        <f>ROUND(Source!EI282,O292)</f>
        <v>0</v>
      </c>
      <c r="Q292" s="5"/>
      <c r="R292" s="5"/>
      <c r="S292" s="5"/>
      <c r="T292" s="5"/>
      <c r="U292" s="5"/>
      <c r="V292" s="5"/>
      <c r="W292" s="5">
        <v>0</v>
      </c>
      <c r="X292" s="5">
        <v>1</v>
      </c>
      <c r="Y292" s="5">
        <v>0</v>
      </c>
      <c r="Z292" s="5">
        <v>0</v>
      </c>
      <c r="AA292" s="5">
        <v>1</v>
      </c>
      <c r="AB292" s="5">
        <v>0</v>
      </c>
    </row>
    <row r="293" spans="1:28" x14ac:dyDescent="0.2">
      <c r="A293" s="5">
        <v>50</v>
      </c>
      <c r="B293" s="5">
        <v>0</v>
      </c>
      <c r="C293" s="5">
        <v>0</v>
      </c>
      <c r="D293" s="5">
        <v>1</v>
      </c>
      <c r="E293" s="5">
        <v>229</v>
      </c>
      <c r="F293" s="5">
        <f>ROUND(Source!AZ282,O293)</f>
        <v>0</v>
      </c>
      <c r="G293" s="5" t="s">
        <v>121</v>
      </c>
      <c r="H293" s="5" t="s">
        <v>122</v>
      </c>
      <c r="I293" s="5"/>
      <c r="J293" s="5"/>
      <c r="K293" s="5">
        <v>229</v>
      </c>
      <c r="L293" s="5">
        <v>10</v>
      </c>
      <c r="M293" s="5">
        <v>3</v>
      </c>
      <c r="N293" s="5" t="s">
        <v>3</v>
      </c>
      <c r="O293" s="5">
        <v>2</v>
      </c>
      <c r="P293" s="5">
        <f>ROUND(Source!ER282,O293)</f>
        <v>0</v>
      </c>
      <c r="Q293" s="5"/>
      <c r="R293" s="5"/>
      <c r="S293" s="5"/>
      <c r="T293" s="5"/>
      <c r="U293" s="5"/>
      <c r="V293" s="5"/>
      <c r="W293" s="5">
        <v>0</v>
      </c>
      <c r="X293" s="5">
        <v>1</v>
      </c>
      <c r="Y293" s="5">
        <v>0</v>
      </c>
      <c r="Z293" s="5">
        <v>0</v>
      </c>
      <c r="AA293" s="5">
        <v>1</v>
      </c>
      <c r="AB293" s="5">
        <v>0</v>
      </c>
    </row>
    <row r="294" spans="1:28" x14ac:dyDescent="0.2">
      <c r="A294" s="5">
        <v>50</v>
      </c>
      <c r="B294" s="5">
        <v>0</v>
      </c>
      <c r="C294" s="5">
        <v>0</v>
      </c>
      <c r="D294" s="5">
        <v>1</v>
      </c>
      <c r="E294" s="5">
        <v>203</v>
      </c>
      <c r="F294" s="5">
        <f>ROUND(Source!Q282,O294)</f>
        <v>0</v>
      </c>
      <c r="G294" s="5" t="s">
        <v>123</v>
      </c>
      <c r="H294" s="5" t="s">
        <v>124</v>
      </c>
      <c r="I294" s="5"/>
      <c r="J294" s="5"/>
      <c r="K294" s="5">
        <v>203</v>
      </c>
      <c r="L294" s="5">
        <v>11</v>
      </c>
      <c r="M294" s="5">
        <v>3</v>
      </c>
      <c r="N294" s="5" t="s">
        <v>3</v>
      </c>
      <c r="O294" s="5">
        <v>2</v>
      </c>
      <c r="P294" s="5">
        <f>ROUND(Source!DI282,O294)</f>
        <v>0</v>
      </c>
      <c r="Q294" s="5"/>
      <c r="R294" s="5"/>
      <c r="S294" s="5"/>
      <c r="T294" s="5"/>
      <c r="U294" s="5"/>
      <c r="V294" s="5"/>
      <c r="W294" s="5">
        <v>0</v>
      </c>
      <c r="X294" s="5">
        <v>1</v>
      </c>
      <c r="Y294" s="5">
        <v>0</v>
      </c>
      <c r="Z294" s="5">
        <v>0</v>
      </c>
      <c r="AA294" s="5">
        <v>1</v>
      </c>
      <c r="AB294" s="5">
        <v>0</v>
      </c>
    </row>
    <row r="295" spans="1:28" x14ac:dyDescent="0.2">
      <c r="A295" s="5">
        <v>50</v>
      </c>
      <c r="B295" s="5">
        <v>0</v>
      </c>
      <c r="C295" s="5">
        <v>0</v>
      </c>
      <c r="D295" s="5">
        <v>1</v>
      </c>
      <c r="E295" s="5">
        <v>231</v>
      </c>
      <c r="F295" s="5">
        <f>ROUND(Source!BB282,O295)</f>
        <v>0</v>
      </c>
      <c r="G295" s="5" t="s">
        <v>125</v>
      </c>
      <c r="H295" s="5" t="s">
        <v>126</v>
      </c>
      <c r="I295" s="5"/>
      <c r="J295" s="5"/>
      <c r="K295" s="5">
        <v>231</v>
      </c>
      <c r="L295" s="5">
        <v>12</v>
      </c>
      <c r="M295" s="5">
        <v>3</v>
      </c>
      <c r="N295" s="5" t="s">
        <v>3</v>
      </c>
      <c r="O295" s="5">
        <v>2</v>
      </c>
      <c r="P295" s="5">
        <f>ROUND(Source!ET282,O295)</f>
        <v>0</v>
      </c>
      <c r="Q295" s="5"/>
      <c r="R295" s="5"/>
      <c r="S295" s="5"/>
      <c r="T295" s="5"/>
      <c r="U295" s="5"/>
      <c r="V295" s="5"/>
      <c r="W295" s="5">
        <v>0</v>
      </c>
      <c r="X295" s="5">
        <v>1</v>
      </c>
      <c r="Y295" s="5">
        <v>0</v>
      </c>
      <c r="Z295" s="5">
        <v>0</v>
      </c>
      <c r="AA295" s="5">
        <v>1</v>
      </c>
      <c r="AB295" s="5">
        <v>0</v>
      </c>
    </row>
    <row r="296" spans="1:28" x14ac:dyDescent="0.2">
      <c r="A296" s="5">
        <v>50</v>
      </c>
      <c r="B296" s="5">
        <v>0</v>
      </c>
      <c r="C296" s="5">
        <v>0</v>
      </c>
      <c r="D296" s="5">
        <v>1</v>
      </c>
      <c r="E296" s="5">
        <v>204</v>
      </c>
      <c r="F296" s="5">
        <f>ROUND(Source!R282,O296)</f>
        <v>0</v>
      </c>
      <c r="G296" s="5" t="s">
        <v>127</v>
      </c>
      <c r="H296" s="5" t="s">
        <v>128</v>
      </c>
      <c r="I296" s="5"/>
      <c r="J296" s="5"/>
      <c r="K296" s="5">
        <v>204</v>
      </c>
      <c r="L296" s="5">
        <v>13</v>
      </c>
      <c r="M296" s="5">
        <v>3</v>
      </c>
      <c r="N296" s="5" t="s">
        <v>3</v>
      </c>
      <c r="O296" s="5">
        <v>2</v>
      </c>
      <c r="P296" s="5">
        <f>ROUND(Source!DJ282,O296)</f>
        <v>0</v>
      </c>
      <c r="Q296" s="5"/>
      <c r="R296" s="5"/>
      <c r="S296" s="5"/>
      <c r="T296" s="5"/>
      <c r="U296" s="5"/>
      <c r="V296" s="5"/>
      <c r="W296" s="5">
        <v>0</v>
      </c>
      <c r="X296" s="5">
        <v>1</v>
      </c>
      <c r="Y296" s="5">
        <v>0</v>
      </c>
      <c r="Z296" s="5">
        <v>0</v>
      </c>
      <c r="AA296" s="5">
        <v>1</v>
      </c>
      <c r="AB296" s="5">
        <v>0</v>
      </c>
    </row>
    <row r="297" spans="1:28" x14ac:dyDescent="0.2">
      <c r="A297" s="5">
        <v>50</v>
      </c>
      <c r="B297" s="5">
        <v>0</v>
      </c>
      <c r="C297" s="5">
        <v>0</v>
      </c>
      <c r="D297" s="5">
        <v>1</v>
      </c>
      <c r="E297" s="5">
        <v>205</v>
      </c>
      <c r="F297" s="5">
        <f>ROUND(Source!S282,O297)</f>
        <v>0</v>
      </c>
      <c r="G297" s="5" t="s">
        <v>129</v>
      </c>
      <c r="H297" s="5" t="s">
        <v>130</v>
      </c>
      <c r="I297" s="5"/>
      <c r="J297" s="5"/>
      <c r="K297" s="5">
        <v>205</v>
      </c>
      <c r="L297" s="5">
        <v>14</v>
      </c>
      <c r="M297" s="5">
        <v>3</v>
      </c>
      <c r="N297" s="5" t="s">
        <v>3</v>
      </c>
      <c r="O297" s="5">
        <v>2</v>
      </c>
      <c r="P297" s="5">
        <f>ROUND(Source!DK282,O297)</f>
        <v>0</v>
      </c>
      <c r="Q297" s="5"/>
      <c r="R297" s="5"/>
      <c r="S297" s="5"/>
      <c r="T297" s="5"/>
      <c r="U297" s="5"/>
      <c r="V297" s="5"/>
      <c r="W297" s="5">
        <v>0</v>
      </c>
      <c r="X297" s="5">
        <v>1</v>
      </c>
      <c r="Y297" s="5">
        <v>0</v>
      </c>
      <c r="Z297" s="5">
        <v>0</v>
      </c>
      <c r="AA297" s="5">
        <v>1</v>
      </c>
      <c r="AB297" s="5">
        <v>0</v>
      </c>
    </row>
    <row r="298" spans="1:28" x14ac:dyDescent="0.2">
      <c r="A298" s="5">
        <v>50</v>
      </c>
      <c r="B298" s="5">
        <v>0</v>
      </c>
      <c r="C298" s="5">
        <v>0</v>
      </c>
      <c r="D298" s="5">
        <v>1</v>
      </c>
      <c r="E298" s="5">
        <v>232</v>
      </c>
      <c r="F298" s="5">
        <f>ROUND(Source!BC282,O298)</f>
        <v>0</v>
      </c>
      <c r="G298" s="5" t="s">
        <v>131</v>
      </c>
      <c r="H298" s="5" t="s">
        <v>132</v>
      </c>
      <c r="I298" s="5"/>
      <c r="J298" s="5"/>
      <c r="K298" s="5">
        <v>232</v>
      </c>
      <c r="L298" s="5">
        <v>15</v>
      </c>
      <c r="M298" s="5">
        <v>3</v>
      </c>
      <c r="N298" s="5" t="s">
        <v>3</v>
      </c>
      <c r="O298" s="5">
        <v>2</v>
      </c>
      <c r="P298" s="5">
        <f>ROUND(Source!EU282,O298)</f>
        <v>0</v>
      </c>
      <c r="Q298" s="5"/>
      <c r="R298" s="5"/>
      <c r="S298" s="5"/>
      <c r="T298" s="5"/>
      <c r="U298" s="5"/>
      <c r="V298" s="5"/>
      <c r="W298" s="5">
        <v>0</v>
      </c>
      <c r="X298" s="5">
        <v>1</v>
      </c>
      <c r="Y298" s="5">
        <v>0</v>
      </c>
      <c r="Z298" s="5">
        <v>0</v>
      </c>
      <c r="AA298" s="5">
        <v>1</v>
      </c>
      <c r="AB298" s="5">
        <v>0</v>
      </c>
    </row>
    <row r="299" spans="1:28" x14ac:dyDescent="0.2">
      <c r="A299" s="5">
        <v>50</v>
      </c>
      <c r="B299" s="5">
        <v>0</v>
      </c>
      <c r="C299" s="5">
        <v>0</v>
      </c>
      <c r="D299" s="5">
        <v>1</v>
      </c>
      <c r="E299" s="5">
        <v>214</v>
      </c>
      <c r="F299" s="5">
        <f>ROUND(Source!AS282,O299)</f>
        <v>0</v>
      </c>
      <c r="G299" s="5" t="s">
        <v>133</v>
      </c>
      <c r="H299" s="5" t="s">
        <v>134</v>
      </c>
      <c r="I299" s="5"/>
      <c r="J299" s="5"/>
      <c r="K299" s="5">
        <v>214</v>
      </c>
      <c r="L299" s="5">
        <v>16</v>
      </c>
      <c r="M299" s="5">
        <v>3</v>
      </c>
      <c r="N299" s="5" t="s">
        <v>3</v>
      </c>
      <c r="O299" s="5">
        <v>2</v>
      </c>
      <c r="P299" s="5">
        <f>ROUND(Source!EK282,O299)</f>
        <v>0</v>
      </c>
      <c r="Q299" s="5"/>
      <c r="R299" s="5"/>
      <c r="S299" s="5"/>
      <c r="T299" s="5"/>
      <c r="U299" s="5"/>
      <c r="V299" s="5"/>
      <c r="W299" s="5">
        <v>0</v>
      </c>
      <c r="X299" s="5">
        <v>1</v>
      </c>
      <c r="Y299" s="5">
        <v>0</v>
      </c>
      <c r="Z299" s="5">
        <v>0</v>
      </c>
      <c r="AA299" s="5">
        <v>1</v>
      </c>
      <c r="AB299" s="5">
        <v>0</v>
      </c>
    </row>
    <row r="300" spans="1:28" x14ac:dyDescent="0.2">
      <c r="A300" s="5">
        <v>50</v>
      </c>
      <c r="B300" s="5">
        <v>0</v>
      </c>
      <c r="C300" s="5">
        <v>0</v>
      </c>
      <c r="D300" s="5">
        <v>1</v>
      </c>
      <c r="E300" s="5">
        <v>215</v>
      </c>
      <c r="F300" s="5">
        <f>ROUND(Source!AT282,O300)</f>
        <v>0</v>
      </c>
      <c r="G300" s="5" t="s">
        <v>135</v>
      </c>
      <c r="H300" s="5" t="s">
        <v>136</v>
      </c>
      <c r="I300" s="5"/>
      <c r="J300" s="5"/>
      <c r="K300" s="5">
        <v>215</v>
      </c>
      <c r="L300" s="5">
        <v>17</v>
      </c>
      <c r="M300" s="5">
        <v>3</v>
      </c>
      <c r="N300" s="5" t="s">
        <v>3</v>
      </c>
      <c r="O300" s="5">
        <v>2</v>
      </c>
      <c r="P300" s="5">
        <f>ROUND(Source!EL282,O300)</f>
        <v>0</v>
      </c>
      <c r="Q300" s="5"/>
      <c r="R300" s="5"/>
      <c r="S300" s="5"/>
      <c r="T300" s="5"/>
      <c r="U300" s="5"/>
      <c r="V300" s="5"/>
      <c r="W300" s="5">
        <v>0</v>
      </c>
      <c r="X300" s="5">
        <v>1</v>
      </c>
      <c r="Y300" s="5">
        <v>0</v>
      </c>
      <c r="Z300" s="5">
        <v>0</v>
      </c>
      <c r="AA300" s="5">
        <v>1</v>
      </c>
      <c r="AB300" s="5">
        <v>0</v>
      </c>
    </row>
    <row r="301" spans="1:28" x14ac:dyDescent="0.2">
      <c r="A301" s="5">
        <v>50</v>
      </c>
      <c r="B301" s="5">
        <v>0</v>
      </c>
      <c r="C301" s="5">
        <v>0</v>
      </c>
      <c r="D301" s="5">
        <v>1</v>
      </c>
      <c r="E301" s="5">
        <v>217</v>
      </c>
      <c r="F301" s="5">
        <f>ROUND(Source!AU282,O301)</f>
        <v>0</v>
      </c>
      <c r="G301" s="5" t="s">
        <v>137</v>
      </c>
      <c r="H301" s="5" t="s">
        <v>138</v>
      </c>
      <c r="I301" s="5"/>
      <c r="J301" s="5"/>
      <c r="K301" s="5">
        <v>217</v>
      </c>
      <c r="L301" s="5">
        <v>18</v>
      </c>
      <c r="M301" s="5">
        <v>3</v>
      </c>
      <c r="N301" s="5" t="s">
        <v>3</v>
      </c>
      <c r="O301" s="5">
        <v>2</v>
      </c>
      <c r="P301" s="5">
        <f>ROUND(Source!EM282,O301)</f>
        <v>0</v>
      </c>
      <c r="Q301" s="5"/>
      <c r="R301" s="5"/>
      <c r="S301" s="5"/>
      <c r="T301" s="5"/>
      <c r="U301" s="5"/>
      <c r="V301" s="5"/>
      <c r="W301" s="5">
        <v>0</v>
      </c>
      <c r="X301" s="5">
        <v>1</v>
      </c>
      <c r="Y301" s="5">
        <v>0</v>
      </c>
      <c r="Z301" s="5">
        <v>0</v>
      </c>
      <c r="AA301" s="5">
        <v>1</v>
      </c>
      <c r="AB301" s="5">
        <v>0</v>
      </c>
    </row>
    <row r="302" spans="1:28" x14ac:dyDescent="0.2">
      <c r="A302" s="5">
        <v>50</v>
      </c>
      <c r="B302" s="5">
        <v>0</v>
      </c>
      <c r="C302" s="5">
        <v>0</v>
      </c>
      <c r="D302" s="5">
        <v>1</v>
      </c>
      <c r="E302" s="5">
        <v>230</v>
      </c>
      <c r="F302" s="5">
        <f>ROUND(Source!BA282,O302)</f>
        <v>0</v>
      </c>
      <c r="G302" s="5" t="s">
        <v>139</v>
      </c>
      <c r="H302" s="5" t="s">
        <v>140</v>
      </c>
      <c r="I302" s="5"/>
      <c r="J302" s="5"/>
      <c r="K302" s="5">
        <v>230</v>
      </c>
      <c r="L302" s="5">
        <v>19</v>
      </c>
      <c r="M302" s="5">
        <v>3</v>
      </c>
      <c r="N302" s="5" t="s">
        <v>3</v>
      </c>
      <c r="O302" s="5">
        <v>2</v>
      </c>
      <c r="P302" s="5">
        <f>ROUND(Source!ES282,O302)</f>
        <v>0</v>
      </c>
      <c r="Q302" s="5"/>
      <c r="R302" s="5"/>
      <c r="S302" s="5"/>
      <c r="T302" s="5"/>
      <c r="U302" s="5"/>
      <c r="V302" s="5"/>
      <c r="W302" s="5">
        <v>0</v>
      </c>
      <c r="X302" s="5">
        <v>1</v>
      </c>
      <c r="Y302" s="5">
        <v>0</v>
      </c>
      <c r="Z302" s="5">
        <v>0</v>
      </c>
      <c r="AA302" s="5">
        <v>1</v>
      </c>
      <c r="AB302" s="5">
        <v>0</v>
      </c>
    </row>
    <row r="303" spans="1:28" x14ac:dyDescent="0.2">
      <c r="A303" s="5">
        <v>50</v>
      </c>
      <c r="B303" s="5">
        <v>0</v>
      </c>
      <c r="C303" s="5">
        <v>0</v>
      </c>
      <c r="D303" s="5">
        <v>1</v>
      </c>
      <c r="E303" s="5">
        <v>206</v>
      </c>
      <c r="F303" s="5">
        <f>ROUND(Source!T282,O303)</f>
        <v>0</v>
      </c>
      <c r="G303" s="5" t="s">
        <v>141</v>
      </c>
      <c r="H303" s="5" t="s">
        <v>142</v>
      </c>
      <c r="I303" s="5"/>
      <c r="J303" s="5"/>
      <c r="K303" s="5">
        <v>206</v>
      </c>
      <c r="L303" s="5">
        <v>20</v>
      </c>
      <c r="M303" s="5">
        <v>3</v>
      </c>
      <c r="N303" s="5" t="s">
        <v>3</v>
      </c>
      <c r="O303" s="5">
        <v>2</v>
      </c>
      <c r="P303" s="5">
        <f>ROUND(Source!DL282,O303)</f>
        <v>0</v>
      </c>
      <c r="Q303" s="5"/>
      <c r="R303" s="5"/>
      <c r="S303" s="5"/>
      <c r="T303" s="5"/>
      <c r="U303" s="5"/>
      <c r="V303" s="5"/>
      <c r="W303" s="5">
        <v>0</v>
      </c>
      <c r="X303" s="5">
        <v>1</v>
      </c>
      <c r="Y303" s="5">
        <v>0</v>
      </c>
      <c r="Z303" s="5">
        <v>0</v>
      </c>
      <c r="AA303" s="5">
        <v>1</v>
      </c>
      <c r="AB303" s="5">
        <v>0</v>
      </c>
    </row>
    <row r="304" spans="1:28" x14ac:dyDescent="0.2">
      <c r="A304" s="5">
        <v>50</v>
      </c>
      <c r="B304" s="5">
        <v>0</v>
      </c>
      <c r="C304" s="5">
        <v>0</v>
      </c>
      <c r="D304" s="5">
        <v>1</v>
      </c>
      <c r="E304" s="5">
        <v>207</v>
      </c>
      <c r="F304" s="5">
        <f>Source!U282</f>
        <v>0</v>
      </c>
      <c r="G304" s="5" t="s">
        <v>143</v>
      </c>
      <c r="H304" s="5" t="s">
        <v>144</v>
      </c>
      <c r="I304" s="5"/>
      <c r="J304" s="5"/>
      <c r="K304" s="5">
        <v>207</v>
      </c>
      <c r="L304" s="5">
        <v>21</v>
      </c>
      <c r="M304" s="5">
        <v>3</v>
      </c>
      <c r="N304" s="5" t="s">
        <v>3</v>
      </c>
      <c r="O304" s="5">
        <v>-1</v>
      </c>
      <c r="P304" s="5">
        <f>Source!DM282</f>
        <v>0</v>
      </c>
      <c r="Q304" s="5"/>
      <c r="R304" s="5"/>
      <c r="S304" s="5"/>
      <c r="T304" s="5"/>
      <c r="U304" s="5"/>
      <c r="V304" s="5"/>
      <c r="W304" s="5">
        <v>0</v>
      </c>
      <c r="X304" s="5">
        <v>1</v>
      </c>
      <c r="Y304" s="5">
        <v>0</v>
      </c>
      <c r="Z304" s="5">
        <v>0</v>
      </c>
      <c r="AA304" s="5">
        <v>1</v>
      </c>
      <c r="AB304" s="5">
        <v>0</v>
      </c>
    </row>
    <row r="305" spans="1:255" x14ac:dyDescent="0.2">
      <c r="A305" s="5">
        <v>50</v>
      </c>
      <c r="B305" s="5">
        <v>0</v>
      </c>
      <c r="C305" s="5">
        <v>0</v>
      </c>
      <c r="D305" s="5">
        <v>1</v>
      </c>
      <c r="E305" s="5">
        <v>208</v>
      </c>
      <c r="F305" s="5">
        <f>Source!V282</f>
        <v>0</v>
      </c>
      <c r="G305" s="5" t="s">
        <v>145</v>
      </c>
      <c r="H305" s="5" t="s">
        <v>146</v>
      </c>
      <c r="I305" s="5"/>
      <c r="J305" s="5"/>
      <c r="K305" s="5">
        <v>208</v>
      </c>
      <c r="L305" s="5">
        <v>22</v>
      </c>
      <c r="M305" s="5">
        <v>3</v>
      </c>
      <c r="N305" s="5" t="s">
        <v>3</v>
      </c>
      <c r="O305" s="5">
        <v>-1</v>
      </c>
      <c r="P305" s="5">
        <f>Source!DN282</f>
        <v>0</v>
      </c>
      <c r="Q305" s="5"/>
      <c r="R305" s="5"/>
      <c r="S305" s="5"/>
      <c r="T305" s="5"/>
      <c r="U305" s="5"/>
      <c r="V305" s="5"/>
      <c r="W305" s="5">
        <v>0</v>
      </c>
      <c r="X305" s="5">
        <v>1</v>
      </c>
      <c r="Y305" s="5">
        <v>0</v>
      </c>
      <c r="Z305" s="5">
        <v>0</v>
      </c>
      <c r="AA305" s="5">
        <v>1</v>
      </c>
      <c r="AB305" s="5">
        <v>0</v>
      </c>
    </row>
    <row r="306" spans="1:255" x14ac:dyDescent="0.2">
      <c r="A306" s="5">
        <v>50</v>
      </c>
      <c r="B306" s="5">
        <v>0</v>
      </c>
      <c r="C306" s="5">
        <v>0</v>
      </c>
      <c r="D306" s="5">
        <v>1</v>
      </c>
      <c r="E306" s="5">
        <v>209</v>
      </c>
      <c r="F306" s="5">
        <f>ROUND(Source!W282,O306)</f>
        <v>0</v>
      </c>
      <c r="G306" s="5" t="s">
        <v>147</v>
      </c>
      <c r="H306" s="5" t="s">
        <v>148</v>
      </c>
      <c r="I306" s="5"/>
      <c r="J306" s="5"/>
      <c r="K306" s="5">
        <v>209</v>
      </c>
      <c r="L306" s="5">
        <v>23</v>
      </c>
      <c r="M306" s="5">
        <v>3</v>
      </c>
      <c r="N306" s="5" t="s">
        <v>3</v>
      </c>
      <c r="O306" s="5">
        <v>2</v>
      </c>
      <c r="P306" s="5">
        <f>ROUND(Source!DO282,O306)</f>
        <v>0</v>
      </c>
      <c r="Q306" s="5"/>
      <c r="R306" s="5"/>
      <c r="S306" s="5"/>
      <c r="T306" s="5"/>
      <c r="U306" s="5"/>
      <c r="V306" s="5"/>
      <c r="W306" s="5">
        <v>0</v>
      </c>
      <c r="X306" s="5">
        <v>1</v>
      </c>
      <c r="Y306" s="5">
        <v>0</v>
      </c>
      <c r="Z306" s="5">
        <v>0</v>
      </c>
      <c r="AA306" s="5">
        <v>1</v>
      </c>
      <c r="AB306" s="5">
        <v>0</v>
      </c>
    </row>
    <row r="307" spans="1:255" x14ac:dyDescent="0.2">
      <c r="A307" s="5">
        <v>50</v>
      </c>
      <c r="B307" s="5">
        <v>0</v>
      </c>
      <c r="C307" s="5">
        <v>0</v>
      </c>
      <c r="D307" s="5">
        <v>1</v>
      </c>
      <c r="E307" s="5">
        <v>233</v>
      </c>
      <c r="F307" s="5">
        <f>ROUND(Source!BD282,O307)</f>
        <v>0</v>
      </c>
      <c r="G307" s="5" t="s">
        <v>149</v>
      </c>
      <c r="H307" s="5" t="s">
        <v>150</v>
      </c>
      <c r="I307" s="5"/>
      <c r="J307" s="5"/>
      <c r="K307" s="5">
        <v>233</v>
      </c>
      <c r="L307" s="5">
        <v>24</v>
      </c>
      <c r="M307" s="5">
        <v>3</v>
      </c>
      <c r="N307" s="5" t="s">
        <v>3</v>
      </c>
      <c r="O307" s="5">
        <v>2</v>
      </c>
      <c r="P307" s="5">
        <f>ROUND(Source!EV282,O307)</f>
        <v>0</v>
      </c>
      <c r="Q307" s="5"/>
      <c r="R307" s="5"/>
      <c r="S307" s="5"/>
      <c r="T307" s="5"/>
      <c r="U307" s="5"/>
      <c r="V307" s="5"/>
      <c r="W307" s="5">
        <v>0</v>
      </c>
      <c r="X307" s="5">
        <v>1</v>
      </c>
      <c r="Y307" s="5">
        <v>0</v>
      </c>
      <c r="Z307" s="5">
        <v>0</v>
      </c>
      <c r="AA307" s="5">
        <v>1</v>
      </c>
      <c r="AB307" s="5">
        <v>0</v>
      </c>
    </row>
    <row r="308" spans="1:255" x14ac:dyDescent="0.2">
      <c r="A308" s="5">
        <v>50</v>
      </c>
      <c r="B308" s="5">
        <v>0</v>
      </c>
      <c r="C308" s="5">
        <v>0</v>
      </c>
      <c r="D308" s="5">
        <v>1</v>
      </c>
      <c r="E308" s="5">
        <v>210</v>
      </c>
      <c r="F308" s="5">
        <f>ROUND(Source!X282,O308)</f>
        <v>0</v>
      </c>
      <c r="G308" s="5" t="s">
        <v>151</v>
      </c>
      <c r="H308" s="5" t="s">
        <v>152</v>
      </c>
      <c r="I308" s="5"/>
      <c r="J308" s="5"/>
      <c r="K308" s="5">
        <v>210</v>
      </c>
      <c r="L308" s="5">
        <v>25</v>
      </c>
      <c r="M308" s="5">
        <v>3</v>
      </c>
      <c r="N308" s="5" t="s">
        <v>3</v>
      </c>
      <c r="O308" s="5">
        <v>2</v>
      </c>
      <c r="P308" s="5">
        <f>ROUND(Source!DP282,O308)</f>
        <v>0</v>
      </c>
      <c r="Q308" s="5"/>
      <c r="R308" s="5"/>
      <c r="S308" s="5"/>
      <c r="T308" s="5"/>
      <c r="U308" s="5"/>
      <c r="V308" s="5"/>
      <c r="W308" s="5">
        <v>0</v>
      </c>
      <c r="X308" s="5">
        <v>1</v>
      </c>
      <c r="Y308" s="5">
        <v>0</v>
      </c>
      <c r="Z308" s="5">
        <v>0</v>
      </c>
      <c r="AA308" s="5">
        <v>1</v>
      </c>
      <c r="AB308" s="5">
        <v>0</v>
      </c>
    </row>
    <row r="309" spans="1:255" x14ac:dyDescent="0.2">
      <c r="A309" s="5">
        <v>50</v>
      </c>
      <c r="B309" s="5">
        <v>0</v>
      </c>
      <c r="C309" s="5">
        <v>0</v>
      </c>
      <c r="D309" s="5">
        <v>1</v>
      </c>
      <c r="E309" s="5">
        <v>211</v>
      </c>
      <c r="F309" s="5">
        <f>ROUND(Source!Y282,O309)</f>
        <v>0</v>
      </c>
      <c r="G309" s="5" t="s">
        <v>153</v>
      </c>
      <c r="H309" s="5" t="s">
        <v>154</v>
      </c>
      <c r="I309" s="5"/>
      <c r="J309" s="5"/>
      <c r="K309" s="5">
        <v>211</v>
      </c>
      <c r="L309" s="5">
        <v>26</v>
      </c>
      <c r="M309" s="5">
        <v>3</v>
      </c>
      <c r="N309" s="5" t="s">
        <v>3</v>
      </c>
      <c r="O309" s="5">
        <v>2</v>
      </c>
      <c r="P309" s="5">
        <f>ROUND(Source!DQ282,O309)</f>
        <v>0</v>
      </c>
      <c r="Q309" s="5"/>
      <c r="R309" s="5"/>
      <c r="S309" s="5"/>
      <c r="T309" s="5"/>
      <c r="U309" s="5"/>
      <c r="V309" s="5"/>
      <c r="W309" s="5">
        <v>0</v>
      </c>
      <c r="X309" s="5">
        <v>1</v>
      </c>
      <c r="Y309" s="5">
        <v>0</v>
      </c>
      <c r="Z309" s="5">
        <v>0</v>
      </c>
      <c r="AA309" s="5">
        <v>1</v>
      </c>
      <c r="AB309" s="5">
        <v>0</v>
      </c>
    </row>
    <row r="310" spans="1:255" x14ac:dyDescent="0.2">
      <c r="A310" s="5">
        <v>50</v>
      </c>
      <c r="B310" s="5">
        <v>0</v>
      </c>
      <c r="C310" s="5">
        <v>0</v>
      </c>
      <c r="D310" s="5">
        <v>1</v>
      </c>
      <c r="E310" s="5">
        <v>224</v>
      </c>
      <c r="F310" s="5">
        <f>ROUND(Source!AR282,O310)</f>
        <v>0</v>
      </c>
      <c r="G310" s="5" t="s">
        <v>155</v>
      </c>
      <c r="H310" s="5" t="s">
        <v>156</v>
      </c>
      <c r="I310" s="5"/>
      <c r="J310" s="5"/>
      <c r="K310" s="5">
        <v>224</v>
      </c>
      <c r="L310" s="5">
        <v>27</v>
      </c>
      <c r="M310" s="5">
        <v>3</v>
      </c>
      <c r="N310" s="5" t="s">
        <v>3</v>
      </c>
      <c r="O310" s="5">
        <v>2</v>
      </c>
      <c r="P310" s="5">
        <f>ROUND(Source!EJ282,O310)</f>
        <v>0</v>
      </c>
      <c r="Q310" s="5"/>
      <c r="R310" s="5"/>
      <c r="S310" s="5"/>
      <c r="T310" s="5"/>
      <c r="U310" s="5"/>
      <c r="V310" s="5"/>
      <c r="W310" s="5">
        <v>0</v>
      </c>
      <c r="X310" s="5">
        <v>1</v>
      </c>
      <c r="Y310" s="5">
        <v>0</v>
      </c>
      <c r="Z310" s="5">
        <v>0</v>
      </c>
      <c r="AA310" s="5">
        <v>1</v>
      </c>
      <c r="AB310" s="5">
        <v>0</v>
      </c>
    </row>
    <row r="312" spans="1:255" x14ac:dyDescent="0.2">
      <c r="A312" s="1">
        <v>5</v>
      </c>
      <c r="B312" s="1">
        <v>1</v>
      </c>
      <c r="C312" s="1"/>
      <c r="D312" s="1">
        <f>ROW(A333)</f>
        <v>333</v>
      </c>
      <c r="E312" s="1"/>
      <c r="F312" s="1" t="s">
        <v>263</v>
      </c>
      <c r="G312" s="1" t="s">
        <v>382</v>
      </c>
      <c r="H312" s="1" t="s">
        <v>3</v>
      </c>
      <c r="I312" s="1">
        <v>0</v>
      </c>
      <c r="J312" s="1"/>
      <c r="K312" s="1">
        <v>0</v>
      </c>
      <c r="L312" s="1"/>
      <c r="M312" s="1" t="s">
        <v>3</v>
      </c>
      <c r="N312" s="1"/>
      <c r="O312" s="1"/>
      <c r="P312" s="1"/>
      <c r="Q312" s="1"/>
      <c r="R312" s="1"/>
      <c r="S312" s="1">
        <v>0</v>
      </c>
      <c r="T312" s="1">
        <v>0</v>
      </c>
      <c r="U312" s="1" t="s">
        <v>3</v>
      </c>
      <c r="V312" s="1">
        <v>0</v>
      </c>
      <c r="W312" s="1"/>
      <c r="X312" s="1"/>
      <c r="Y312" s="1"/>
      <c r="Z312" s="1"/>
      <c r="AA312" s="1"/>
      <c r="AB312" s="1" t="s">
        <v>3</v>
      </c>
      <c r="AC312" s="1" t="s">
        <v>3</v>
      </c>
      <c r="AD312" s="1" t="s">
        <v>3</v>
      </c>
      <c r="AE312" s="1" t="s">
        <v>3</v>
      </c>
      <c r="AF312" s="1" t="s">
        <v>3</v>
      </c>
      <c r="AG312" s="1" t="s">
        <v>3</v>
      </c>
      <c r="AH312" s="1"/>
      <c r="AI312" s="1"/>
      <c r="AJ312" s="1"/>
      <c r="AK312" s="1"/>
      <c r="AL312" s="1"/>
      <c r="AM312" s="1"/>
      <c r="AN312" s="1"/>
      <c r="AO312" s="1"/>
      <c r="AP312" s="1" t="s">
        <v>3</v>
      </c>
      <c r="AQ312" s="1" t="s">
        <v>3</v>
      </c>
      <c r="AR312" s="1" t="s">
        <v>3</v>
      </c>
      <c r="AS312" s="1"/>
      <c r="AT312" s="1"/>
      <c r="AU312" s="1"/>
      <c r="AV312" s="1"/>
      <c r="AW312" s="1"/>
      <c r="AX312" s="1"/>
      <c r="AY312" s="1"/>
      <c r="AZ312" s="1" t="s">
        <v>3</v>
      </c>
      <c r="BA312" s="1"/>
      <c r="BB312" s="1" t="s">
        <v>3</v>
      </c>
      <c r="BC312" s="1" t="s">
        <v>3</v>
      </c>
      <c r="BD312" s="1" t="s">
        <v>3</v>
      </c>
      <c r="BE312" s="1" t="s">
        <v>3</v>
      </c>
      <c r="BF312" s="1" t="s">
        <v>3</v>
      </c>
      <c r="BG312" s="1" t="s">
        <v>3</v>
      </c>
      <c r="BH312" s="1" t="s">
        <v>3</v>
      </c>
      <c r="BI312" s="1" t="s">
        <v>3</v>
      </c>
      <c r="BJ312" s="1" t="s">
        <v>3</v>
      </c>
      <c r="BK312" s="1" t="s">
        <v>3</v>
      </c>
      <c r="BL312" s="1" t="s">
        <v>3</v>
      </c>
      <c r="BM312" s="1" t="s">
        <v>3</v>
      </c>
      <c r="BN312" s="1" t="s">
        <v>3</v>
      </c>
      <c r="BO312" s="1" t="s">
        <v>3</v>
      </c>
      <c r="BP312" s="1" t="s">
        <v>3</v>
      </c>
      <c r="BQ312" s="1"/>
      <c r="BR312" s="1"/>
      <c r="BS312" s="1"/>
      <c r="BT312" s="1"/>
      <c r="BU312" s="1"/>
      <c r="BV312" s="1"/>
      <c r="BW312" s="1"/>
      <c r="BX312" s="1">
        <v>0</v>
      </c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>
        <v>0</v>
      </c>
    </row>
    <row r="314" spans="1:255" x14ac:dyDescent="0.2">
      <c r="A314" s="3">
        <v>52</v>
      </c>
      <c r="B314" s="3">
        <f t="shared" ref="B314:G314" si="255">B333</f>
        <v>1</v>
      </c>
      <c r="C314" s="3">
        <f t="shared" si="255"/>
        <v>5</v>
      </c>
      <c r="D314" s="3">
        <f t="shared" si="255"/>
        <v>312</v>
      </c>
      <c r="E314" s="3">
        <f t="shared" si="255"/>
        <v>0</v>
      </c>
      <c r="F314" s="3" t="str">
        <f t="shared" si="255"/>
        <v>Новый подраздел</v>
      </c>
      <c r="G314" s="3" t="str">
        <f t="shared" si="255"/>
        <v>Газон</v>
      </c>
      <c r="H314" s="3"/>
      <c r="I314" s="3"/>
      <c r="J314" s="3"/>
      <c r="K314" s="3"/>
      <c r="L314" s="3"/>
      <c r="M314" s="3"/>
      <c r="N314" s="3"/>
      <c r="O314" s="3">
        <f t="shared" ref="O314:AT314" si="256">O333</f>
        <v>1153.3900000000001</v>
      </c>
      <c r="P314" s="3">
        <f t="shared" si="256"/>
        <v>966.87</v>
      </c>
      <c r="Q314" s="3">
        <f t="shared" si="256"/>
        <v>2.0099999999999998</v>
      </c>
      <c r="R314" s="3">
        <f t="shared" si="256"/>
        <v>0.25</v>
      </c>
      <c r="S314" s="3">
        <f t="shared" si="256"/>
        <v>184.51</v>
      </c>
      <c r="T314" s="3">
        <f t="shared" si="256"/>
        <v>0</v>
      </c>
      <c r="U314" s="3">
        <f t="shared" si="256"/>
        <v>17.500555800000001</v>
      </c>
      <c r="V314" s="3">
        <f t="shared" si="256"/>
        <v>0</v>
      </c>
      <c r="W314" s="3">
        <f t="shared" si="256"/>
        <v>0</v>
      </c>
      <c r="X314" s="3">
        <f t="shared" si="256"/>
        <v>345.04</v>
      </c>
      <c r="Y314" s="3">
        <f t="shared" si="256"/>
        <v>186.36</v>
      </c>
      <c r="Z314" s="3">
        <f t="shared" si="256"/>
        <v>0</v>
      </c>
      <c r="AA314" s="3">
        <f t="shared" si="256"/>
        <v>0</v>
      </c>
      <c r="AB314" s="3">
        <f t="shared" si="256"/>
        <v>1153.3900000000001</v>
      </c>
      <c r="AC314" s="3">
        <f t="shared" si="256"/>
        <v>966.87</v>
      </c>
      <c r="AD314" s="3">
        <f t="shared" si="256"/>
        <v>2.0099999999999998</v>
      </c>
      <c r="AE314" s="3">
        <f t="shared" si="256"/>
        <v>0.25</v>
      </c>
      <c r="AF314" s="3">
        <f t="shared" si="256"/>
        <v>184.51</v>
      </c>
      <c r="AG314" s="3">
        <f t="shared" si="256"/>
        <v>0</v>
      </c>
      <c r="AH314" s="3">
        <f t="shared" si="256"/>
        <v>17.500555800000001</v>
      </c>
      <c r="AI314" s="3">
        <f t="shared" si="256"/>
        <v>0</v>
      </c>
      <c r="AJ314" s="3">
        <f t="shared" si="256"/>
        <v>0</v>
      </c>
      <c r="AK314" s="3">
        <f t="shared" si="256"/>
        <v>345.04</v>
      </c>
      <c r="AL314" s="3">
        <f t="shared" si="256"/>
        <v>186.36</v>
      </c>
      <c r="AM314" s="3">
        <f t="shared" si="256"/>
        <v>0</v>
      </c>
      <c r="AN314" s="3">
        <f t="shared" si="256"/>
        <v>0</v>
      </c>
      <c r="AO314" s="3">
        <f t="shared" si="256"/>
        <v>0</v>
      </c>
      <c r="AP314" s="3">
        <f t="shared" si="256"/>
        <v>0</v>
      </c>
      <c r="AQ314" s="3">
        <f t="shared" si="256"/>
        <v>0</v>
      </c>
      <c r="AR314" s="3">
        <f t="shared" si="256"/>
        <v>1685.23</v>
      </c>
      <c r="AS314" s="3">
        <f t="shared" si="256"/>
        <v>1685.23</v>
      </c>
      <c r="AT314" s="3">
        <f t="shared" si="256"/>
        <v>0</v>
      </c>
      <c r="AU314" s="3">
        <f t="shared" ref="AU314:BZ314" si="257">AU333</f>
        <v>0</v>
      </c>
      <c r="AV314" s="3">
        <f t="shared" si="257"/>
        <v>966.87</v>
      </c>
      <c r="AW314" s="3">
        <f t="shared" si="257"/>
        <v>966.87</v>
      </c>
      <c r="AX314" s="3">
        <f t="shared" si="257"/>
        <v>0</v>
      </c>
      <c r="AY314" s="3">
        <f t="shared" si="257"/>
        <v>966.87</v>
      </c>
      <c r="AZ314" s="3">
        <f t="shared" si="257"/>
        <v>0</v>
      </c>
      <c r="BA314" s="3">
        <f t="shared" si="257"/>
        <v>0</v>
      </c>
      <c r="BB314" s="3">
        <f t="shared" si="257"/>
        <v>0</v>
      </c>
      <c r="BC314" s="3">
        <f t="shared" si="257"/>
        <v>0</v>
      </c>
      <c r="BD314" s="3">
        <f t="shared" si="257"/>
        <v>0</v>
      </c>
      <c r="BE314" s="3">
        <f t="shared" si="257"/>
        <v>0</v>
      </c>
      <c r="BF314" s="3">
        <f t="shared" si="257"/>
        <v>0</v>
      </c>
      <c r="BG314" s="3">
        <f t="shared" si="257"/>
        <v>0</v>
      </c>
      <c r="BH314" s="3">
        <f t="shared" si="257"/>
        <v>0</v>
      </c>
      <c r="BI314" s="3">
        <f t="shared" si="257"/>
        <v>0</v>
      </c>
      <c r="BJ314" s="3">
        <f t="shared" si="257"/>
        <v>0</v>
      </c>
      <c r="BK314" s="3">
        <f t="shared" si="257"/>
        <v>0</v>
      </c>
      <c r="BL314" s="3">
        <f t="shared" si="257"/>
        <v>0</v>
      </c>
      <c r="BM314" s="3">
        <f t="shared" si="257"/>
        <v>0</v>
      </c>
      <c r="BN314" s="3">
        <f t="shared" si="257"/>
        <v>0</v>
      </c>
      <c r="BO314" s="3">
        <f t="shared" si="257"/>
        <v>0</v>
      </c>
      <c r="BP314" s="3">
        <f t="shared" si="257"/>
        <v>0</v>
      </c>
      <c r="BQ314" s="3">
        <f t="shared" si="257"/>
        <v>0</v>
      </c>
      <c r="BR314" s="3">
        <f t="shared" si="257"/>
        <v>0</v>
      </c>
      <c r="BS314" s="3">
        <f t="shared" si="257"/>
        <v>0</v>
      </c>
      <c r="BT314" s="3">
        <f t="shared" si="257"/>
        <v>0</v>
      </c>
      <c r="BU314" s="3">
        <f t="shared" si="257"/>
        <v>0</v>
      </c>
      <c r="BV314" s="3">
        <f t="shared" si="257"/>
        <v>0</v>
      </c>
      <c r="BW314" s="3">
        <f t="shared" si="257"/>
        <v>0</v>
      </c>
      <c r="BX314" s="3">
        <f t="shared" si="257"/>
        <v>0</v>
      </c>
      <c r="BY314" s="3">
        <f t="shared" si="257"/>
        <v>0</v>
      </c>
      <c r="BZ314" s="3">
        <f t="shared" si="257"/>
        <v>0</v>
      </c>
      <c r="CA314" s="3">
        <f t="shared" ref="CA314:DF314" si="258">CA333</f>
        <v>1685.23</v>
      </c>
      <c r="CB314" s="3">
        <f t="shared" si="258"/>
        <v>1685.23</v>
      </c>
      <c r="CC314" s="3">
        <f t="shared" si="258"/>
        <v>0</v>
      </c>
      <c r="CD314" s="3">
        <f t="shared" si="258"/>
        <v>0</v>
      </c>
      <c r="CE314" s="3">
        <f t="shared" si="258"/>
        <v>966.87</v>
      </c>
      <c r="CF314" s="3">
        <f t="shared" si="258"/>
        <v>966.87</v>
      </c>
      <c r="CG314" s="3">
        <f t="shared" si="258"/>
        <v>0</v>
      </c>
      <c r="CH314" s="3">
        <f t="shared" si="258"/>
        <v>966.87</v>
      </c>
      <c r="CI314" s="3">
        <f t="shared" si="258"/>
        <v>0</v>
      </c>
      <c r="CJ314" s="3">
        <f t="shared" si="258"/>
        <v>0</v>
      </c>
      <c r="CK314" s="3">
        <f t="shared" si="258"/>
        <v>0</v>
      </c>
      <c r="CL314" s="3">
        <f t="shared" si="258"/>
        <v>0</v>
      </c>
      <c r="CM314" s="3">
        <f t="shared" si="258"/>
        <v>0</v>
      </c>
      <c r="CN314" s="3">
        <f t="shared" si="258"/>
        <v>0</v>
      </c>
      <c r="CO314" s="3">
        <f t="shared" si="258"/>
        <v>0</v>
      </c>
      <c r="CP314" s="3">
        <f t="shared" si="258"/>
        <v>0</v>
      </c>
      <c r="CQ314" s="3">
        <f t="shared" si="258"/>
        <v>0</v>
      </c>
      <c r="CR314" s="3">
        <f t="shared" si="258"/>
        <v>0</v>
      </c>
      <c r="CS314" s="3">
        <f t="shared" si="258"/>
        <v>0</v>
      </c>
      <c r="CT314" s="3">
        <f t="shared" si="258"/>
        <v>0</v>
      </c>
      <c r="CU314" s="3">
        <f t="shared" si="258"/>
        <v>0</v>
      </c>
      <c r="CV314" s="3">
        <f t="shared" si="258"/>
        <v>0</v>
      </c>
      <c r="CW314" s="3">
        <f t="shared" si="258"/>
        <v>0</v>
      </c>
      <c r="CX314" s="3">
        <f t="shared" si="258"/>
        <v>0</v>
      </c>
      <c r="CY314" s="3">
        <f t="shared" si="258"/>
        <v>0</v>
      </c>
      <c r="CZ314" s="3">
        <f t="shared" si="258"/>
        <v>0</v>
      </c>
      <c r="DA314" s="3">
        <f t="shared" si="258"/>
        <v>0</v>
      </c>
      <c r="DB314" s="3">
        <f t="shared" si="258"/>
        <v>0</v>
      </c>
      <c r="DC314" s="3">
        <f t="shared" si="258"/>
        <v>0</v>
      </c>
      <c r="DD314" s="3">
        <f t="shared" si="258"/>
        <v>0</v>
      </c>
      <c r="DE314" s="3">
        <f t="shared" si="258"/>
        <v>0</v>
      </c>
      <c r="DF314" s="3">
        <f t="shared" si="258"/>
        <v>0</v>
      </c>
      <c r="DG314" s="4">
        <f t="shared" ref="DG314:EL314" si="259">DG333</f>
        <v>12797.21</v>
      </c>
      <c r="DH314" s="4">
        <f t="shared" si="259"/>
        <v>6403.22</v>
      </c>
      <c r="DI314" s="4">
        <f t="shared" si="259"/>
        <v>26.55</v>
      </c>
      <c r="DJ314" s="4">
        <f t="shared" si="259"/>
        <v>8.6300000000000008</v>
      </c>
      <c r="DK314" s="4">
        <f t="shared" si="259"/>
        <v>6367.44</v>
      </c>
      <c r="DL314" s="4">
        <f t="shared" si="259"/>
        <v>0</v>
      </c>
      <c r="DM314" s="4">
        <f t="shared" si="259"/>
        <v>17.500555800000001</v>
      </c>
      <c r="DN314" s="4">
        <f t="shared" si="259"/>
        <v>0</v>
      </c>
      <c r="DO314" s="4">
        <f t="shared" si="259"/>
        <v>0</v>
      </c>
      <c r="DP314" s="4">
        <f t="shared" si="259"/>
        <v>6685.81</v>
      </c>
      <c r="DQ314" s="4">
        <f t="shared" si="259"/>
        <v>3056.36</v>
      </c>
      <c r="DR314" s="4">
        <f t="shared" si="259"/>
        <v>0</v>
      </c>
      <c r="DS314" s="4">
        <f t="shared" si="259"/>
        <v>0</v>
      </c>
      <c r="DT314" s="4">
        <f t="shared" si="259"/>
        <v>12797.21</v>
      </c>
      <c r="DU314" s="4">
        <f t="shared" si="259"/>
        <v>6403.22</v>
      </c>
      <c r="DV314" s="4">
        <f t="shared" si="259"/>
        <v>26.55</v>
      </c>
      <c r="DW314" s="4">
        <f t="shared" si="259"/>
        <v>8.6300000000000008</v>
      </c>
      <c r="DX314" s="4">
        <f t="shared" si="259"/>
        <v>6367.44</v>
      </c>
      <c r="DY314" s="4">
        <f t="shared" si="259"/>
        <v>0</v>
      </c>
      <c r="DZ314" s="4">
        <f t="shared" si="259"/>
        <v>17.500555800000001</v>
      </c>
      <c r="EA314" s="4">
        <f t="shared" si="259"/>
        <v>0</v>
      </c>
      <c r="EB314" s="4">
        <f t="shared" si="259"/>
        <v>0</v>
      </c>
      <c r="EC314" s="4">
        <f t="shared" si="259"/>
        <v>6685.81</v>
      </c>
      <c r="ED314" s="4">
        <f t="shared" si="259"/>
        <v>3056.36</v>
      </c>
      <c r="EE314" s="4">
        <f t="shared" si="259"/>
        <v>0</v>
      </c>
      <c r="EF314" s="4">
        <f t="shared" si="259"/>
        <v>0</v>
      </c>
      <c r="EG314" s="4">
        <f t="shared" si="259"/>
        <v>0</v>
      </c>
      <c r="EH314" s="4">
        <f t="shared" si="259"/>
        <v>0</v>
      </c>
      <c r="EI314" s="4">
        <f t="shared" si="259"/>
        <v>0</v>
      </c>
      <c r="EJ314" s="4">
        <f t="shared" si="259"/>
        <v>22553.19</v>
      </c>
      <c r="EK314" s="4">
        <f t="shared" si="259"/>
        <v>22553.19</v>
      </c>
      <c r="EL314" s="4">
        <f t="shared" si="259"/>
        <v>0</v>
      </c>
      <c r="EM314" s="4">
        <f t="shared" ref="EM314:FR314" si="260">EM333</f>
        <v>0</v>
      </c>
      <c r="EN314" s="4">
        <f t="shared" si="260"/>
        <v>6403.22</v>
      </c>
      <c r="EO314" s="4">
        <f t="shared" si="260"/>
        <v>6403.22</v>
      </c>
      <c r="EP314" s="4">
        <f t="shared" si="260"/>
        <v>0</v>
      </c>
      <c r="EQ314" s="4">
        <f t="shared" si="260"/>
        <v>6403.22</v>
      </c>
      <c r="ER314" s="4">
        <f t="shared" si="260"/>
        <v>0</v>
      </c>
      <c r="ES314" s="4">
        <f t="shared" si="260"/>
        <v>0</v>
      </c>
      <c r="ET314" s="4">
        <f t="shared" si="260"/>
        <v>0</v>
      </c>
      <c r="EU314" s="4">
        <f t="shared" si="260"/>
        <v>0</v>
      </c>
      <c r="EV314" s="4">
        <f t="shared" si="260"/>
        <v>0</v>
      </c>
      <c r="EW314" s="4">
        <f t="shared" si="260"/>
        <v>0</v>
      </c>
      <c r="EX314" s="4">
        <f t="shared" si="260"/>
        <v>0</v>
      </c>
      <c r="EY314" s="4">
        <f t="shared" si="260"/>
        <v>0</v>
      </c>
      <c r="EZ314" s="4">
        <f t="shared" si="260"/>
        <v>0</v>
      </c>
      <c r="FA314" s="4">
        <f t="shared" si="260"/>
        <v>0</v>
      </c>
      <c r="FB314" s="4">
        <f t="shared" si="260"/>
        <v>0</v>
      </c>
      <c r="FC314" s="4">
        <f t="shared" si="260"/>
        <v>0</v>
      </c>
      <c r="FD314" s="4">
        <f t="shared" si="260"/>
        <v>0</v>
      </c>
      <c r="FE314" s="4">
        <f t="shared" si="260"/>
        <v>0</v>
      </c>
      <c r="FF314" s="4">
        <f t="shared" si="260"/>
        <v>0</v>
      </c>
      <c r="FG314" s="4">
        <f t="shared" si="260"/>
        <v>0</v>
      </c>
      <c r="FH314" s="4">
        <f t="shared" si="260"/>
        <v>0</v>
      </c>
      <c r="FI314" s="4">
        <f t="shared" si="260"/>
        <v>0</v>
      </c>
      <c r="FJ314" s="4">
        <f t="shared" si="260"/>
        <v>0</v>
      </c>
      <c r="FK314" s="4">
        <f t="shared" si="260"/>
        <v>0</v>
      </c>
      <c r="FL314" s="4">
        <f t="shared" si="260"/>
        <v>0</v>
      </c>
      <c r="FM314" s="4">
        <f t="shared" si="260"/>
        <v>0</v>
      </c>
      <c r="FN314" s="4">
        <f t="shared" si="260"/>
        <v>0</v>
      </c>
      <c r="FO314" s="4">
        <f t="shared" si="260"/>
        <v>0</v>
      </c>
      <c r="FP314" s="4">
        <f t="shared" si="260"/>
        <v>0</v>
      </c>
      <c r="FQ314" s="4">
        <f t="shared" si="260"/>
        <v>0</v>
      </c>
      <c r="FR314" s="4">
        <f t="shared" si="260"/>
        <v>0</v>
      </c>
      <c r="FS314" s="4">
        <f t="shared" ref="FS314:GX314" si="261">FS333</f>
        <v>22553.19</v>
      </c>
      <c r="FT314" s="4">
        <f t="shared" si="261"/>
        <v>22553.19</v>
      </c>
      <c r="FU314" s="4">
        <f t="shared" si="261"/>
        <v>0</v>
      </c>
      <c r="FV314" s="4">
        <f t="shared" si="261"/>
        <v>0</v>
      </c>
      <c r="FW314" s="4">
        <f t="shared" si="261"/>
        <v>6403.22</v>
      </c>
      <c r="FX314" s="4">
        <f t="shared" si="261"/>
        <v>6403.22</v>
      </c>
      <c r="FY314" s="4">
        <f t="shared" si="261"/>
        <v>0</v>
      </c>
      <c r="FZ314" s="4">
        <f t="shared" si="261"/>
        <v>6403.22</v>
      </c>
      <c r="GA314" s="4">
        <f t="shared" si="261"/>
        <v>0</v>
      </c>
      <c r="GB314" s="4">
        <f t="shared" si="261"/>
        <v>0</v>
      </c>
      <c r="GC314" s="4">
        <f t="shared" si="261"/>
        <v>0</v>
      </c>
      <c r="GD314" s="4">
        <f t="shared" si="261"/>
        <v>0</v>
      </c>
      <c r="GE314" s="4">
        <f t="shared" si="261"/>
        <v>0</v>
      </c>
      <c r="GF314" s="4">
        <f t="shared" si="261"/>
        <v>0</v>
      </c>
      <c r="GG314" s="4">
        <f t="shared" si="261"/>
        <v>0</v>
      </c>
      <c r="GH314" s="4">
        <f t="shared" si="261"/>
        <v>0</v>
      </c>
      <c r="GI314" s="4">
        <f t="shared" si="261"/>
        <v>0</v>
      </c>
      <c r="GJ314" s="4">
        <f t="shared" si="261"/>
        <v>0</v>
      </c>
      <c r="GK314" s="4">
        <f t="shared" si="261"/>
        <v>0</v>
      </c>
      <c r="GL314" s="4">
        <f t="shared" si="261"/>
        <v>0</v>
      </c>
      <c r="GM314" s="4">
        <f t="shared" si="261"/>
        <v>0</v>
      </c>
      <c r="GN314" s="4">
        <f t="shared" si="261"/>
        <v>0</v>
      </c>
      <c r="GO314" s="4">
        <f t="shared" si="261"/>
        <v>0</v>
      </c>
      <c r="GP314" s="4">
        <f t="shared" si="261"/>
        <v>0</v>
      </c>
      <c r="GQ314" s="4">
        <f t="shared" si="261"/>
        <v>0</v>
      </c>
      <c r="GR314" s="4">
        <f t="shared" si="261"/>
        <v>0</v>
      </c>
      <c r="GS314" s="4">
        <f t="shared" si="261"/>
        <v>0</v>
      </c>
      <c r="GT314" s="4">
        <f t="shared" si="261"/>
        <v>0</v>
      </c>
      <c r="GU314" s="4">
        <f t="shared" si="261"/>
        <v>0</v>
      </c>
      <c r="GV314" s="4">
        <f t="shared" si="261"/>
        <v>0</v>
      </c>
      <c r="GW314" s="4">
        <f t="shared" si="261"/>
        <v>0</v>
      </c>
      <c r="GX314" s="4">
        <f t="shared" si="261"/>
        <v>0</v>
      </c>
    </row>
    <row r="316" spans="1:255" x14ac:dyDescent="0.2">
      <c r="A316" s="2">
        <v>17</v>
      </c>
      <c r="B316" s="2">
        <v>1</v>
      </c>
      <c r="C316" s="2">
        <f>ROW(SmtRes!A52)</f>
        <v>52</v>
      </c>
      <c r="D316" s="2">
        <f>ROW(EtalonRes!A552)</f>
        <v>552</v>
      </c>
      <c r="E316" s="2" t="s">
        <v>383</v>
      </c>
      <c r="F316" s="2" t="s">
        <v>384</v>
      </c>
      <c r="G316" s="2" t="s">
        <v>385</v>
      </c>
      <c r="H316" s="2" t="s">
        <v>386</v>
      </c>
      <c r="I316" s="2">
        <f>ROUND(54.6*0.7/100,9)</f>
        <v>0.38219999999999998</v>
      </c>
      <c r="J316" s="2">
        <v>0</v>
      </c>
      <c r="K316" s="2">
        <f>ROUND(54.6*0.7/100,9)</f>
        <v>0.38219999999999998</v>
      </c>
      <c r="L316" s="2"/>
      <c r="M316" s="2"/>
      <c r="N316" s="2"/>
      <c r="O316" s="2">
        <f t="shared" ref="O316:O331" si="262">ROUND(CP316,2)</f>
        <v>113.89</v>
      </c>
      <c r="P316" s="2">
        <f t="shared" ref="P316:P331" si="263">ROUND((ROUND((AC316*AW316*I316),2)*BC316),2)</f>
        <v>0</v>
      </c>
      <c r="Q316" s="2">
        <f>(ROUND((ROUND((((ET316*1.05))*AV316*I316),2)*BB316),2)+ROUND((ROUND(((AE316-((EU316*1.05)))*AV316*I316),2)*BS316),2))</f>
        <v>2.0099999999999998</v>
      </c>
      <c r="R316" s="2">
        <f t="shared" ref="R316:R331" si="264">ROUND((ROUND((AE316*AV316*I316),2)*BS316),2)</f>
        <v>0.25</v>
      </c>
      <c r="S316" s="2">
        <f t="shared" ref="S316:S331" si="265">ROUND((ROUND((AF316*AV316*I316),2)*BA316),2)</f>
        <v>111.88</v>
      </c>
      <c r="T316" s="2">
        <f t="shared" ref="T316:T331" si="266">ROUND(CU316*I316,2)</f>
        <v>0</v>
      </c>
      <c r="U316" s="2">
        <f t="shared" ref="U316:U331" si="267">CV316*I316</f>
        <v>10.7470818</v>
      </c>
      <c r="V316" s="2">
        <f t="shared" ref="V316:V331" si="268">CW316*I316</f>
        <v>0</v>
      </c>
      <c r="W316" s="2">
        <f t="shared" ref="W316:W331" si="269">ROUND(CX316*I316,2)</f>
        <v>0</v>
      </c>
      <c r="X316" s="2">
        <f t="shared" ref="X316:X331" si="270">ROUND(CY316,2)</f>
        <v>209.22</v>
      </c>
      <c r="Y316" s="2">
        <f t="shared" ref="Y316:Y331" si="271">ROUND(CZ316,2)</f>
        <v>113</v>
      </c>
      <c r="Z316" s="2"/>
      <c r="AA316" s="2">
        <v>56622490</v>
      </c>
      <c r="AB316" s="2">
        <f t="shared" ref="AB316:AB331" si="272">ROUND((AC316+AD316+AF316),6)</f>
        <v>297.96899999999999</v>
      </c>
      <c r="AC316" s="2">
        <f t="shared" ref="AC316:AC331" si="273">ROUND((ES316),6)</f>
        <v>0</v>
      </c>
      <c r="AD316" s="2">
        <f>ROUND(((((ET316*1.05))-((EU316*1.05)))+AE316),6)</f>
        <v>5.25</v>
      </c>
      <c r="AE316" s="2">
        <f>ROUND(((EU316*1.05)),6)</f>
        <v>0.66149999999999998</v>
      </c>
      <c r="AF316" s="2">
        <f>ROUND(((EV316*1.05)),6)</f>
        <v>292.71899999999999</v>
      </c>
      <c r="AG316" s="2">
        <f t="shared" ref="AG316:AG331" si="274">ROUND((AP316),6)</f>
        <v>0</v>
      </c>
      <c r="AH316" s="2">
        <f>((EW316*1.05))</f>
        <v>28.119000000000003</v>
      </c>
      <c r="AI316" s="2">
        <f>((EX316*1.05))</f>
        <v>0</v>
      </c>
      <c r="AJ316" s="2">
        <f t="shared" ref="AJ316:AJ331" si="275">(AS316)</f>
        <v>0</v>
      </c>
      <c r="AK316" s="2">
        <v>283.77999999999997</v>
      </c>
      <c r="AL316" s="2">
        <v>0</v>
      </c>
      <c r="AM316" s="2">
        <v>5</v>
      </c>
      <c r="AN316" s="2">
        <v>0.63</v>
      </c>
      <c r="AO316" s="2">
        <v>278.77999999999997</v>
      </c>
      <c r="AP316" s="2">
        <v>0</v>
      </c>
      <c r="AQ316" s="2">
        <v>26.78</v>
      </c>
      <c r="AR316" s="2">
        <v>0</v>
      </c>
      <c r="AS316" s="2">
        <v>0</v>
      </c>
      <c r="AT316" s="2">
        <v>187</v>
      </c>
      <c r="AU316" s="2">
        <v>101</v>
      </c>
      <c r="AV316" s="2">
        <v>1</v>
      </c>
      <c r="AW316" s="2">
        <v>1</v>
      </c>
      <c r="AX316" s="2"/>
      <c r="AY316" s="2"/>
      <c r="AZ316" s="2">
        <v>1</v>
      </c>
      <c r="BA316" s="2">
        <v>1</v>
      </c>
      <c r="BB316" s="2">
        <v>1</v>
      </c>
      <c r="BC316" s="2">
        <v>1</v>
      </c>
      <c r="BD316" s="2" t="s">
        <v>3</v>
      </c>
      <c r="BE316" s="2" t="s">
        <v>3</v>
      </c>
      <c r="BF316" s="2" t="s">
        <v>3</v>
      </c>
      <c r="BG316" s="2" t="s">
        <v>3</v>
      </c>
      <c r="BH316" s="2">
        <v>0</v>
      </c>
      <c r="BI316" s="2">
        <v>1</v>
      </c>
      <c r="BJ316" s="2" t="s">
        <v>387</v>
      </c>
      <c r="BK316" s="2"/>
      <c r="BL316" s="2"/>
      <c r="BM316" s="2">
        <v>295</v>
      </c>
      <c r="BN316" s="2">
        <v>0</v>
      </c>
      <c r="BO316" s="2" t="s">
        <v>3</v>
      </c>
      <c r="BP316" s="2">
        <v>0</v>
      </c>
      <c r="BQ316" s="2">
        <v>30</v>
      </c>
      <c r="BR316" s="2">
        <v>0</v>
      </c>
      <c r="BS316" s="2">
        <v>1</v>
      </c>
      <c r="BT316" s="2">
        <v>1</v>
      </c>
      <c r="BU316" s="2">
        <v>1</v>
      </c>
      <c r="BV316" s="2">
        <v>1</v>
      </c>
      <c r="BW316" s="2">
        <v>1</v>
      </c>
      <c r="BX316" s="2">
        <v>1</v>
      </c>
      <c r="BY316" s="2" t="s">
        <v>3</v>
      </c>
      <c r="BZ316" s="2">
        <v>187</v>
      </c>
      <c r="CA316" s="2">
        <v>101</v>
      </c>
      <c r="CB316" s="2" t="s">
        <v>3</v>
      </c>
      <c r="CC316" s="2"/>
      <c r="CD316" s="2"/>
      <c r="CE316" s="2">
        <v>30</v>
      </c>
      <c r="CF316" s="2">
        <v>0</v>
      </c>
      <c r="CG316" s="2">
        <v>0</v>
      </c>
      <c r="CH316" s="2"/>
      <c r="CI316" s="2"/>
      <c r="CJ316" s="2"/>
      <c r="CK316" s="2"/>
      <c r="CL316" s="2"/>
      <c r="CM316" s="2">
        <v>0</v>
      </c>
      <c r="CN316" s="2" t="s">
        <v>708</v>
      </c>
      <c r="CO316" s="2">
        <v>0</v>
      </c>
      <c r="CP316" s="2">
        <f t="shared" ref="CP316:CP331" si="276">(P316+Q316+S316)</f>
        <v>113.89</v>
      </c>
      <c r="CQ316" s="2">
        <f t="shared" ref="CQ316:CQ331" si="277">ROUND((ROUND((AC316*AW316*1),2)*BC316),2)</f>
        <v>0</v>
      </c>
      <c r="CR316" s="2">
        <f>(ROUND((ROUND((((ET316*1.05))*AV316*1),2)*BB316),2)+ROUND((ROUND(((AE316-((EU316*1.05)))*AV316*1),2)*BS316),2))</f>
        <v>5.25</v>
      </c>
      <c r="CS316" s="2">
        <f t="shared" ref="CS316:CS331" si="278">ROUND((ROUND((AE316*AV316*1),2)*BS316),2)</f>
        <v>0.66</v>
      </c>
      <c r="CT316" s="2">
        <f t="shared" ref="CT316:CT331" si="279">ROUND((ROUND((AF316*AV316*1),2)*BA316),2)</f>
        <v>292.72000000000003</v>
      </c>
      <c r="CU316" s="2">
        <f t="shared" ref="CU316:CU331" si="280">AG316</f>
        <v>0</v>
      </c>
      <c r="CV316" s="2">
        <f t="shared" ref="CV316:CV331" si="281">(AH316*AV316)</f>
        <v>28.119000000000003</v>
      </c>
      <c r="CW316" s="2">
        <f t="shared" ref="CW316:CW331" si="282">AI316</f>
        <v>0</v>
      </c>
      <c r="CX316" s="2">
        <f t="shared" ref="CX316:CX331" si="283">AJ316</f>
        <v>0</v>
      </c>
      <c r="CY316" s="2">
        <f>((S316*BZ316)/100)</f>
        <v>209.21559999999997</v>
      </c>
      <c r="CZ316" s="2">
        <f>((S316*CA316)/100)</f>
        <v>112.99879999999999</v>
      </c>
      <c r="DA316" s="2"/>
      <c r="DB316" s="2">
        <v>119</v>
      </c>
      <c r="DC316" s="2" t="s">
        <v>3</v>
      </c>
      <c r="DD316" s="2" t="s">
        <v>3</v>
      </c>
      <c r="DE316" s="2" t="s">
        <v>22</v>
      </c>
      <c r="DF316" s="2" t="s">
        <v>22</v>
      </c>
      <c r="DG316" s="2" t="s">
        <v>22</v>
      </c>
      <c r="DH316" s="2" t="s">
        <v>3</v>
      </c>
      <c r="DI316" s="2" t="s">
        <v>22</v>
      </c>
      <c r="DJ316" s="2" t="s">
        <v>22</v>
      </c>
      <c r="DK316" s="2" t="s">
        <v>3</v>
      </c>
      <c r="DL316" s="2" t="s">
        <v>3</v>
      </c>
      <c r="DM316" s="2" t="s">
        <v>3</v>
      </c>
      <c r="DN316" s="2">
        <v>0</v>
      </c>
      <c r="DO316" s="2">
        <v>0</v>
      </c>
      <c r="DP316" s="2">
        <v>1</v>
      </c>
      <c r="DQ316" s="2">
        <v>1</v>
      </c>
      <c r="DR316" s="2"/>
      <c r="DS316" s="2"/>
      <c r="DT316" s="2"/>
      <c r="DU316" s="2">
        <v>1005</v>
      </c>
      <c r="DV316" s="2" t="s">
        <v>386</v>
      </c>
      <c r="DW316" s="2" t="s">
        <v>386</v>
      </c>
      <c r="DX316" s="2">
        <v>100</v>
      </c>
      <c r="DY316" s="2"/>
      <c r="DZ316" s="2" t="s">
        <v>3</v>
      </c>
      <c r="EA316" s="2" t="s">
        <v>3</v>
      </c>
      <c r="EB316" s="2" t="s">
        <v>3</v>
      </c>
      <c r="EC316" s="2" t="s">
        <v>3</v>
      </c>
      <c r="ED316" s="2"/>
      <c r="EE316" s="2">
        <v>51696334</v>
      </c>
      <c r="EF316" s="2">
        <v>30</v>
      </c>
      <c r="EG316" s="2" t="s">
        <v>23</v>
      </c>
      <c r="EH316" s="2">
        <v>0</v>
      </c>
      <c r="EI316" s="2" t="s">
        <v>3</v>
      </c>
      <c r="EJ316" s="2">
        <v>1</v>
      </c>
      <c r="EK316" s="2">
        <v>295</v>
      </c>
      <c r="EL316" s="2" t="s">
        <v>388</v>
      </c>
      <c r="EM316" s="2" t="s">
        <v>389</v>
      </c>
      <c r="EN316" s="2"/>
      <c r="EO316" s="2" t="s">
        <v>26</v>
      </c>
      <c r="EP316" s="2"/>
      <c r="EQ316" s="2">
        <v>131072</v>
      </c>
      <c r="ER316" s="2">
        <v>283.77999999999997</v>
      </c>
      <c r="ES316" s="2">
        <v>0</v>
      </c>
      <c r="ET316" s="2">
        <v>5</v>
      </c>
      <c r="EU316" s="2">
        <v>0.63</v>
      </c>
      <c r="EV316" s="2">
        <v>278.77999999999997</v>
      </c>
      <c r="EW316" s="2">
        <v>26.78</v>
      </c>
      <c r="EX316" s="2">
        <v>0</v>
      </c>
      <c r="EY316" s="2">
        <v>0</v>
      </c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>
        <v>0</v>
      </c>
      <c r="FR316" s="2">
        <v>0</v>
      </c>
      <c r="FS316" s="2">
        <v>0</v>
      </c>
      <c r="FT316" s="2"/>
      <c r="FU316" s="2"/>
      <c r="FV316" s="2"/>
      <c r="FW316" s="2"/>
      <c r="FX316" s="2">
        <v>187</v>
      </c>
      <c r="FY316" s="2">
        <v>101</v>
      </c>
      <c r="FZ316" s="2"/>
      <c r="GA316" s="2" t="s">
        <v>3</v>
      </c>
      <c r="GB316" s="2"/>
      <c r="GC316" s="2"/>
      <c r="GD316" s="2">
        <v>0</v>
      </c>
      <c r="GE316" s="2"/>
      <c r="GF316" s="2">
        <v>-1222944186</v>
      </c>
      <c r="GG316" s="2">
        <v>2</v>
      </c>
      <c r="GH316" s="2">
        <v>1</v>
      </c>
      <c r="GI316" s="2">
        <v>-2</v>
      </c>
      <c r="GJ316" s="2">
        <v>0</v>
      </c>
      <c r="GK316" s="2">
        <f>ROUND(R316*(R12)/100,2)</f>
        <v>0.44</v>
      </c>
      <c r="GL316" s="2">
        <f t="shared" ref="GL316:GL331" si="284">ROUND(IF(AND(BH316=3,BI316=3,FS316&lt;&gt;0),P316,0),2)</f>
        <v>0</v>
      </c>
      <c r="GM316" s="2">
        <f t="shared" ref="GM316:GM331" si="285">ROUND(O316+X316+Y316+GK316,2)+GX316</f>
        <v>436.55</v>
      </c>
      <c r="GN316" s="2">
        <f t="shared" ref="GN316:GN331" si="286">IF(OR(BI316=0,BI316=1),GM316-GX316,0)</f>
        <v>436.55</v>
      </c>
      <c r="GO316" s="2">
        <f t="shared" ref="GO316:GO331" si="287">IF(BI316=2,GM316-GX316,0)</f>
        <v>0</v>
      </c>
      <c r="GP316" s="2">
        <f t="shared" ref="GP316:GP331" si="288">IF(BI316=4,GM316-GX316,0)</f>
        <v>0</v>
      </c>
      <c r="GQ316" s="2"/>
      <c r="GR316" s="2">
        <v>0</v>
      </c>
      <c r="GS316" s="2">
        <v>0</v>
      </c>
      <c r="GT316" s="2">
        <v>0</v>
      </c>
      <c r="GU316" s="2" t="s">
        <v>3</v>
      </c>
      <c r="GV316" s="2">
        <f t="shared" ref="GV316:GV331" si="289">ROUND((GT316),6)</f>
        <v>0</v>
      </c>
      <c r="GW316" s="2">
        <v>1</v>
      </c>
      <c r="GX316" s="2">
        <f t="shared" ref="GX316:GX331" si="290">ROUND(HC316*I316,2)</f>
        <v>0</v>
      </c>
      <c r="GY316" s="2"/>
      <c r="GZ316" s="2"/>
      <c r="HA316" s="2">
        <v>0</v>
      </c>
      <c r="HB316" s="2">
        <v>0</v>
      </c>
      <c r="HC316" s="2">
        <f t="shared" ref="HC316:HC331" si="291">GV316*GW316</f>
        <v>0</v>
      </c>
      <c r="HD316" s="2"/>
      <c r="HE316" s="2" t="s">
        <v>3</v>
      </c>
      <c r="HF316" s="2" t="s">
        <v>3</v>
      </c>
      <c r="HG316" s="2"/>
      <c r="HH316" s="2"/>
      <c r="HI316" s="2"/>
      <c r="HJ316" s="2"/>
      <c r="HK316" s="2"/>
      <c r="HL316" s="2"/>
      <c r="HM316" s="2" t="s">
        <v>3</v>
      </c>
      <c r="HN316" s="2" t="s">
        <v>3</v>
      </c>
      <c r="HO316" s="2" t="s">
        <v>3</v>
      </c>
      <c r="HP316" s="2" t="s">
        <v>3</v>
      </c>
      <c r="HQ316" s="2" t="s">
        <v>3</v>
      </c>
      <c r="HR316" s="2"/>
      <c r="HS316" s="2">
        <v>0</v>
      </c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>
        <v>0</v>
      </c>
      <c r="IL316" s="2"/>
      <c r="IM316" s="2"/>
      <c r="IN316" s="2"/>
      <c r="IO316" s="2"/>
      <c r="IP316" s="2"/>
      <c r="IQ316" s="2"/>
      <c r="IR316" s="2"/>
      <c r="IS316" s="2"/>
      <c r="IT316" s="2"/>
      <c r="IU316" s="2"/>
    </row>
    <row r="317" spans="1:255" x14ac:dyDescent="0.2">
      <c r="A317">
        <v>17</v>
      </c>
      <c r="B317">
        <v>1</v>
      </c>
      <c r="C317">
        <f>ROW(SmtRes!A56)</f>
        <v>56</v>
      </c>
      <c r="D317">
        <f>ROW(EtalonRes!A556)</f>
        <v>556</v>
      </c>
      <c r="E317" t="s">
        <v>383</v>
      </c>
      <c r="F317" t="s">
        <v>384</v>
      </c>
      <c r="G317" t="s">
        <v>385</v>
      </c>
      <c r="H317" t="s">
        <v>386</v>
      </c>
      <c r="I317">
        <f>ROUND(54.6*0.7/100,9)</f>
        <v>0.38219999999999998</v>
      </c>
      <c r="J317">
        <v>0</v>
      </c>
      <c r="K317">
        <f>ROUND(54.6*0.7/100,9)</f>
        <v>0.38219999999999998</v>
      </c>
      <c r="O317">
        <f t="shared" si="262"/>
        <v>3887.53</v>
      </c>
      <c r="P317">
        <f t="shared" si="263"/>
        <v>0</v>
      </c>
      <c r="Q317">
        <f>(ROUND((ROUND((((ET317*1.05))*AV317*I317),2)*BB317),2)+ROUND((ROUND(((AE317-((EU317*1.05)))*AV317*I317),2)*BS317),2))</f>
        <v>26.55</v>
      </c>
      <c r="R317">
        <f t="shared" si="264"/>
        <v>8.6300000000000008</v>
      </c>
      <c r="S317">
        <f t="shared" si="265"/>
        <v>3860.98</v>
      </c>
      <c r="T317">
        <f t="shared" si="266"/>
        <v>0</v>
      </c>
      <c r="U317">
        <f t="shared" si="267"/>
        <v>10.7470818</v>
      </c>
      <c r="V317">
        <f t="shared" si="268"/>
        <v>0</v>
      </c>
      <c r="W317">
        <f t="shared" si="269"/>
        <v>0</v>
      </c>
      <c r="X317">
        <f t="shared" si="270"/>
        <v>4054.03</v>
      </c>
      <c r="Y317">
        <f t="shared" si="271"/>
        <v>1853.27</v>
      </c>
      <c r="AA317">
        <v>56610029</v>
      </c>
      <c r="AB317">
        <f t="shared" si="272"/>
        <v>297.96899999999999</v>
      </c>
      <c r="AC317">
        <f t="shared" si="273"/>
        <v>0</v>
      </c>
      <c r="AD317">
        <f>ROUND(((((ET317*1.05))-((EU317*1.05)))+AE317),6)</f>
        <v>5.25</v>
      </c>
      <c r="AE317">
        <f>ROUND(((EU317*1.05)),6)</f>
        <v>0.66149999999999998</v>
      </c>
      <c r="AF317">
        <f>ROUND(((EV317*1.05)),6)</f>
        <v>292.71899999999999</v>
      </c>
      <c r="AG317">
        <f t="shared" si="274"/>
        <v>0</v>
      </c>
      <c r="AH317">
        <f>((EW317*1.05))</f>
        <v>28.119000000000003</v>
      </c>
      <c r="AI317">
        <f>((EX317*1.05))</f>
        <v>0</v>
      </c>
      <c r="AJ317">
        <f t="shared" si="275"/>
        <v>0</v>
      </c>
      <c r="AK317">
        <v>283.77999999999997</v>
      </c>
      <c r="AL317">
        <v>0</v>
      </c>
      <c r="AM317">
        <v>5</v>
      </c>
      <c r="AN317">
        <v>0.63</v>
      </c>
      <c r="AO317">
        <v>278.77999999999997</v>
      </c>
      <c r="AP317">
        <v>0</v>
      </c>
      <c r="AQ317">
        <v>26.78</v>
      </c>
      <c r="AR317">
        <v>0</v>
      </c>
      <c r="AS317">
        <v>0</v>
      </c>
      <c r="AT317">
        <v>105</v>
      </c>
      <c r="AU317">
        <v>48</v>
      </c>
      <c r="AV317">
        <v>1</v>
      </c>
      <c r="AW317">
        <v>1</v>
      </c>
      <c r="AZ317">
        <v>1</v>
      </c>
      <c r="BA317">
        <v>34.51</v>
      </c>
      <c r="BB317">
        <v>13.21</v>
      </c>
      <c r="BC317">
        <v>1</v>
      </c>
      <c r="BD317" t="s">
        <v>3</v>
      </c>
      <c r="BE317" t="s">
        <v>3</v>
      </c>
      <c r="BF317" t="s">
        <v>3</v>
      </c>
      <c r="BG317" t="s">
        <v>3</v>
      </c>
      <c r="BH317">
        <v>0</v>
      </c>
      <c r="BI317">
        <v>1</v>
      </c>
      <c r="BJ317" t="s">
        <v>387</v>
      </c>
      <c r="BM317">
        <v>295</v>
      </c>
      <c r="BN317">
        <v>0</v>
      </c>
      <c r="BO317" t="s">
        <v>384</v>
      </c>
      <c r="BP317">
        <v>1</v>
      </c>
      <c r="BQ317">
        <v>30</v>
      </c>
      <c r="BR317">
        <v>0</v>
      </c>
      <c r="BS317">
        <v>34.51</v>
      </c>
      <c r="BT317">
        <v>1</v>
      </c>
      <c r="BU317">
        <v>1</v>
      </c>
      <c r="BV317">
        <v>1</v>
      </c>
      <c r="BW317">
        <v>1</v>
      </c>
      <c r="BX317">
        <v>1</v>
      </c>
      <c r="BY317" t="s">
        <v>3</v>
      </c>
      <c r="BZ317">
        <v>105</v>
      </c>
      <c r="CA317">
        <v>48</v>
      </c>
      <c r="CB317" t="s">
        <v>3</v>
      </c>
      <c r="CE317">
        <v>30</v>
      </c>
      <c r="CF317">
        <v>0</v>
      </c>
      <c r="CG317">
        <v>0</v>
      </c>
      <c r="CM317">
        <v>0</v>
      </c>
      <c r="CN317" t="s">
        <v>708</v>
      </c>
      <c r="CO317">
        <v>0</v>
      </c>
      <c r="CP317">
        <f t="shared" si="276"/>
        <v>3887.53</v>
      </c>
      <c r="CQ317">
        <f t="shared" si="277"/>
        <v>0</v>
      </c>
      <c r="CR317">
        <f>(ROUND((ROUND((((ET317*1.05))*AV317*1),2)*BB317),2)+ROUND((ROUND(((AE317-((EU317*1.05)))*AV317*1),2)*BS317),2))</f>
        <v>69.349999999999994</v>
      </c>
      <c r="CS317">
        <f t="shared" si="278"/>
        <v>22.78</v>
      </c>
      <c r="CT317">
        <f t="shared" si="279"/>
        <v>10101.77</v>
      </c>
      <c r="CU317">
        <f t="shared" si="280"/>
        <v>0</v>
      </c>
      <c r="CV317">
        <f t="shared" si="281"/>
        <v>28.119000000000003</v>
      </c>
      <c r="CW317">
        <f t="shared" si="282"/>
        <v>0</v>
      </c>
      <c r="CX317">
        <f t="shared" si="283"/>
        <v>0</v>
      </c>
      <c r="CY317">
        <f>S317*(BZ317/100)</f>
        <v>4054.029</v>
      </c>
      <c r="CZ317">
        <f>S317*(CA317/100)</f>
        <v>1853.2703999999999</v>
      </c>
      <c r="DB317">
        <v>120</v>
      </c>
      <c r="DC317" t="s">
        <v>3</v>
      </c>
      <c r="DD317" t="s">
        <v>3</v>
      </c>
      <c r="DE317" t="s">
        <v>22</v>
      </c>
      <c r="DF317" t="s">
        <v>22</v>
      </c>
      <c r="DG317" t="s">
        <v>22</v>
      </c>
      <c r="DH317" t="s">
        <v>3</v>
      </c>
      <c r="DI317" t="s">
        <v>22</v>
      </c>
      <c r="DJ317" t="s">
        <v>22</v>
      </c>
      <c r="DK317" t="s">
        <v>3</v>
      </c>
      <c r="DL317" t="s">
        <v>3</v>
      </c>
      <c r="DM317" t="s">
        <v>3</v>
      </c>
      <c r="DN317">
        <v>187</v>
      </c>
      <c r="DO317">
        <v>101</v>
      </c>
      <c r="DP317">
        <v>1</v>
      </c>
      <c r="DQ317">
        <v>1</v>
      </c>
      <c r="DU317">
        <v>1005</v>
      </c>
      <c r="DV317" t="s">
        <v>386</v>
      </c>
      <c r="DW317" t="s">
        <v>386</v>
      </c>
      <c r="DX317">
        <v>100</v>
      </c>
      <c r="DZ317" t="s">
        <v>3</v>
      </c>
      <c r="EA317" t="s">
        <v>3</v>
      </c>
      <c r="EB317" t="s">
        <v>3</v>
      </c>
      <c r="EC317" t="s">
        <v>3</v>
      </c>
      <c r="EE317">
        <v>51696334</v>
      </c>
      <c r="EF317">
        <v>30</v>
      </c>
      <c r="EG317" t="s">
        <v>23</v>
      </c>
      <c r="EH317">
        <v>0</v>
      </c>
      <c r="EI317" t="s">
        <v>3</v>
      </c>
      <c r="EJ317">
        <v>1</v>
      </c>
      <c r="EK317">
        <v>295</v>
      </c>
      <c r="EL317" t="s">
        <v>388</v>
      </c>
      <c r="EM317" t="s">
        <v>389</v>
      </c>
      <c r="EO317" t="s">
        <v>26</v>
      </c>
      <c r="EQ317">
        <v>131072</v>
      </c>
      <c r="ER317">
        <v>283.77999999999997</v>
      </c>
      <c r="ES317">
        <v>0</v>
      </c>
      <c r="ET317">
        <v>5</v>
      </c>
      <c r="EU317">
        <v>0.63</v>
      </c>
      <c r="EV317">
        <v>278.77999999999997</v>
      </c>
      <c r="EW317">
        <v>26.78</v>
      </c>
      <c r="EX317">
        <v>0</v>
      </c>
      <c r="EY317">
        <v>0</v>
      </c>
      <c r="FQ317">
        <v>0</v>
      </c>
      <c r="FR317">
        <v>0</v>
      </c>
      <c r="FS317">
        <v>0</v>
      </c>
      <c r="FX317">
        <v>187</v>
      </c>
      <c r="FY317">
        <v>101</v>
      </c>
      <c r="GA317" t="s">
        <v>3</v>
      </c>
      <c r="GD317">
        <v>0</v>
      </c>
      <c r="GF317">
        <v>-1222944186</v>
      </c>
      <c r="GG317">
        <v>2</v>
      </c>
      <c r="GH317">
        <v>1</v>
      </c>
      <c r="GI317">
        <v>2</v>
      </c>
      <c r="GJ317">
        <v>0</v>
      </c>
      <c r="GK317">
        <f>ROUND(R317*(S12)/100,2)</f>
        <v>13.81</v>
      </c>
      <c r="GL317">
        <f t="shared" si="284"/>
        <v>0</v>
      </c>
      <c r="GM317">
        <f t="shared" si="285"/>
        <v>9808.64</v>
      </c>
      <c r="GN317">
        <f t="shared" si="286"/>
        <v>9808.64</v>
      </c>
      <c r="GO317">
        <f t="shared" si="287"/>
        <v>0</v>
      </c>
      <c r="GP317">
        <f t="shared" si="288"/>
        <v>0</v>
      </c>
      <c r="GR317">
        <v>0</v>
      </c>
      <c r="GS317">
        <v>3</v>
      </c>
      <c r="GT317">
        <v>0</v>
      </c>
      <c r="GU317" t="s">
        <v>3</v>
      </c>
      <c r="GV317">
        <f t="shared" si="289"/>
        <v>0</v>
      </c>
      <c r="GW317">
        <v>1</v>
      </c>
      <c r="GX317">
        <f t="shared" si="290"/>
        <v>0</v>
      </c>
      <c r="HA317">
        <v>0</v>
      </c>
      <c r="HB317">
        <v>0</v>
      </c>
      <c r="HC317">
        <f t="shared" si="291"/>
        <v>0</v>
      </c>
      <c r="HE317" t="s">
        <v>3</v>
      </c>
      <c r="HF317" t="s">
        <v>3</v>
      </c>
      <c r="HM317" t="s">
        <v>3</v>
      </c>
      <c r="HN317" t="s">
        <v>3</v>
      </c>
      <c r="HO317" t="s">
        <v>3</v>
      </c>
      <c r="HP317" t="s">
        <v>3</v>
      </c>
      <c r="HQ317" t="s">
        <v>3</v>
      </c>
      <c r="HS317">
        <v>0</v>
      </c>
      <c r="IK317">
        <v>0</v>
      </c>
    </row>
    <row r="318" spans="1:255" x14ac:dyDescent="0.2">
      <c r="A318" s="2">
        <v>18</v>
      </c>
      <c r="B318" s="2">
        <v>1</v>
      </c>
      <c r="C318" s="2">
        <v>52</v>
      </c>
      <c r="D318" s="2"/>
      <c r="E318" s="2" t="s">
        <v>390</v>
      </c>
      <c r="F318" s="2" t="s">
        <v>391</v>
      </c>
      <c r="G318" s="2" t="s">
        <v>392</v>
      </c>
      <c r="H318" s="2" t="s">
        <v>85</v>
      </c>
      <c r="I318" s="2">
        <f>I316*J318</f>
        <v>5.7329999999999997</v>
      </c>
      <c r="J318" s="2">
        <v>15</v>
      </c>
      <c r="K318" s="2">
        <v>15</v>
      </c>
      <c r="L318" s="2"/>
      <c r="M318" s="2"/>
      <c r="N318" s="2"/>
      <c r="O318" s="2">
        <f t="shared" si="262"/>
        <v>841.83</v>
      </c>
      <c r="P318" s="2">
        <f t="shared" si="263"/>
        <v>841.83</v>
      </c>
      <c r="Q318" s="2">
        <f>(ROUND((ROUND(((ET318)*AV318*I318),2)*BB318),2)+ROUND((ROUND(((AE318-(EU318))*AV318*I318),2)*BS318),2))</f>
        <v>0</v>
      </c>
      <c r="R318" s="2">
        <f t="shared" si="264"/>
        <v>0</v>
      </c>
      <c r="S318" s="2">
        <f t="shared" si="265"/>
        <v>0</v>
      </c>
      <c r="T318" s="2">
        <f t="shared" si="266"/>
        <v>0</v>
      </c>
      <c r="U318" s="2">
        <f t="shared" si="267"/>
        <v>0</v>
      </c>
      <c r="V318" s="2">
        <f t="shared" si="268"/>
        <v>0</v>
      </c>
      <c r="W318" s="2">
        <f t="shared" si="269"/>
        <v>0</v>
      </c>
      <c r="X318" s="2">
        <f t="shared" si="270"/>
        <v>0</v>
      </c>
      <c r="Y318" s="2">
        <f t="shared" si="271"/>
        <v>0</v>
      </c>
      <c r="Z318" s="2"/>
      <c r="AA318" s="2">
        <v>56622490</v>
      </c>
      <c r="AB318" s="2">
        <f t="shared" si="272"/>
        <v>146.84</v>
      </c>
      <c r="AC318" s="2">
        <f t="shared" si="273"/>
        <v>146.84</v>
      </c>
      <c r="AD318" s="2">
        <f>ROUND((((ET318)-(EU318))+AE318),6)</f>
        <v>0</v>
      </c>
      <c r="AE318" s="2">
        <f>ROUND((EU318),6)</f>
        <v>0</v>
      </c>
      <c r="AF318" s="2">
        <f>ROUND((EV318),6)</f>
        <v>0</v>
      </c>
      <c r="AG318" s="2">
        <f t="shared" si="274"/>
        <v>0</v>
      </c>
      <c r="AH318" s="2">
        <f>(EW318)</f>
        <v>0</v>
      </c>
      <c r="AI318" s="2">
        <f>(EX318)</f>
        <v>0</v>
      </c>
      <c r="AJ318" s="2">
        <f t="shared" si="275"/>
        <v>0</v>
      </c>
      <c r="AK318" s="2">
        <v>146.84</v>
      </c>
      <c r="AL318" s="2">
        <v>146.84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187</v>
      </c>
      <c r="AU318" s="2">
        <v>101</v>
      </c>
      <c r="AV318" s="2">
        <v>1</v>
      </c>
      <c r="AW318" s="2">
        <v>1</v>
      </c>
      <c r="AX318" s="2"/>
      <c r="AY318" s="2"/>
      <c r="AZ318" s="2">
        <v>1</v>
      </c>
      <c r="BA318" s="2">
        <v>1</v>
      </c>
      <c r="BB318" s="2">
        <v>1</v>
      </c>
      <c r="BC318" s="2">
        <v>1</v>
      </c>
      <c r="BD318" s="2" t="s">
        <v>3</v>
      </c>
      <c r="BE318" s="2" t="s">
        <v>3</v>
      </c>
      <c r="BF318" s="2" t="s">
        <v>3</v>
      </c>
      <c r="BG318" s="2" t="s">
        <v>3</v>
      </c>
      <c r="BH318" s="2">
        <v>3</v>
      </c>
      <c r="BI318" s="2">
        <v>1</v>
      </c>
      <c r="BJ318" s="2" t="s">
        <v>393</v>
      </c>
      <c r="BK318" s="2"/>
      <c r="BL318" s="2"/>
      <c r="BM318" s="2">
        <v>295</v>
      </c>
      <c r="BN318" s="2">
        <v>0</v>
      </c>
      <c r="BO318" s="2" t="s">
        <v>3</v>
      </c>
      <c r="BP318" s="2">
        <v>0</v>
      </c>
      <c r="BQ318" s="2">
        <v>30</v>
      </c>
      <c r="BR318" s="2">
        <v>0</v>
      </c>
      <c r="BS318" s="2">
        <v>1</v>
      </c>
      <c r="BT318" s="2">
        <v>1</v>
      </c>
      <c r="BU318" s="2">
        <v>1</v>
      </c>
      <c r="BV318" s="2">
        <v>1</v>
      </c>
      <c r="BW318" s="2">
        <v>1</v>
      </c>
      <c r="BX318" s="2">
        <v>1</v>
      </c>
      <c r="BY318" s="2" t="s">
        <v>3</v>
      </c>
      <c r="BZ318" s="2">
        <v>187</v>
      </c>
      <c r="CA318" s="2">
        <v>101</v>
      </c>
      <c r="CB318" s="2" t="s">
        <v>3</v>
      </c>
      <c r="CC318" s="2"/>
      <c r="CD318" s="2"/>
      <c r="CE318" s="2">
        <v>30</v>
      </c>
      <c r="CF318" s="2">
        <v>0</v>
      </c>
      <c r="CG318" s="2">
        <v>0</v>
      </c>
      <c r="CH318" s="2"/>
      <c r="CI318" s="2"/>
      <c r="CJ318" s="2"/>
      <c r="CK318" s="2"/>
      <c r="CL318" s="2"/>
      <c r="CM318" s="2">
        <v>0</v>
      </c>
      <c r="CN318" s="2" t="s">
        <v>3</v>
      </c>
      <c r="CO318" s="2">
        <v>0</v>
      </c>
      <c r="CP318" s="2">
        <f t="shared" si="276"/>
        <v>841.83</v>
      </c>
      <c r="CQ318" s="2">
        <f t="shared" si="277"/>
        <v>146.84</v>
      </c>
      <c r="CR318" s="2">
        <f>(ROUND((ROUND(((ET318)*AV318*1),2)*BB318),2)+ROUND((ROUND(((AE318-(EU318))*AV318*1),2)*BS318),2))</f>
        <v>0</v>
      </c>
      <c r="CS318" s="2">
        <f t="shared" si="278"/>
        <v>0</v>
      </c>
      <c r="CT318" s="2">
        <f t="shared" si="279"/>
        <v>0</v>
      </c>
      <c r="CU318" s="2">
        <f t="shared" si="280"/>
        <v>0</v>
      </c>
      <c r="CV318" s="2">
        <f t="shared" si="281"/>
        <v>0</v>
      </c>
      <c r="CW318" s="2">
        <f t="shared" si="282"/>
        <v>0</v>
      </c>
      <c r="CX318" s="2">
        <f t="shared" si="283"/>
        <v>0</v>
      </c>
      <c r="CY318" s="2">
        <f>((S318*BZ318)/100)</f>
        <v>0</v>
      </c>
      <c r="CZ318" s="2">
        <f>((S318*CA318)/100)</f>
        <v>0</v>
      </c>
      <c r="DA318" s="2"/>
      <c r="DB318" s="2"/>
      <c r="DC318" s="2" t="s">
        <v>3</v>
      </c>
      <c r="DD318" s="2" t="s">
        <v>3</v>
      </c>
      <c r="DE318" s="2" t="s">
        <v>3</v>
      </c>
      <c r="DF318" s="2" t="s">
        <v>3</v>
      </c>
      <c r="DG318" s="2" t="s">
        <v>3</v>
      </c>
      <c r="DH318" s="2" t="s">
        <v>3</v>
      </c>
      <c r="DI318" s="2" t="s">
        <v>3</v>
      </c>
      <c r="DJ318" s="2" t="s">
        <v>3</v>
      </c>
      <c r="DK318" s="2" t="s">
        <v>3</v>
      </c>
      <c r="DL318" s="2" t="s">
        <v>3</v>
      </c>
      <c r="DM318" s="2" t="s">
        <v>3</v>
      </c>
      <c r="DN318" s="2">
        <v>0</v>
      </c>
      <c r="DO318" s="2">
        <v>0</v>
      </c>
      <c r="DP318" s="2">
        <v>1</v>
      </c>
      <c r="DQ318" s="2">
        <v>1</v>
      </c>
      <c r="DR318" s="2"/>
      <c r="DS318" s="2"/>
      <c r="DT318" s="2"/>
      <c r="DU318" s="2">
        <v>1007</v>
      </c>
      <c r="DV318" s="2" t="s">
        <v>85</v>
      </c>
      <c r="DW318" s="2" t="s">
        <v>85</v>
      </c>
      <c r="DX318" s="2">
        <v>1</v>
      </c>
      <c r="DY318" s="2"/>
      <c r="DZ318" s="2" t="s">
        <v>3</v>
      </c>
      <c r="EA318" s="2" t="s">
        <v>3</v>
      </c>
      <c r="EB318" s="2" t="s">
        <v>3</v>
      </c>
      <c r="EC318" s="2" t="s">
        <v>3</v>
      </c>
      <c r="ED318" s="2"/>
      <c r="EE318" s="2">
        <v>51696334</v>
      </c>
      <c r="EF318" s="2">
        <v>30</v>
      </c>
      <c r="EG318" s="2" t="s">
        <v>23</v>
      </c>
      <c r="EH318" s="2">
        <v>0</v>
      </c>
      <c r="EI318" s="2" t="s">
        <v>3</v>
      </c>
      <c r="EJ318" s="2">
        <v>1</v>
      </c>
      <c r="EK318" s="2">
        <v>295</v>
      </c>
      <c r="EL318" s="2" t="s">
        <v>388</v>
      </c>
      <c r="EM318" s="2" t="s">
        <v>389</v>
      </c>
      <c r="EN318" s="2"/>
      <c r="EO318" s="2" t="s">
        <v>3</v>
      </c>
      <c r="EP318" s="2"/>
      <c r="EQ318" s="2">
        <v>0</v>
      </c>
      <c r="ER318" s="2">
        <v>146.84</v>
      </c>
      <c r="ES318" s="2">
        <v>146.84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>
        <v>0</v>
      </c>
      <c r="FR318" s="2">
        <v>0</v>
      </c>
      <c r="FS318" s="2">
        <v>0</v>
      </c>
      <c r="FT318" s="2"/>
      <c r="FU318" s="2"/>
      <c r="FV318" s="2"/>
      <c r="FW318" s="2"/>
      <c r="FX318" s="2">
        <v>187</v>
      </c>
      <c r="FY318" s="2">
        <v>101</v>
      </c>
      <c r="FZ318" s="2"/>
      <c r="GA318" s="2" t="s">
        <v>3</v>
      </c>
      <c r="GB318" s="2"/>
      <c r="GC318" s="2"/>
      <c r="GD318" s="2">
        <v>0</v>
      </c>
      <c r="GE318" s="2"/>
      <c r="GF318" s="2">
        <v>-1933062003</v>
      </c>
      <c r="GG318" s="2">
        <v>2</v>
      </c>
      <c r="GH318" s="2">
        <v>1</v>
      </c>
      <c r="GI318" s="2">
        <v>-2</v>
      </c>
      <c r="GJ318" s="2">
        <v>0</v>
      </c>
      <c r="GK318" s="2">
        <f>ROUND(R318*(R12)/100,2)</f>
        <v>0</v>
      </c>
      <c r="GL318" s="2">
        <f t="shared" si="284"/>
        <v>0</v>
      </c>
      <c r="GM318" s="2">
        <f t="shared" si="285"/>
        <v>841.83</v>
      </c>
      <c r="GN318" s="2">
        <f t="shared" si="286"/>
        <v>841.83</v>
      </c>
      <c r="GO318" s="2">
        <f t="shared" si="287"/>
        <v>0</v>
      </c>
      <c r="GP318" s="2">
        <f t="shared" si="288"/>
        <v>0</v>
      </c>
      <c r="GQ318" s="2"/>
      <c r="GR318" s="2">
        <v>0</v>
      </c>
      <c r="GS318" s="2">
        <v>0</v>
      </c>
      <c r="GT318" s="2">
        <v>0</v>
      </c>
      <c r="GU318" s="2" t="s">
        <v>3</v>
      </c>
      <c r="GV318" s="2">
        <f t="shared" si="289"/>
        <v>0</v>
      </c>
      <c r="GW318" s="2">
        <v>1</v>
      </c>
      <c r="GX318" s="2">
        <f t="shared" si="290"/>
        <v>0</v>
      </c>
      <c r="GY318" s="2"/>
      <c r="GZ318" s="2"/>
      <c r="HA318" s="2">
        <v>0</v>
      </c>
      <c r="HB318" s="2">
        <v>0</v>
      </c>
      <c r="HC318" s="2">
        <f t="shared" si="291"/>
        <v>0</v>
      </c>
      <c r="HD318" s="2"/>
      <c r="HE318" s="2" t="s">
        <v>3</v>
      </c>
      <c r="HF318" s="2" t="s">
        <v>3</v>
      </c>
      <c r="HG318" s="2"/>
      <c r="HH318" s="2"/>
      <c r="HI318" s="2"/>
      <c r="HJ318" s="2"/>
      <c r="HK318" s="2"/>
      <c r="HL318" s="2"/>
      <c r="HM318" s="2" t="s">
        <v>3</v>
      </c>
      <c r="HN318" s="2" t="s">
        <v>3</v>
      </c>
      <c r="HO318" s="2" t="s">
        <v>3</v>
      </c>
      <c r="HP318" s="2" t="s">
        <v>3</v>
      </c>
      <c r="HQ318" s="2" t="s">
        <v>3</v>
      </c>
      <c r="HR318" s="2"/>
      <c r="HS318" s="2">
        <v>0</v>
      </c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>
        <v>0</v>
      </c>
      <c r="IL318" s="2"/>
      <c r="IM318" s="2"/>
      <c r="IN318" s="2"/>
      <c r="IO318" s="2"/>
      <c r="IP318" s="2"/>
      <c r="IQ318" s="2"/>
      <c r="IR318" s="2"/>
      <c r="IS318" s="2"/>
      <c r="IT318" s="2"/>
      <c r="IU318" s="2"/>
    </row>
    <row r="319" spans="1:255" x14ac:dyDescent="0.2">
      <c r="A319">
        <v>18</v>
      </c>
      <c r="B319">
        <v>1</v>
      </c>
      <c r="C319">
        <v>56</v>
      </c>
      <c r="E319" t="s">
        <v>390</v>
      </c>
      <c r="F319" t="s">
        <v>391</v>
      </c>
      <c r="G319" t="s">
        <v>392</v>
      </c>
      <c r="H319" t="s">
        <v>85</v>
      </c>
      <c r="I319">
        <f>I317*J319</f>
        <v>5.7329999999999997</v>
      </c>
      <c r="J319">
        <v>15</v>
      </c>
      <c r="K319">
        <v>15</v>
      </c>
      <c r="O319">
        <f t="shared" si="262"/>
        <v>6094.85</v>
      </c>
      <c r="P319">
        <f t="shared" si="263"/>
        <v>6094.85</v>
      </c>
      <c r="Q319">
        <f>(ROUND((ROUND(((ET319)*AV319*I319),2)*BB319),2)+ROUND((ROUND(((AE319-(EU319))*AV319*I319),2)*BS319),2))</f>
        <v>0</v>
      </c>
      <c r="R319">
        <f t="shared" si="264"/>
        <v>0</v>
      </c>
      <c r="S319">
        <f t="shared" si="265"/>
        <v>0</v>
      </c>
      <c r="T319">
        <f t="shared" si="266"/>
        <v>0</v>
      </c>
      <c r="U319">
        <f t="shared" si="267"/>
        <v>0</v>
      </c>
      <c r="V319">
        <f t="shared" si="268"/>
        <v>0</v>
      </c>
      <c r="W319">
        <f t="shared" si="269"/>
        <v>0</v>
      </c>
      <c r="X319">
        <f t="shared" si="270"/>
        <v>0</v>
      </c>
      <c r="Y319">
        <f t="shared" si="271"/>
        <v>0</v>
      </c>
      <c r="AA319">
        <v>56610029</v>
      </c>
      <c r="AB319">
        <f t="shared" si="272"/>
        <v>146.84</v>
      </c>
      <c r="AC319">
        <f t="shared" si="273"/>
        <v>146.84</v>
      </c>
      <c r="AD319">
        <f>ROUND((((ET319)-(EU319))+AE319),6)</f>
        <v>0</v>
      </c>
      <c r="AE319">
        <f>ROUND((EU319),6)</f>
        <v>0</v>
      </c>
      <c r="AF319">
        <f>ROUND((EV319),6)</f>
        <v>0</v>
      </c>
      <c r="AG319">
        <f t="shared" si="274"/>
        <v>0</v>
      </c>
      <c r="AH319">
        <f>(EW319)</f>
        <v>0</v>
      </c>
      <c r="AI319">
        <f>(EX319)</f>
        <v>0</v>
      </c>
      <c r="AJ319">
        <f t="shared" si="275"/>
        <v>0</v>
      </c>
      <c r="AK319">
        <v>146.84</v>
      </c>
      <c r="AL319">
        <v>146.84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</v>
      </c>
      <c r="AW319">
        <v>1</v>
      </c>
      <c r="AZ319">
        <v>1</v>
      </c>
      <c r="BA319">
        <v>1</v>
      </c>
      <c r="BB319">
        <v>1</v>
      </c>
      <c r="BC319">
        <v>7.24</v>
      </c>
      <c r="BD319" t="s">
        <v>3</v>
      </c>
      <c r="BE319" t="s">
        <v>3</v>
      </c>
      <c r="BF319" t="s">
        <v>3</v>
      </c>
      <c r="BG319" t="s">
        <v>3</v>
      </c>
      <c r="BH319">
        <v>3</v>
      </c>
      <c r="BI319">
        <v>1</v>
      </c>
      <c r="BJ319" t="s">
        <v>393</v>
      </c>
      <c r="BM319">
        <v>295</v>
      </c>
      <c r="BN319">
        <v>0</v>
      </c>
      <c r="BO319" t="s">
        <v>391</v>
      </c>
      <c r="BP319">
        <v>1</v>
      </c>
      <c r="BQ319">
        <v>30</v>
      </c>
      <c r="BR319">
        <v>0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 t="s">
        <v>3</v>
      </c>
      <c r="BZ319">
        <v>0</v>
      </c>
      <c r="CA319">
        <v>0</v>
      </c>
      <c r="CB319" t="s">
        <v>3</v>
      </c>
      <c r="CE319">
        <v>30</v>
      </c>
      <c r="CF319">
        <v>0</v>
      </c>
      <c r="CG319">
        <v>0</v>
      </c>
      <c r="CM319">
        <v>0</v>
      </c>
      <c r="CN319" t="s">
        <v>3</v>
      </c>
      <c r="CO319">
        <v>0</v>
      </c>
      <c r="CP319">
        <f t="shared" si="276"/>
        <v>6094.85</v>
      </c>
      <c r="CQ319">
        <f t="shared" si="277"/>
        <v>1063.1199999999999</v>
      </c>
      <c r="CR319">
        <f>(ROUND((ROUND(((ET319)*AV319*1),2)*BB319),2)+ROUND((ROUND(((AE319-(EU319))*AV319*1),2)*BS319),2))</f>
        <v>0</v>
      </c>
      <c r="CS319">
        <f t="shared" si="278"/>
        <v>0</v>
      </c>
      <c r="CT319">
        <f t="shared" si="279"/>
        <v>0</v>
      </c>
      <c r="CU319">
        <f t="shared" si="280"/>
        <v>0</v>
      </c>
      <c r="CV319">
        <f t="shared" si="281"/>
        <v>0</v>
      </c>
      <c r="CW319">
        <f t="shared" si="282"/>
        <v>0</v>
      </c>
      <c r="CX319">
        <f t="shared" si="283"/>
        <v>0</v>
      </c>
      <c r="CY319">
        <f>S319*(BZ319/100)</f>
        <v>0</v>
      </c>
      <c r="CZ319">
        <f>S319*(CA319/100)</f>
        <v>0</v>
      </c>
      <c r="DC319" t="s">
        <v>3</v>
      </c>
      <c r="DD319" t="s">
        <v>3</v>
      </c>
      <c r="DE319" t="s">
        <v>3</v>
      </c>
      <c r="DF319" t="s">
        <v>3</v>
      </c>
      <c r="DG319" t="s">
        <v>3</v>
      </c>
      <c r="DH319" t="s">
        <v>3</v>
      </c>
      <c r="DI319" t="s">
        <v>3</v>
      </c>
      <c r="DJ319" t="s">
        <v>3</v>
      </c>
      <c r="DK319" t="s">
        <v>3</v>
      </c>
      <c r="DL319" t="s">
        <v>3</v>
      </c>
      <c r="DM319" t="s">
        <v>3</v>
      </c>
      <c r="DN319">
        <v>187</v>
      </c>
      <c r="DO319">
        <v>101</v>
      </c>
      <c r="DP319">
        <v>1</v>
      </c>
      <c r="DQ319">
        <v>1</v>
      </c>
      <c r="DU319">
        <v>1007</v>
      </c>
      <c r="DV319" t="s">
        <v>85</v>
      </c>
      <c r="DW319" t="s">
        <v>85</v>
      </c>
      <c r="DX319">
        <v>1</v>
      </c>
      <c r="DZ319" t="s">
        <v>3</v>
      </c>
      <c r="EA319" t="s">
        <v>3</v>
      </c>
      <c r="EB319" t="s">
        <v>3</v>
      </c>
      <c r="EC319" t="s">
        <v>3</v>
      </c>
      <c r="EE319">
        <v>51696334</v>
      </c>
      <c r="EF319">
        <v>30</v>
      </c>
      <c r="EG319" t="s">
        <v>23</v>
      </c>
      <c r="EH319">
        <v>0</v>
      </c>
      <c r="EI319" t="s">
        <v>3</v>
      </c>
      <c r="EJ319">
        <v>1</v>
      </c>
      <c r="EK319">
        <v>295</v>
      </c>
      <c r="EL319" t="s">
        <v>388</v>
      </c>
      <c r="EM319" t="s">
        <v>389</v>
      </c>
      <c r="EO319" t="s">
        <v>3</v>
      </c>
      <c r="EQ319">
        <v>0</v>
      </c>
      <c r="ER319">
        <v>146.84</v>
      </c>
      <c r="ES319">
        <v>146.84</v>
      </c>
      <c r="ET319">
        <v>0</v>
      </c>
      <c r="EU319">
        <v>0</v>
      </c>
      <c r="EV319">
        <v>0</v>
      </c>
      <c r="EW319">
        <v>0</v>
      </c>
      <c r="EX319">
        <v>0</v>
      </c>
      <c r="FQ319">
        <v>0</v>
      </c>
      <c r="FR319">
        <v>0</v>
      </c>
      <c r="FS319">
        <v>0</v>
      </c>
      <c r="FX319">
        <v>187</v>
      </c>
      <c r="FY319">
        <v>101</v>
      </c>
      <c r="GA319" t="s">
        <v>3</v>
      </c>
      <c r="GD319">
        <v>0</v>
      </c>
      <c r="GF319">
        <v>-1933062003</v>
      </c>
      <c r="GG319">
        <v>2</v>
      </c>
      <c r="GH319">
        <v>1</v>
      </c>
      <c r="GI319">
        <v>2</v>
      </c>
      <c r="GJ319">
        <v>0</v>
      </c>
      <c r="GK319">
        <f>ROUND(R319*(S12)/100,2)</f>
        <v>0</v>
      </c>
      <c r="GL319">
        <f t="shared" si="284"/>
        <v>0</v>
      </c>
      <c r="GM319">
        <f t="shared" si="285"/>
        <v>6094.85</v>
      </c>
      <c r="GN319">
        <f t="shared" si="286"/>
        <v>6094.85</v>
      </c>
      <c r="GO319">
        <f t="shared" si="287"/>
        <v>0</v>
      </c>
      <c r="GP319">
        <f t="shared" si="288"/>
        <v>0</v>
      </c>
      <c r="GR319">
        <v>0</v>
      </c>
      <c r="GS319">
        <v>3</v>
      </c>
      <c r="GT319">
        <v>0</v>
      </c>
      <c r="GU319" t="s">
        <v>3</v>
      </c>
      <c r="GV319">
        <f t="shared" si="289"/>
        <v>0</v>
      </c>
      <c r="GW319">
        <v>1</v>
      </c>
      <c r="GX319">
        <f t="shared" si="290"/>
        <v>0</v>
      </c>
      <c r="HA319">
        <v>0</v>
      </c>
      <c r="HB319">
        <v>0</v>
      </c>
      <c r="HC319">
        <f t="shared" si="291"/>
        <v>0</v>
      </c>
      <c r="HE319" t="s">
        <v>3</v>
      </c>
      <c r="HF319" t="s">
        <v>3</v>
      </c>
      <c r="HM319" t="s">
        <v>3</v>
      </c>
      <c r="HN319" t="s">
        <v>3</v>
      </c>
      <c r="HO319" t="s">
        <v>3</v>
      </c>
      <c r="HP319" t="s">
        <v>3</v>
      </c>
      <c r="HQ319" t="s">
        <v>3</v>
      </c>
      <c r="HS319">
        <v>0</v>
      </c>
      <c r="IK319">
        <v>0</v>
      </c>
    </row>
    <row r="320" spans="1:255" x14ac:dyDescent="0.2">
      <c r="A320" s="2">
        <v>17</v>
      </c>
      <c r="B320" s="2">
        <v>1</v>
      </c>
      <c r="C320" s="2">
        <f>ROW(SmtRes!A57)</f>
        <v>57</v>
      </c>
      <c r="D320" s="2">
        <f>ROW(EtalonRes!A558)</f>
        <v>558</v>
      </c>
      <c r="E320" s="2" t="s">
        <v>394</v>
      </c>
      <c r="F320" s="2" t="s">
        <v>395</v>
      </c>
      <c r="G320" s="2" t="s">
        <v>396</v>
      </c>
      <c r="H320" s="2" t="s">
        <v>386</v>
      </c>
      <c r="I320" s="2">
        <f>ROUND(54.6*0.3/100,9)</f>
        <v>0.1638</v>
      </c>
      <c r="J320" s="2">
        <v>0</v>
      </c>
      <c r="K320" s="2">
        <f>ROUND(54.6*0.3/100,9)</f>
        <v>0.1638</v>
      </c>
      <c r="L320" s="2"/>
      <c r="M320" s="2"/>
      <c r="N320" s="2"/>
      <c r="O320" s="2">
        <f t="shared" si="262"/>
        <v>71.62</v>
      </c>
      <c r="P320" s="2">
        <f t="shared" si="263"/>
        <v>0</v>
      </c>
      <c r="Q320" s="2">
        <f>(ROUND((ROUND((((ET320*1.05))*AV320*I320),2)*BB320),2)+ROUND((ROUND(((AE320-((EU320*1.05)))*AV320*I320),2)*BS320),2))</f>
        <v>0</v>
      </c>
      <c r="R320" s="2">
        <f t="shared" si="264"/>
        <v>0</v>
      </c>
      <c r="S320" s="2">
        <f t="shared" si="265"/>
        <v>71.62</v>
      </c>
      <c r="T320" s="2">
        <f t="shared" si="266"/>
        <v>0</v>
      </c>
      <c r="U320" s="2">
        <f t="shared" si="267"/>
        <v>6.8795999999999999</v>
      </c>
      <c r="V320" s="2">
        <f t="shared" si="268"/>
        <v>0</v>
      </c>
      <c r="W320" s="2">
        <f t="shared" si="269"/>
        <v>0</v>
      </c>
      <c r="X320" s="2">
        <f t="shared" si="270"/>
        <v>133.93</v>
      </c>
      <c r="Y320" s="2">
        <f t="shared" si="271"/>
        <v>72.34</v>
      </c>
      <c r="Z320" s="2"/>
      <c r="AA320" s="2">
        <v>56622490</v>
      </c>
      <c r="AB320" s="2">
        <f t="shared" si="272"/>
        <v>437.22</v>
      </c>
      <c r="AC320" s="2">
        <f t="shared" si="273"/>
        <v>0</v>
      </c>
      <c r="AD320" s="2">
        <f>ROUND(((((ET320*1.05))-((EU320*1.05)))+AE320),6)</f>
        <v>0</v>
      </c>
      <c r="AE320" s="2">
        <f>ROUND(((EU320*1.05)),6)</f>
        <v>0</v>
      </c>
      <c r="AF320" s="2">
        <f>ROUND(((EV320*1.05)),6)</f>
        <v>437.22</v>
      </c>
      <c r="AG320" s="2">
        <f t="shared" si="274"/>
        <v>0</v>
      </c>
      <c r="AH320" s="2">
        <f>((EW320*1.05))</f>
        <v>42</v>
      </c>
      <c r="AI320" s="2">
        <f>((EX320*1.05))</f>
        <v>0</v>
      </c>
      <c r="AJ320" s="2">
        <f t="shared" si="275"/>
        <v>0</v>
      </c>
      <c r="AK320" s="2">
        <v>416.4</v>
      </c>
      <c r="AL320" s="2">
        <v>0</v>
      </c>
      <c r="AM320" s="2">
        <v>0</v>
      </c>
      <c r="AN320" s="2">
        <v>0</v>
      </c>
      <c r="AO320" s="2">
        <v>416.4</v>
      </c>
      <c r="AP320" s="2">
        <v>0</v>
      </c>
      <c r="AQ320" s="2">
        <v>40</v>
      </c>
      <c r="AR320" s="2">
        <v>0</v>
      </c>
      <c r="AS320" s="2">
        <v>0</v>
      </c>
      <c r="AT320" s="2">
        <v>187</v>
      </c>
      <c r="AU320" s="2">
        <v>101</v>
      </c>
      <c r="AV320" s="2">
        <v>1</v>
      </c>
      <c r="AW320" s="2">
        <v>1</v>
      </c>
      <c r="AX320" s="2"/>
      <c r="AY320" s="2"/>
      <c r="AZ320" s="2">
        <v>1</v>
      </c>
      <c r="BA320" s="2">
        <v>1</v>
      </c>
      <c r="BB320" s="2">
        <v>1</v>
      </c>
      <c r="BC320" s="2">
        <v>1</v>
      </c>
      <c r="BD320" s="2" t="s">
        <v>3</v>
      </c>
      <c r="BE320" s="2" t="s">
        <v>3</v>
      </c>
      <c r="BF320" s="2" t="s">
        <v>3</v>
      </c>
      <c r="BG320" s="2" t="s">
        <v>3</v>
      </c>
      <c r="BH320" s="2">
        <v>0</v>
      </c>
      <c r="BI320" s="2">
        <v>1</v>
      </c>
      <c r="BJ320" s="2" t="s">
        <v>397</v>
      </c>
      <c r="BK320" s="2"/>
      <c r="BL320" s="2"/>
      <c r="BM320" s="2">
        <v>295</v>
      </c>
      <c r="BN320" s="2">
        <v>0</v>
      </c>
      <c r="BO320" s="2" t="s">
        <v>3</v>
      </c>
      <c r="BP320" s="2">
        <v>0</v>
      </c>
      <c r="BQ320" s="2">
        <v>30</v>
      </c>
      <c r="BR320" s="2">
        <v>0</v>
      </c>
      <c r="BS320" s="2">
        <v>1</v>
      </c>
      <c r="BT320" s="2">
        <v>1</v>
      </c>
      <c r="BU320" s="2">
        <v>1</v>
      </c>
      <c r="BV320" s="2">
        <v>1</v>
      </c>
      <c r="BW320" s="2">
        <v>1</v>
      </c>
      <c r="BX320" s="2">
        <v>1</v>
      </c>
      <c r="BY320" s="2" t="s">
        <v>3</v>
      </c>
      <c r="BZ320" s="2">
        <v>187</v>
      </c>
      <c r="CA320" s="2">
        <v>101</v>
      </c>
      <c r="CB320" s="2" t="s">
        <v>3</v>
      </c>
      <c r="CC320" s="2"/>
      <c r="CD320" s="2"/>
      <c r="CE320" s="2">
        <v>30</v>
      </c>
      <c r="CF320" s="2">
        <v>0</v>
      </c>
      <c r="CG320" s="2">
        <v>0</v>
      </c>
      <c r="CH320" s="2"/>
      <c r="CI320" s="2"/>
      <c r="CJ320" s="2"/>
      <c r="CK320" s="2"/>
      <c r="CL320" s="2"/>
      <c r="CM320" s="2">
        <v>0</v>
      </c>
      <c r="CN320" s="2" t="s">
        <v>708</v>
      </c>
      <c r="CO320" s="2">
        <v>0</v>
      </c>
      <c r="CP320" s="2">
        <f t="shared" si="276"/>
        <v>71.62</v>
      </c>
      <c r="CQ320" s="2">
        <f t="shared" si="277"/>
        <v>0</v>
      </c>
      <c r="CR320" s="2">
        <f>(ROUND((ROUND((((ET320*1.05))*AV320*1),2)*BB320),2)+ROUND((ROUND(((AE320-((EU320*1.05)))*AV320*1),2)*BS320),2))</f>
        <v>0</v>
      </c>
      <c r="CS320" s="2">
        <f t="shared" si="278"/>
        <v>0</v>
      </c>
      <c r="CT320" s="2">
        <f t="shared" si="279"/>
        <v>437.22</v>
      </c>
      <c r="CU320" s="2">
        <f t="shared" si="280"/>
        <v>0</v>
      </c>
      <c r="CV320" s="2">
        <f t="shared" si="281"/>
        <v>42</v>
      </c>
      <c r="CW320" s="2">
        <f t="shared" si="282"/>
        <v>0</v>
      </c>
      <c r="CX320" s="2">
        <f t="shared" si="283"/>
        <v>0</v>
      </c>
      <c r="CY320" s="2">
        <f>((S320*BZ320)/100)</f>
        <v>133.92940000000002</v>
      </c>
      <c r="CZ320" s="2">
        <f>((S320*CA320)/100)</f>
        <v>72.336200000000005</v>
      </c>
      <c r="DA320" s="2"/>
      <c r="DB320" s="2">
        <v>121</v>
      </c>
      <c r="DC320" s="2" t="s">
        <v>3</v>
      </c>
      <c r="DD320" s="2" t="s">
        <v>3</v>
      </c>
      <c r="DE320" s="2" t="s">
        <v>22</v>
      </c>
      <c r="DF320" s="2" t="s">
        <v>22</v>
      </c>
      <c r="DG320" s="2" t="s">
        <v>22</v>
      </c>
      <c r="DH320" s="2" t="s">
        <v>3</v>
      </c>
      <c r="DI320" s="2" t="s">
        <v>22</v>
      </c>
      <c r="DJ320" s="2" t="s">
        <v>22</v>
      </c>
      <c r="DK320" s="2" t="s">
        <v>3</v>
      </c>
      <c r="DL320" s="2" t="s">
        <v>3</v>
      </c>
      <c r="DM320" s="2" t="s">
        <v>3</v>
      </c>
      <c r="DN320" s="2">
        <v>0</v>
      </c>
      <c r="DO320" s="2">
        <v>0</v>
      </c>
      <c r="DP320" s="2">
        <v>1</v>
      </c>
      <c r="DQ320" s="2">
        <v>1</v>
      </c>
      <c r="DR320" s="2"/>
      <c r="DS320" s="2"/>
      <c r="DT320" s="2"/>
      <c r="DU320" s="2">
        <v>1005</v>
      </c>
      <c r="DV320" s="2" t="s">
        <v>386</v>
      </c>
      <c r="DW320" s="2" t="s">
        <v>386</v>
      </c>
      <c r="DX320" s="2">
        <v>100</v>
      </c>
      <c r="DY320" s="2"/>
      <c r="DZ320" s="2" t="s">
        <v>3</v>
      </c>
      <c r="EA320" s="2" t="s">
        <v>3</v>
      </c>
      <c r="EB320" s="2" t="s">
        <v>3</v>
      </c>
      <c r="EC320" s="2" t="s">
        <v>3</v>
      </c>
      <c r="ED320" s="2"/>
      <c r="EE320" s="2">
        <v>51696334</v>
      </c>
      <c r="EF320" s="2">
        <v>30</v>
      </c>
      <c r="EG320" s="2" t="s">
        <v>23</v>
      </c>
      <c r="EH320" s="2">
        <v>0</v>
      </c>
      <c r="EI320" s="2" t="s">
        <v>3</v>
      </c>
      <c r="EJ320" s="2">
        <v>1</v>
      </c>
      <c r="EK320" s="2">
        <v>295</v>
      </c>
      <c r="EL320" s="2" t="s">
        <v>388</v>
      </c>
      <c r="EM320" s="2" t="s">
        <v>389</v>
      </c>
      <c r="EN320" s="2"/>
      <c r="EO320" s="2" t="s">
        <v>26</v>
      </c>
      <c r="EP320" s="2"/>
      <c r="EQ320" s="2">
        <v>131072</v>
      </c>
      <c r="ER320" s="2">
        <v>416.4</v>
      </c>
      <c r="ES320" s="2">
        <v>0</v>
      </c>
      <c r="ET320" s="2">
        <v>0</v>
      </c>
      <c r="EU320" s="2">
        <v>0</v>
      </c>
      <c r="EV320" s="2">
        <v>416.4</v>
      </c>
      <c r="EW320" s="2">
        <v>40</v>
      </c>
      <c r="EX320" s="2">
        <v>0</v>
      </c>
      <c r="EY320" s="2">
        <v>0</v>
      </c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>
        <v>0</v>
      </c>
      <c r="FR320" s="2">
        <v>0</v>
      </c>
      <c r="FS320" s="2">
        <v>0</v>
      </c>
      <c r="FT320" s="2"/>
      <c r="FU320" s="2"/>
      <c r="FV320" s="2"/>
      <c r="FW320" s="2"/>
      <c r="FX320" s="2">
        <v>187</v>
      </c>
      <c r="FY320" s="2">
        <v>101</v>
      </c>
      <c r="FZ320" s="2"/>
      <c r="GA320" s="2" t="s">
        <v>3</v>
      </c>
      <c r="GB320" s="2"/>
      <c r="GC320" s="2"/>
      <c r="GD320" s="2">
        <v>0</v>
      </c>
      <c r="GE320" s="2"/>
      <c r="GF320" s="2">
        <v>-802584898</v>
      </c>
      <c r="GG320" s="2">
        <v>2</v>
      </c>
      <c r="GH320" s="2">
        <v>1</v>
      </c>
      <c r="GI320" s="2">
        <v>-2</v>
      </c>
      <c r="GJ320" s="2">
        <v>0</v>
      </c>
      <c r="GK320" s="2">
        <f>ROUND(R320*(R12)/100,2)</f>
        <v>0</v>
      </c>
      <c r="GL320" s="2">
        <f t="shared" si="284"/>
        <v>0</v>
      </c>
      <c r="GM320" s="2">
        <f t="shared" si="285"/>
        <v>277.89</v>
      </c>
      <c r="GN320" s="2">
        <f t="shared" si="286"/>
        <v>277.89</v>
      </c>
      <c r="GO320" s="2">
        <f t="shared" si="287"/>
        <v>0</v>
      </c>
      <c r="GP320" s="2">
        <f t="shared" si="288"/>
        <v>0</v>
      </c>
      <c r="GQ320" s="2"/>
      <c r="GR320" s="2">
        <v>0</v>
      </c>
      <c r="GS320" s="2">
        <v>0</v>
      </c>
      <c r="GT320" s="2">
        <v>0</v>
      </c>
      <c r="GU320" s="2" t="s">
        <v>3</v>
      </c>
      <c r="GV320" s="2">
        <f t="shared" si="289"/>
        <v>0</v>
      </c>
      <c r="GW320" s="2">
        <v>1</v>
      </c>
      <c r="GX320" s="2">
        <f t="shared" si="290"/>
        <v>0</v>
      </c>
      <c r="GY320" s="2"/>
      <c r="GZ320" s="2"/>
      <c r="HA320" s="2">
        <v>0</v>
      </c>
      <c r="HB320" s="2">
        <v>0</v>
      </c>
      <c r="HC320" s="2">
        <f t="shared" si="291"/>
        <v>0</v>
      </c>
      <c r="HD320" s="2"/>
      <c r="HE320" s="2" t="s">
        <v>3</v>
      </c>
      <c r="HF320" s="2" t="s">
        <v>3</v>
      </c>
      <c r="HG320" s="2"/>
      <c r="HH320" s="2"/>
      <c r="HI320" s="2"/>
      <c r="HJ320" s="2"/>
      <c r="HK320" s="2"/>
      <c r="HL320" s="2"/>
      <c r="HM320" s="2" t="s">
        <v>3</v>
      </c>
      <c r="HN320" s="2" t="s">
        <v>3</v>
      </c>
      <c r="HO320" s="2" t="s">
        <v>3</v>
      </c>
      <c r="HP320" s="2" t="s">
        <v>3</v>
      </c>
      <c r="HQ320" s="2" t="s">
        <v>3</v>
      </c>
      <c r="HR320" s="2"/>
      <c r="HS320" s="2">
        <v>0</v>
      </c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>
        <v>0</v>
      </c>
      <c r="IL320" s="2"/>
      <c r="IM320" s="2"/>
      <c r="IN320" s="2"/>
      <c r="IO320" s="2"/>
      <c r="IP320" s="2"/>
      <c r="IQ320" s="2"/>
      <c r="IR320" s="2"/>
      <c r="IS320" s="2"/>
      <c r="IT320" s="2"/>
      <c r="IU320" s="2"/>
    </row>
    <row r="321" spans="1:255" x14ac:dyDescent="0.2">
      <c r="A321">
        <v>17</v>
      </c>
      <c r="B321">
        <v>1</v>
      </c>
      <c r="C321">
        <f>ROW(SmtRes!A58)</f>
        <v>58</v>
      </c>
      <c r="D321">
        <f>ROW(EtalonRes!A560)</f>
        <v>560</v>
      </c>
      <c r="E321" t="s">
        <v>394</v>
      </c>
      <c r="F321" t="s">
        <v>395</v>
      </c>
      <c r="G321" t="s">
        <v>396</v>
      </c>
      <c r="H321" t="s">
        <v>386</v>
      </c>
      <c r="I321">
        <f>ROUND(54.6*0.3/100,9)</f>
        <v>0.1638</v>
      </c>
      <c r="J321">
        <v>0</v>
      </c>
      <c r="K321">
        <f>ROUND(54.6*0.3/100,9)</f>
        <v>0.1638</v>
      </c>
      <c r="O321">
        <f t="shared" si="262"/>
        <v>2471.61</v>
      </c>
      <c r="P321">
        <f t="shared" si="263"/>
        <v>0</v>
      </c>
      <c r="Q321">
        <f>(ROUND((ROUND((((ET321*1.05))*AV321*I321),2)*BB321),2)+ROUND((ROUND(((AE321-((EU321*1.05)))*AV321*I321),2)*BS321),2))</f>
        <v>0</v>
      </c>
      <c r="R321">
        <f t="shared" si="264"/>
        <v>0</v>
      </c>
      <c r="S321">
        <f t="shared" si="265"/>
        <v>2471.61</v>
      </c>
      <c r="T321">
        <f t="shared" si="266"/>
        <v>0</v>
      </c>
      <c r="U321">
        <f t="shared" si="267"/>
        <v>6.8795999999999999</v>
      </c>
      <c r="V321">
        <f t="shared" si="268"/>
        <v>0</v>
      </c>
      <c r="W321">
        <f t="shared" si="269"/>
        <v>0</v>
      </c>
      <c r="X321">
        <f t="shared" si="270"/>
        <v>2595.19</v>
      </c>
      <c r="Y321">
        <f t="shared" si="271"/>
        <v>1186.3699999999999</v>
      </c>
      <c r="AA321">
        <v>56610029</v>
      </c>
      <c r="AB321">
        <f t="shared" si="272"/>
        <v>437.22</v>
      </c>
      <c r="AC321">
        <f t="shared" si="273"/>
        <v>0</v>
      </c>
      <c r="AD321">
        <f>ROUND(((((ET321*1.05))-((EU321*1.05)))+AE321),6)</f>
        <v>0</v>
      </c>
      <c r="AE321">
        <f>ROUND(((EU321*1.05)),6)</f>
        <v>0</v>
      </c>
      <c r="AF321">
        <f>ROUND(((EV321*1.05)),6)</f>
        <v>437.22</v>
      </c>
      <c r="AG321">
        <f t="shared" si="274"/>
        <v>0</v>
      </c>
      <c r="AH321">
        <f>((EW321*1.05))</f>
        <v>42</v>
      </c>
      <c r="AI321">
        <f>((EX321*1.05))</f>
        <v>0</v>
      </c>
      <c r="AJ321">
        <f t="shared" si="275"/>
        <v>0</v>
      </c>
      <c r="AK321">
        <v>416.4</v>
      </c>
      <c r="AL321">
        <v>0</v>
      </c>
      <c r="AM321">
        <v>0</v>
      </c>
      <c r="AN321">
        <v>0</v>
      </c>
      <c r="AO321">
        <v>416.4</v>
      </c>
      <c r="AP321">
        <v>0</v>
      </c>
      <c r="AQ321">
        <v>40</v>
      </c>
      <c r="AR321">
        <v>0</v>
      </c>
      <c r="AS321">
        <v>0</v>
      </c>
      <c r="AT321">
        <v>105</v>
      </c>
      <c r="AU321">
        <v>48</v>
      </c>
      <c r="AV321">
        <v>1</v>
      </c>
      <c r="AW321">
        <v>1</v>
      </c>
      <c r="AZ321">
        <v>1</v>
      </c>
      <c r="BA321">
        <v>34.51</v>
      </c>
      <c r="BB321">
        <v>1</v>
      </c>
      <c r="BC321">
        <v>1</v>
      </c>
      <c r="BD321" t="s">
        <v>3</v>
      </c>
      <c r="BE321" t="s">
        <v>3</v>
      </c>
      <c r="BF321" t="s">
        <v>3</v>
      </c>
      <c r="BG321" t="s">
        <v>3</v>
      </c>
      <c r="BH321">
        <v>0</v>
      </c>
      <c r="BI321">
        <v>1</v>
      </c>
      <c r="BJ321" t="s">
        <v>397</v>
      </c>
      <c r="BM321">
        <v>295</v>
      </c>
      <c r="BN321">
        <v>0</v>
      </c>
      <c r="BO321" t="s">
        <v>395</v>
      </c>
      <c r="BP321">
        <v>1</v>
      </c>
      <c r="BQ321">
        <v>30</v>
      </c>
      <c r="BR321">
        <v>0</v>
      </c>
      <c r="BS321">
        <v>34.51</v>
      </c>
      <c r="BT321">
        <v>1</v>
      </c>
      <c r="BU321">
        <v>1</v>
      </c>
      <c r="BV321">
        <v>1</v>
      </c>
      <c r="BW321">
        <v>1</v>
      </c>
      <c r="BX321">
        <v>1</v>
      </c>
      <c r="BY321" t="s">
        <v>3</v>
      </c>
      <c r="BZ321">
        <v>105</v>
      </c>
      <c r="CA321">
        <v>48</v>
      </c>
      <c r="CB321" t="s">
        <v>3</v>
      </c>
      <c r="CE321">
        <v>30</v>
      </c>
      <c r="CF321">
        <v>0</v>
      </c>
      <c r="CG321">
        <v>0</v>
      </c>
      <c r="CM321">
        <v>0</v>
      </c>
      <c r="CN321" t="s">
        <v>708</v>
      </c>
      <c r="CO321">
        <v>0</v>
      </c>
      <c r="CP321">
        <f t="shared" si="276"/>
        <v>2471.61</v>
      </c>
      <c r="CQ321">
        <f t="shared" si="277"/>
        <v>0</v>
      </c>
      <c r="CR321">
        <f>(ROUND((ROUND((((ET321*1.05))*AV321*1),2)*BB321),2)+ROUND((ROUND(((AE321-((EU321*1.05)))*AV321*1),2)*BS321),2))</f>
        <v>0</v>
      </c>
      <c r="CS321">
        <f t="shared" si="278"/>
        <v>0</v>
      </c>
      <c r="CT321">
        <f t="shared" si="279"/>
        <v>15088.46</v>
      </c>
      <c r="CU321">
        <f t="shared" si="280"/>
        <v>0</v>
      </c>
      <c r="CV321">
        <f t="shared" si="281"/>
        <v>42</v>
      </c>
      <c r="CW321">
        <f t="shared" si="282"/>
        <v>0</v>
      </c>
      <c r="CX321">
        <f t="shared" si="283"/>
        <v>0</v>
      </c>
      <c r="CY321">
        <f>S321*(BZ321/100)</f>
        <v>2595.1905000000002</v>
      </c>
      <c r="CZ321">
        <f>S321*(CA321/100)</f>
        <v>1186.3728000000001</v>
      </c>
      <c r="DB321">
        <v>122</v>
      </c>
      <c r="DC321" t="s">
        <v>3</v>
      </c>
      <c r="DD321" t="s">
        <v>3</v>
      </c>
      <c r="DE321" t="s">
        <v>22</v>
      </c>
      <c r="DF321" t="s">
        <v>22</v>
      </c>
      <c r="DG321" t="s">
        <v>22</v>
      </c>
      <c r="DH321" t="s">
        <v>3</v>
      </c>
      <c r="DI321" t="s">
        <v>22</v>
      </c>
      <c r="DJ321" t="s">
        <v>22</v>
      </c>
      <c r="DK321" t="s">
        <v>3</v>
      </c>
      <c r="DL321" t="s">
        <v>3</v>
      </c>
      <c r="DM321" t="s">
        <v>3</v>
      </c>
      <c r="DN321">
        <v>187</v>
      </c>
      <c r="DO321">
        <v>101</v>
      </c>
      <c r="DP321">
        <v>1</v>
      </c>
      <c r="DQ321">
        <v>1</v>
      </c>
      <c r="DU321">
        <v>1005</v>
      </c>
      <c r="DV321" t="s">
        <v>386</v>
      </c>
      <c r="DW321" t="s">
        <v>386</v>
      </c>
      <c r="DX321">
        <v>100</v>
      </c>
      <c r="DZ321" t="s">
        <v>3</v>
      </c>
      <c r="EA321" t="s">
        <v>3</v>
      </c>
      <c r="EB321" t="s">
        <v>3</v>
      </c>
      <c r="EC321" t="s">
        <v>3</v>
      </c>
      <c r="EE321">
        <v>51696334</v>
      </c>
      <c r="EF321">
        <v>30</v>
      </c>
      <c r="EG321" t="s">
        <v>23</v>
      </c>
      <c r="EH321">
        <v>0</v>
      </c>
      <c r="EI321" t="s">
        <v>3</v>
      </c>
      <c r="EJ321">
        <v>1</v>
      </c>
      <c r="EK321">
        <v>295</v>
      </c>
      <c r="EL321" t="s">
        <v>388</v>
      </c>
      <c r="EM321" t="s">
        <v>389</v>
      </c>
      <c r="EO321" t="s">
        <v>26</v>
      </c>
      <c r="EQ321">
        <v>131072</v>
      </c>
      <c r="ER321">
        <v>416.4</v>
      </c>
      <c r="ES321">
        <v>0</v>
      </c>
      <c r="ET321">
        <v>0</v>
      </c>
      <c r="EU321">
        <v>0</v>
      </c>
      <c r="EV321">
        <v>416.4</v>
      </c>
      <c r="EW321">
        <v>40</v>
      </c>
      <c r="EX321">
        <v>0</v>
      </c>
      <c r="EY321">
        <v>0</v>
      </c>
      <c r="FQ321">
        <v>0</v>
      </c>
      <c r="FR321">
        <v>0</v>
      </c>
      <c r="FS321">
        <v>0</v>
      </c>
      <c r="FX321">
        <v>187</v>
      </c>
      <c r="FY321">
        <v>101</v>
      </c>
      <c r="GA321" t="s">
        <v>3</v>
      </c>
      <c r="GD321">
        <v>0</v>
      </c>
      <c r="GF321">
        <v>-802584898</v>
      </c>
      <c r="GG321">
        <v>2</v>
      </c>
      <c r="GH321">
        <v>1</v>
      </c>
      <c r="GI321">
        <v>2</v>
      </c>
      <c r="GJ321">
        <v>0</v>
      </c>
      <c r="GK321">
        <f>ROUND(R321*(S12)/100,2)</f>
        <v>0</v>
      </c>
      <c r="GL321">
        <f t="shared" si="284"/>
        <v>0</v>
      </c>
      <c r="GM321">
        <f t="shared" si="285"/>
        <v>6253.17</v>
      </c>
      <c r="GN321">
        <f t="shared" si="286"/>
        <v>6253.17</v>
      </c>
      <c r="GO321">
        <f t="shared" si="287"/>
        <v>0</v>
      </c>
      <c r="GP321">
        <f t="shared" si="288"/>
        <v>0</v>
      </c>
      <c r="GR321">
        <v>0</v>
      </c>
      <c r="GS321">
        <v>3</v>
      </c>
      <c r="GT321">
        <v>0</v>
      </c>
      <c r="GU321" t="s">
        <v>3</v>
      </c>
      <c r="GV321">
        <f t="shared" si="289"/>
        <v>0</v>
      </c>
      <c r="GW321">
        <v>1</v>
      </c>
      <c r="GX321">
        <f t="shared" si="290"/>
        <v>0</v>
      </c>
      <c r="HA321">
        <v>0</v>
      </c>
      <c r="HB321">
        <v>0</v>
      </c>
      <c r="HC321">
        <f t="shared" si="291"/>
        <v>0</v>
      </c>
      <c r="HE321" t="s">
        <v>3</v>
      </c>
      <c r="HF321" t="s">
        <v>3</v>
      </c>
      <c r="HM321" t="s">
        <v>3</v>
      </c>
      <c r="HN321" t="s">
        <v>3</v>
      </c>
      <c r="HO321" t="s">
        <v>3</v>
      </c>
      <c r="HP321" t="s">
        <v>3</v>
      </c>
      <c r="HQ321" t="s">
        <v>3</v>
      </c>
      <c r="HS321">
        <v>0</v>
      </c>
      <c r="IK321">
        <v>0</v>
      </c>
    </row>
    <row r="322" spans="1:255" x14ac:dyDescent="0.2">
      <c r="A322" s="2">
        <v>18</v>
      </c>
      <c r="B322" s="2">
        <v>1</v>
      </c>
      <c r="C322" s="2">
        <v>57</v>
      </c>
      <c r="D322" s="2"/>
      <c r="E322" s="2" t="s">
        <v>398</v>
      </c>
      <c r="F322" s="2" t="s">
        <v>391</v>
      </c>
      <c r="G322" s="2" t="s">
        <v>392</v>
      </c>
      <c r="H322" s="2" t="s">
        <v>85</v>
      </c>
      <c r="I322" s="2">
        <f>I320*J322</f>
        <v>2.4569999999999999</v>
      </c>
      <c r="J322" s="2">
        <v>14.999999999999998</v>
      </c>
      <c r="K322" s="2">
        <v>15</v>
      </c>
      <c r="L322" s="2"/>
      <c r="M322" s="2"/>
      <c r="N322" s="2"/>
      <c r="O322" s="2">
        <f t="shared" si="262"/>
        <v>360.79</v>
      </c>
      <c r="P322" s="2">
        <f t="shared" si="263"/>
        <v>360.79</v>
      </c>
      <c r="Q322" s="2">
        <f>(ROUND((ROUND(((ET322)*AV322*I322),2)*BB322),2)+ROUND((ROUND(((AE322-(EU322))*AV322*I322),2)*BS322),2))</f>
        <v>0</v>
      </c>
      <c r="R322" s="2">
        <f t="shared" si="264"/>
        <v>0</v>
      </c>
      <c r="S322" s="2">
        <f t="shared" si="265"/>
        <v>0</v>
      </c>
      <c r="T322" s="2">
        <f t="shared" si="266"/>
        <v>0</v>
      </c>
      <c r="U322" s="2">
        <f t="shared" si="267"/>
        <v>0</v>
      </c>
      <c r="V322" s="2">
        <f t="shared" si="268"/>
        <v>0</v>
      </c>
      <c r="W322" s="2">
        <f t="shared" si="269"/>
        <v>0</v>
      </c>
      <c r="X322" s="2">
        <f t="shared" si="270"/>
        <v>0</v>
      </c>
      <c r="Y322" s="2">
        <f t="shared" si="271"/>
        <v>0</v>
      </c>
      <c r="Z322" s="2"/>
      <c r="AA322" s="2">
        <v>56622490</v>
      </c>
      <c r="AB322" s="2">
        <f t="shared" si="272"/>
        <v>146.84</v>
      </c>
      <c r="AC322" s="2">
        <f t="shared" si="273"/>
        <v>146.84</v>
      </c>
      <c r="AD322" s="2">
        <f>ROUND((((ET322)-(EU322))+AE322),6)</f>
        <v>0</v>
      </c>
      <c r="AE322" s="2">
        <f>ROUND((EU322),6)</f>
        <v>0</v>
      </c>
      <c r="AF322" s="2">
        <f>ROUND((EV322),6)</f>
        <v>0</v>
      </c>
      <c r="AG322" s="2">
        <f t="shared" si="274"/>
        <v>0</v>
      </c>
      <c r="AH322" s="2">
        <f>(EW322)</f>
        <v>0</v>
      </c>
      <c r="AI322" s="2">
        <f>(EX322)</f>
        <v>0</v>
      </c>
      <c r="AJ322" s="2">
        <f t="shared" si="275"/>
        <v>0</v>
      </c>
      <c r="AK322" s="2">
        <v>146.84</v>
      </c>
      <c r="AL322" s="2">
        <v>146.84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187</v>
      </c>
      <c r="AU322" s="2">
        <v>101</v>
      </c>
      <c r="AV322" s="2">
        <v>1</v>
      </c>
      <c r="AW322" s="2">
        <v>1</v>
      </c>
      <c r="AX322" s="2"/>
      <c r="AY322" s="2"/>
      <c r="AZ322" s="2">
        <v>1</v>
      </c>
      <c r="BA322" s="2">
        <v>1</v>
      </c>
      <c r="BB322" s="2">
        <v>1</v>
      </c>
      <c r="BC322" s="2">
        <v>1</v>
      </c>
      <c r="BD322" s="2" t="s">
        <v>3</v>
      </c>
      <c r="BE322" s="2" t="s">
        <v>3</v>
      </c>
      <c r="BF322" s="2" t="s">
        <v>3</v>
      </c>
      <c r="BG322" s="2" t="s">
        <v>3</v>
      </c>
      <c r="BH322" s="2">
        <v>3</v>
      </c>
      <c r="BI322" s="2">
        <v>1</v>
      </c>
      <c r="BJ322" s="2" t="s">
        <v>393</v>
      </c>
      <c r="BK322" s="2"/>
      <c r="BL322" s="2"/>
      <c r="BM322" s="2">
        <v>295</v>
      </c>
      <c r="BN322" s="2">
        <v>0</v>
      </c>
      <c r="BO322" s="2" t="s">
        <v>3</v>
      </c>
      <c r="BP322" s="2">
        <v>0</v>
      </c>
      <c r="BQ322" s="2">
        <v>30</v>
      </c>
      <c r="BR322" s="2">
        <v>0</v>
      </c>
      <c r="BS322" s="2">
        <v>1</v>
      </c>
      <c r="BT322" s="2">
        <v>1</v>
      </c>
      <c r="BU322" s="2">
        <v>1</v>
      </c>
      <c r="BV322" s="2">
        <v>1</v>
      </c>
      <c r="BW322" s="2">
        <v>1</v>
      </c>
      <c r="BX322" s="2">
        <v>1</v>
      </c>
      <c r="BY322" s="2" t="s">
        <v>3</v>
      </c>
      <c r="BZ322" s="2">
        <v>187</v>
      </c>
      <c r="CA322" s="2">
        <v>101</v>
      </c>
      <c r="CB322" s="2" t="s">
        <v>3</v>
      </c>
      <c r="CC322" s="2"/>
      <c r="CD322" s="2"/>
      <c r="CE322" s="2">
        <v>30</v>
      </c>
      <c r="CF322" s="2">
        <v>0</v>
      </c>
      <c r="CG322" s="2">
        <v>0</v>
      </c>
      <c r="CH322" s="2"/>
      <c r="CI322" s="2"/>
      <c r="CJ322" s="2"/>
      <c r="CK322" s="2"/>
      <c r="CL322" s="2"/>
      <c r="CM322" s="2">
        <v>0</v>
      </c>
      <c r="CN322" s="2" t="s">
        <v>3</v>
      </c>
      <c r="CO322" s="2">
        <v>0</v>
      </c>
      <c r="CP322" s="2">
        <f t="shared" si="276"/>
        <v>360.79</v>
      </c>
      <c r="CQ322" s="2">
        <f t="shared" si="277"/>
        <v>146.84</v>
      </c>
      <c r="CR322" s="2">
        <f>(ROUND((ROUND(((ET322)*AV322*1),2)*BB322),2)+ROUND((ROUND(((AE322-(EU322))*AV322*1),2)*BS322),2))</f>
        <v>0</v>
      </c>
      <c r="CS322" s="2">
        <f t="shared" si="278"/>
        <v>0</v>
      </c>
      <c r="CT322" s="2">
        <f t="shared" si="279"/>
        <v>0</v>
      </c>
      <c r="CU322" s="2">
        <f t="shared" si="280"/>
        <v>0</v>
      </c>
      <c r="CV322" s="2">
        <f t="shared" si="281"/>
        <v>0</v>
      </c>
      <c r="CW322" s="2">
        <f t="shared" si="282"/>
        <v>0</v>
      </c>
      <c r="CX322" s="2">
        <f t="shared" si="283"/>
        <v>0</v>
      </c>
      <c r="CY322" s="2">
        <f>((S322*BZ322)/100)</f>
        <v>0</v>
      </c>
      <c r="CZ322" s="2">
        <f>((S322*CA322)/100)</f>
        <v>0</v>
      </c>
      <c r="DA322" s="2"/>
      <c r="DB322" s="2"/>
      <c r="DC322" s="2" t="s">
        <v>3</v>
      </c>
      <c r="DD322" s="2" t="s">
        <v>3</v>
      </c>
      <c r="DE322" s="2" t="s">
        <v>3</v>
      </c>
      <c r="DF322" s="2" t="s">
        <v>3</v>
      </c>
      <c r="DG322" s="2" t="s">
        <v>3</v>
      </c>
      <c r="DH322" s="2" t="s">
        <v>3</v>
      </c>
      <c r="DI322" s="2" t="s">
        <v>3</v>
      </c>
      <c r="DJ322" s="2" t="s">
        <v>3</v>
      </c>
      <c r="DK322" s="2" t="s">
        <v>3</v>
      </c>
      <c r="DL322" s="2" t="s">
        <v>3</v>
      </c>
      <c r="DM322" s="2" t="s">
        <v>3</v>
      </c>
      <c r="DN322" s="2">
        <v>0</v>
      </c>
      <c r="DO322" s="2">
        <v>0</v>
      </c>
      <c r="DP322" s="2">
        <v>1</v>
      </c>
      <c r="DQ322" s="2">
        <v>1</v>
      </c>
      <c r="DR322" s="2"/>
      <c r="DS322" s="2"/>
      <c r="DT322" s="2"/>
      <c r="DU322" s="2">
        <v>1007</v>
      </c>
      <c r="DV322" s="2" t="s">
        <v>85</v>
      </c>
      <c r="DW322" s="2" t="s">
        <v>85</v>
      </c>
      <c r="DX322" s="2">
        <v>1</v>
      </c>
      <c r="DY322" s="2"/>
      <c r="DZ322" s="2" t="s">
        <v>3</v>
      </c>
      <c r="EA322" s="2" t="s">
        <v>3</v>
      </c>
      <c r="EB322" s="2" t="s">
        <v>3</v>
      </c>
      <c r="EC322" s="2" t="s">
        <v>3</v>
      </c>
      <c r="ED322" s="2"/>
      <c r="EE322" s="2">
        <v>51696334</v>
      </c>
      <c r="EF322" s="2">
        <v>30</v>
      </c>
      <c r="EG322" s="2" t="s">
        <v>23</v>
      </c>
      <c r="EH322" s="2">
        <v>0</v>
      </c>
      <c r="EI322" s="2" t="s">
        <v>3</v>
      </c>
      <c r="EJ322" s="2">
        <v>1</v>
      </c>
      <c r="EK322" s="2">
        <v>295</v>
      </c>
      <c r="EL322" s="2" t="s">
        <v>388</v>
      </c>
      <c r="EM322" s="2" t="s">
        <v>389</v>
      </c>
      <c r="EN322" s="2"/>
      <c r="EO322" s="2" t="s">
        <v>3</v>
      </c>
      <c r="EP322" s="2"/>
      <c r="EQ322" s="2">
        <v>0</v>
      </c>
      <c r="ER322" s="2">
        <v>146.84</v>
      </c>
      <c r="ES322" s="2">
        <v>146.84</v>
      </c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>
        <v>0</v>
      </c>
      <c r="FR322" s="2">
        <v>0</v>
      </c>
      <c r="FS322" s="2">
        <v>0</v>
      </c>
      <c r="FT322" s="2"/>
      <c r="FU322" s="2"/>
      <c r="FV322" s="2"/>
      <c r="FW322" s="2"/>
      <c r="FX322" s="2">
        <v>187</v>
      </c>
      <c r="FY322" s="2">
        <v>101</v>
      </c>
      <c r="FZ322" s="2"/>
      <c r="GA322" s="2" t="s">
        <v>3</v>
      </c>
      <c r="GB322" s="2"/>
      <c r="GC322" s="2"/>
      <c r="GD322" s="2">
        <v>0</v>
      </c>
      <c r="GE322" s="2"/>
      <c r="GF322" s="2">
        <v>-1933062003</v>
      </c>
      <c r="GG322" s="2">
        <v>2</v>
      </c>
      <c r="GH322" s="2">
        <v>1</v>
      </c>
      <c r="GI322" s="2">
        <v>-2</v>
      </c>
      <c r="GJ322" s="2">
        <v>0</v>
      </c>
      <c r="GK322" s="2">
        <f>ROUND(R322*(R12)/100,2)</f>
        <v>0</v>
      </c>
      <c r="GL322" s="2">
        <f t="shared" si="284"/>
        <v>0</v>
      </c>
      <c r="GM322" s="2">
        <f t="shared" si="285"/>
        <v>360.79</v>
      </c>
      <c r="GN322" s="2">
        <f t="shared" si="286"/>
        <v>360.79</v>
      </c>
      <c r="GO322" s="2">
        <f t="shared" si="287"/>
        <v>0</v>
      </c>
      <c r="GP322" s="2">
        <f t="shared" si="288"/>
        <v>0</v>
      </c>
      <c r="GQ322" s="2"/>
      <c r="GR322" s="2">
        <v>0</v>
      </c>
      <c r="GS322" s="2">
        <v>0</v>
      </c>
      <c r="GT322" s="2">
        <v>0</v>
      </c>
      <c r="GU322" s="2" t="s">
        <v>3</v>
      </c>
      <c r="GV322" s="2">
        <f t="shared" si="289"/>
        <v>0</v>
      </c>
      <c r="GW322" s="2">
        <v>1</v>
      </c>
      <c r="GX322" s="2">
        <f t="shared" si="290"/>
        <v>0</v>
      </c>
      <c r="GY322" s="2"/>
      <c r="GZ322" s="2"/>
      <c r="HA322" s="2">
        <v>0</v>
      </c>
      <c r="HB322" s="2">
        <v>0</v>
      </c>
      <c r="HC322" s="2">
        <f t="shared" si="291"/>
        <v>0</v>
      </c>
      <c r="HD322" s="2"/>
      <c r="HE322" s="2" t="s">
        <v>3</v>
      </c>
      <c r="HF322" s="2" t="s">
        <v>3</v>
      </c>
      <c r="HG322" s="2"/>
      <c r="HH322" s="2"/>
      <c r="HI322" s="2"/>
      <c r="HJ322" s="2"/>
      <c r="HK322" s="2"/>
      <c r="HL322" s="2"/>
      <c r="HM322" s="2" t="s">
        <v>3</v>
      </c>
      <c r="HN322" s="2" t="s">
        <v>3</v>
      </c>
      <c r="HO322" s="2" t="s">
        <v>3</v>
      </c>
      <c r="HP322" s="2" t="s">
        <v>3</v>
      </c>
      <c r="HQ322" s="2" t="s">
        <v>3</v>
      </c>
      <c r="HR322" s="2"/>
      <c r="HS322" s="2">
        <v>0</v>
      </c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>
        <v>0</v>
      </c>
      <c r="IL322" s="2"/>
      <c r="IM322" s="2"/>
      <c r="IN322" s="2"/>
      <c r="IO322" s="2"/>
      <c r="IP322" s="2"/>
      <c r="IQ322" s="2"/>
      <c r="IR322" s="2"/>
      <c r="IS322" s="2"/>
      <c r="IT322" s="2"/>
      <c r="IU322" s="2"/>
    </row>
    <row r="323" spans="1:255" x14ac:dyDescent="0.2">
      <c r="A323">
        <v>18</v>
      </c>
      <c r="B323">
        <v>1</v>
      </c>
      <c r="C323">
        <v>58</v>
      </c>
      <c r="E323" t="s">
        <v>398</v>
      </c>
      <c r="F323" t="s">
        <v>391</v>
      </c>
      <c r="G323" t="s">
        <v>392</v>
      </c>
      <c r="H323" t="s">
        <v>85</v>
      </c>
      <c r="I323">
        <f>I321*J323</f>
        <v>2.4569999999999999</v>
      </c>
      <c r="J323">
        <v>14.999999999999998</v>
      </c>
      <c r="K323">
        <v>15</v>
      </c>
      <c r="O323">
        <f t="shared" si="262"/>
        <v>2612.12</v>
      </c>
      <c r="P323">
        <f t="shared" si="263"/>
        <v>2612.12</v>
      </c>
      <c r="Q323">
        <f>(ROUND((ROUND(((ET323)*AV323*I323),2)*BB323),2)+ROUND((ROUND(((AE323-(EU323))*AV323*I323),2)*BS323),2))</f>
        <v>0</v>
      </c>
      <c r="R323">
        <f t="shared" si="264"/>
        <v>0</v>
      </c>
      <c r="S323">
        <f t="shared" si="265"/>
        <v>0</v>
      </c>
      <c r="T323">
        <f t="shared" si="266"/>
        <v>0</v>
      </c>
      <c r="U323">
        <f t="shared" si="267"/>
        <v>0</v>
      </c>
      <c r="V323">
        <f t="shared" si="268"/>
        <v>0</v>
      </c>
      <c r="W323">
        <f t="shared" si="269"/>
        <v>0</v>
      </c>
      <c r="X323">
        <f t="shared" si="270"/>
        <v>0</v>
      </c>
      <c r="Y323">
        <f t="shared" si="271"/>
        <v>0</v>
      </c>
      <c r="AA323">
        <v>56610029</v>
      </c>
      <c r="AB323">
        <f t="shared" si="272"/>
        <v>146.84</v>
      </c>
      <c r="AC323">
        <f t="shared" si="273"/>
        <v>146.84</v>
      </c>
      <c r="AD323">
        <f>ROUND((((ET323)-(EU323))+AE323),6)</f>
        <v>0</v>
      </c>
      <c r="AE323">
        <f>ROUND((EU323),6)</f>
        <v>0</v>
      </c>
      <c r="AF323">
        <f>ROUND((EV323),6)</f>
        <v>0</v>
      </c>
      <c r="AG323">
        <f t="shared" si="274"/>
        <v>0</v>
      </c>
      <c r="AH323">
        <f>(EW323)</f>
        <v>0</v>
      </c>
      <c r="AI323">
        <f>(EX323)</f>
        <v>0</v>
      </c>
      <c r="AJ323">
        <f t="shared" si="275"/>
        <v>0</v>
      </c>
      <c r="AK323">
        <v>146.84</v>
      </c>
      <c r="AL323">
        <v>146.84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1</v>
      </c>
      <c r="AW323">
        <v>1</v>
      </c>
      <c r="AZ323">
        <v>1</v>
      </c>
      <c r="BA323">
        <v>1</v>
      </c>
      <c r="BB323">
        <v>1</v>
      </c>
      <c r="BC323">
        <v>7.24</v>
      </c>
      <c r="BD323" t="s">
        <v>3</v>
      </c>
      <c r="BE323" t="s">
        <v>3</v>
      </c>
      <c r="BF323" t="s">
        <v>3</v>
      </c>
      <c r="BG323" t="s">
        <v>3</v>
      </c>
      <c r="BH323">
        <v>3</v>
      </c>
      <c r="BI323">
        <v>1</v>
      </c>
      <c r="BJ323" t="s">
        <v>393</v>
      </c>
      <c r="BM323">
        <v>295</v>
      </c>
      <c r="BN323">
        <v>0</v>
      </c>
      <c r="BO323" t="s">
        <v>391</v>
      </c>
      <c r="BP323">
        <v>1</v>
      </c>
      <c r="BQ323">
        <v>30</v>
      </c>
      <c r="BR323">
        <v>0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 t="s">
        <v>3</v>
      </c>
      <c r="BZ323">
        <v>0</v>
      </c>
      <c r="CA323">
        <v>0</v>
      </c>
      <c r="CB323" t="s">
        <v>3</v>
      </c>
      <c r="CE323">
        <v>30</v>
      </c>
      <c r="CF323">
        <v>0</v>
      </c>
      <c r="CG323">
        <v>0</v>
      </c>
      <c r="CM323">
        <v>0</v>
      </c>
      <c r="CN323" t="s">
        <v>3</v>
      </c>
      <c r="CO323">
        <v>0</v>
      </c>
      <c r="CP323">
        <f t="shared" si="276"/>
        <v>2612.12</v>
      </c>
      <c r="CQ323">
        <f t="shared" si="277"/>
        <v>1063.1199999999999</v>
      </c>
      <c r="CR323">
        <f>(ROUND((ROUND(((ET323)*AV323*1),2)*BB323),2)+ROUND((ROUND(((AE323-(EU323))*AV323*1),2)*BS323),2))</f>
        <v>0</v>
      </c>
      <c r="CS323">
        <f t="shared" si="278"/>
        <v>0</v>
      </c>
      <c r="CT323">
        <f t="shared" si="279"/>
        <v>0</v>
      </c>
      <c r="CU323">
        <f t="shared" si="280"/>
        <v>0</v>
      </c>
      <c r="CV323">
        <f t="shared" si="281"/>
        <v>0</v>
      </c>
      <c r="CW323">
        <f t="shared" si="282"/>
        <v>0</v>
      </c>
      <c r="CX323">
        <f t="shared" si="283"/>
        <v>0</v>
      </c>
      <c r="CY323">
        <f>S323*(BZ323/100)</f>
        <v>0</v>
      </c>
      <c r="CZ323">
        <f>S323*(CA323/100)</f>
        <v>0</v>
      </c>
      <c r="DC323" t="s">
        <v>3</v>
      </c>
      <c r="DD323" t="s">
        <v>3</v>
      </c>
      <c r="DE323" t="s">
        <v>3</v>
      </c>
      <c r="DF323" t="s">
        <v>3</v>
      </c>
      <c r="DG323" t="s">
        <v>3</v>
      </c>
      <c r="DH323" t="s">
        <v>3</v>
      </c>
      <c r="DI323" t="s">
        <v>3</v>
      </c>
      <c r="DJ323" t="s">
        <v>3</v>
      </c>
      <c r="DK323" t="s">
        <v>3</v>
      </c>
      <c r="DL323" t="s">
        <v>3</v>
      </c>
      <c r="DM323" t="s">
        <v>3</v>
      </c>
      <c r="DN323">
        <v>187</v>
      </c>
      <c r="DO323">
        <v>101</v>
      </c>
      <c r="DP323">
        <v>1</v>
      </c>
      <c r="DQ323">
        <v>1</v>
      </c>
      <c r="DU323">
        <v>1007</v>
      </c>
      <c r="DV323" t="s">
        <v>85</v>
      </c>
      <c r="DW323" t="s">
        <v>85</v>
      </c>
      <c r="DX323">
        <v>1</v>
      </c>
      <c r="DZ323" t="s">
        <v>3</v>
      </c>
      <c r="EA323" t="s">
        <v>3</v>
      </c>
      <c r="EB323" t="s">
        <v>3</v>
      </c>
      <c r="EC323" t="s">
        <v>3</v>
      </c>
      <c r="EE323">
        <v>51696334</v>
      </c>
      <c r="EF323">
        <v>30</v>
      </c>
      <c r="EG323" t="s">
        <v>23</v>
      </c>
      <c r="EH323">
        <v>0</v>
      </c>
      <c r="EI323" t="s">
        <v>3</v>
      </c>
      <c r="EJ323">
        <v>1</v>
      </c>
      <c r="EK323">
        <v>295</v>
      </c>
      <c r="EL323" t="s">
        <v>388</v>
      </c>
      <c r="EM323" t="s">
        <v>389</v>
      </c>
      <c r="EO323" t="s">
        <v>3</v>
      </c>
      <c r="EQ323">
        <v>0</v>
      </c>
      <c r="ER323">
        <v>146.84</v>
      </c>
      <c r="ES323">
        <v>146.84</v>
      </c>
      <c r="ET323">
        <v>0</v>
      </c>
      <c r="EU323">
        <v>0</v>
      </c>
      <c r="EV323">
        <v>0</v>
      </c>
      <c r="EW323">
        <v>0</v>
      </c>
      <c r="EX323">
        <v>0</v>
      </c>
      <c r="FQ323">
        <v>0</v>
      </c>
      <c r="FR323">
        <v>0</v>
      </c>
      <c r="FS323">
        <v>0</v>
      </c>
      <c r="FX323">
        <v>187</v>
      </c>
      <c r="FY323">
        <v>101</v>
      </c>
      <c r="GA323" t="s">
        <v>3</v>
      </c>
      <c r="GD323">
        <v>0</v>
      </c>
      <c r="GF323">
        <v>-1933062003</v>
      </c>
      <c r="GG323">
        <v>2</v>
      </c>
      <c r="GH323">
        <v>1</v>
      </c>
      <c r="GI323">
        <v>2</v>
      </c>
      <c r="GJ323">
        <v>0</v>
      </c>
      <c r="GK323">
        <f>ROUND(R323*(S12)/100,2)</f>
        <v>0</v>
      </c>
      <c r="GL323">
        <f t="shared" si="284"/>
        <v>0</v>
      </c>
      <c r="GM323">
        <f t="shared" si="285"/>
        <v>2612.12</v>
      </c>
      <c r="GN323">
        <f t="shared" si="286"/>
        <v>2612.12</v>
      </c>
      <c r="GO323">
        <f t="shared" si="287"/>
        <v>0</v>
      </c>
      <c r="GP323">
        <f t="shared" si="288"/>
        <v>0</v>
      </c>
      <c r="GR323">
        <v>0</v>
      </c>
      <c r="GS323">
        <v>3</v>
      </c>
      <c r="GT323">
        <v>0</v>
      </c>
      <c r="GU323" t="s">
        <v>3</v>
      </c>
      <c r="GV323">
        <f t="shared" si="289"/>
        <v>0</v>
      </c>
      <c r="GW323">
        <v>1</v>
      </c>
      <c r="GX323">
        <f t="shared" si="290"/>
        <v>0</v>
      </c>
      <c r="HA323">
        <v>0</v>
      </c>
      <c r="HB323">
        <v>0</v>
      </c>
      <c r="HC323">
        <f t="shared" si="291"/>
        <v>0</v>
      </c>
      <c r="HE323" t="s">
        <v>3</v>
      </c>
      <c r="HF323" t="s">
        <v>3</v>
      </c>
      <c r="HM323" t="s">
        <v>3</v>
      </c>
      <c r="HN323" t="s">
        <v>3</v>
      </c>
      <c r="HO323" t="s">
        <v>3</v>
      </c>
      <c r="HP323" t="s">
        <v>3</v>
      </c>
      <c r="HQ323" t="s">
        <v>3</v>
      </c>
      <c r="HS323">
        <v>0</v>
      </c>
      <c r="IK323">
        <v>0</v>
      </c>
    </row>
    <row r="324" spans="1:255" x14ac:dyDescent="0.2">
      <c r="A324" s="2">
        <v>17</v>
      </c>
      <c r="B324" s="2">
        <v>1</v>
      </c>
      <c r="C324" s="2">
        <f>ROW(SmtRes!A59)</f>
        <v>59</v>
      </c>
      <c r="D324" s="2">
        <f>ROW(EtalonRes!A562)</f>
        <v>562</v>
      </c>
      <c r="E324" s="2" t="s">
        <v>399</v>
      </c>
      <c r="F324" s="2" t="s">
        <v>400</v>
      </c>
      <c r="G324" s="2" t="s">
        <v>401</v>
      </c>
      <c r="H324" s="2" t="s">
        <v>386</v>
      </c>
      <c r="I324" s="2">
        <f>ROUND(-54.6/100,9)</f>
        <v>-0.54600000000000004</v>
      </c>
      <c r="J324" s="2">
        <v>0</v>
      </c>
      <c r="K324" s="2">
        <f>ROUND(-54.6/100,9)</f>
        <v>-0.54600000000000004</v>
      </c>
      <c r="L324" s="2"/>
      <c r="M324" s="2"/>
      <c r="N324" s="2"/>
      <c r="O324" s="2">
        <f t="shared" si="262"/>
        <v>-32.64</v>
      </c>
      <c r="P324" s="2">
        <f t="shared" si="263"/>
        <v>0</v>
      </c>
      <c r="Q324" s="2">
        <f>(ROUND((ROUND((((ET324*1.05))*AV324*I324),2)*BB324),2)+ROUND((ROUND(((AE324-((EU324*1.05)))*AV324*I324),2)*BS324),2))</f>
        <v>0</v>
      </c>
      <c r="R324" s="2">
        <f t="shared" si="264"/>
        <v>0</v>
      </c>
      <c r="S324" s="2">
        <f t="shared" si="265"/>
        <v>-32.64</v>
      </c>
      <c r="T324" s="2">
        <f t="shared" si="266"/>
        <v>0</v>
      </c>
      <c r="U324" s="2">
        <f t="shared" si="267"/>
        <v>-3.1359510000000004</v>
      </c>
      <c r="V324" s="2">
        <f t="shared" si="268"/>
        <v>0</v>
      </c>
      <c r="W324" s="2">
        <f t="shared" si="269"/>
        <v>0</v>
      </c>
      <c r="X324" s="2">
        <f t="shared" si="270"/>
        <v>-61.04</v>
      </c>
      <c r="Y324" s="2">
        <f t="shared" si="271"/>
        <v>-32.97</v>
      </c>
      <c r="Z324" s="2"/>
      <c r="AA324" s="2">
        <v>56622490</v>
      </c>
      <c r="AB324" s="2">
        <f t="shared" si="272"/>
        <v>59.786999999999999</v>
      </c>
      <c r="AC324" s="2">
        <f t="shared" si="273"/>
        <v>0</v>
      </c>
      <c r="AD324" s="2">
        <f>ROUND(((((ET324*1.05))-((EU324*1.05)))+AE324),6)</f>
        <v>0</v>
      </c>
      <c r="AE324" s="2">
        <f>ROUND(((EU324*1.05)),6)</f>
        <v>0</v>
      </c>
      <c r="AF324" s="2">
        <f>ROUND(((EV324*1.05)),6)</f>
        <v>59.786999999999999</v>
      </c>
      <c r="AG324" s="2">
        <f t="shared" si="274"/>
        <v>0</v>
      </c>
      <c r="AH324" s="2">
        <f>((EW324*1.05))</f>
        <v>5.7435</v>
      </c>
      <c r="AI324" s="2">
        <f>((EX324*1.05))</f>
        <v>0</v>
      </c>
      <c r="AJ324" s="2">
        <f t="shared" si="275"/>
        <v>0</v>
      </c>
      <c r="AK324" s="2">
        <v>56.94</v>
      </c>
      <c r="AL324" s="2">
        <v>0</v>
      </c>
      <c r="AM324" s="2">
        <v>0</v>
      </c>
      <c r="AN324" s="2">
        <v>0</v>
      </c>
      <c r="AO324" s="2">
        <v>56.94</v>
      </c>
      <c r="AP324" s="2">
        <v>0</v>
      </c>
      <c r="AQ324" s="2">
        <v>5.47</v>
      </c>
      <c r="AR324" s="2">
        <v>0</v>
      </c>
      <c r="AS324" s="2">
        <v>0</v>
      </c>
      <c r="AT324" s="2">
        <v>187</v>
      </c>
      <c r="AU324" s="2">
        <v>101</v>
      </c>
      <c r="AV324" s="2">
        <v>1</v>
      </c>
      <c r="AW324" s="2">
        <v>1</v>
      </c>
      <c r="AX324" s="2"/>
      <c r="AY324" s="2"/>
      <c r="AZ324" s="2">
        <v>1</v>
      </c>
      <c r="BA324" s="2">
        <v>1</v>
      </c>
      <c r="BB324" s="2">
        <v>1</v>
      </c>
      <c r="BC324" s="2">
        <v>1</v>
      </c>
      <c r="BD324" s="2" t="s">
        <v>3</v>
      </c>
      <c r="BE324" s="2" t="s">
        <v>3</v>
      </c>
      <c r="BF324" s="2" t="s">
        <v>3</v>
      </c>
      <c r="BG324" s="2" t="s">
        <v>3</v>
      </c>
      <c r="BH324" s="2">
        <v>0</v>
      </c>
      <c r="BI324" s="2">
        <v>1</v>
      </c>
      <c r="BJ324" s="2" t="s">
        <v>402</v>
      </c>
      <c r="BK324" s="2"/>
      <c r="BL324" s="2"/>
      <c r="BM324" s="2">
        <v>295</v>
      </c>
      <c r="BN324" s="2">
        <v>0</v>
      </c>
      <c r="BO324" s="2" t="s">
        <v>3</v>
      </c>
      <c r="BP324" s="2">
        <v>0</v>
      </c>
      <c r="BQ324" s="2">
        <v>30</v>
      </c>
      <c r="BR324" s="2">
        <v>0</v>
      </c>
      <c r="BS324" s="2">
        <v>1</v>
      </c>
      <c r="BT324" s="2">
        <v>1</v>
      </c>
      <c r="BU324" s="2">
        <v>1</v>
      </c>
      <c r="BV324" s="2">
        <v>1</v>
      </c>
      <c r="BW324" s="2">
        <v>1</v>
      </c>
      <c r="BX324" s="2">
        <v>1</v>
      </c>
      <c r="BY324" s="2" t="s">
        <v>3</v>
      </c>
      <c r="BZ324" s="2">
        <v>187</v>
      </c>
      <c r="CA324" s="2">
        <v>101</v>
      </c>
      <c r="CB324" s="2" t="s">
        <v>3</v>
      </c>
      <c r="CC324" s="2"/>
      <c r="CD324" s="2"/>
      <c r="CE324" s="2">
        <v>30</v>
      </c>
      <c r="CF324" s="2">
        <v>0</v>
      </c>
      <c r="CG324" s="2">
        <v>0</v>
      </c>
      <c r="CH324" s="2"/>
      <c r="CI324" s="2"/>
      <c r="CJ324" s="2"/>
      <c r="CK324" s="2"/>
      <c r="CL324" s="2"/>
      <c r="CM324" s="2">
        <v>0</v>
      </c>
      <c r="CN324" s="2" t="s">
        <v>708</v>
      </c>
      <c r="CO324" s="2">
        <v>0</v>
      </c>
      <c r="CP324" s="2">
        <f t="shared" si="276"/>
        <v>-32.64</v>
      </c>
      <c r="CQ324" s="2">
        <f t="shared" si="277"/>
        <v>0</v>
      </c>
      <c r="CR324" s="2">
        <f>(ROUND((ROUND((((ET324*1.05))*AV324*1),2)*BB324),2)+ROUND((ROUND(((AE324-((EU324*1.05)))*AV324*1),2)*BS324),2))</f>
        <v>0</v>
      </c>
      <c r="CS324" s="2">
        <f t="shared" si="278"/>
        <v>0</v>
      </c>
      <c r="CT324" s="2">
        <f t="shared" si="279"/>
        <v>59.79</v>
      </c>
      <c r="CU324" s="2">
        <f t="shared" si="280"/>
        <v>0</v>
      </c>
      <c r="CV324" s="2">
        <f t="shared" si="281"/>
        <v>5.7435</v>
      </c>
      <c r="CW324" s="2">
        <f t="shared" si="282"/>
        <v>0</v>
      </c>
      <c r="CX324" s="2">
        <f t="shared" si="283"/>
        <v>0</v>
      </c>
      <c r="CY324" s="2">
        <f>((S324*BZ324)/100)</f>
        <v>-61.036799999999999</v>
      </c>
      <c r="CZ324" s="2">
        <f>((S324*CA324)/100)</f>
        <v>-32.9664</v>
      </c>
      <c r="DA324" s="2"/>
      <c r="DB324" s="2">
        <v>123</v>
      </c>
      <c r="DC324" s="2" t="s">
        <v>3</v>
      </c>
      <c r="DD324" s="2" t="s">
        <v>3</v>
      </c>
      <c r="DE324" s="2" t="s">
        <v>22</v>
      </c>
      <c r="DF324" s="2" t="s">
        <v>22</v>
      </c>
      <c r="DG324" s="2" t="s">
        <v>22</v>
      </c>
      <c r="DH324" s="2" t="s">
        <v>3</v>
      </c>
      <c r="DI324" s="2" t="s">
        <v>22</v>
      </c>
      <c r="DJ324" s="2" t="s">
        <v>22</v>
      </c>
      <c r="DK324" s="2" t="s">
        <v>3</v>
      </c>
      <c r="DL324" s="2" t="s">
        <v>3</v>
      </c>
      <c r="DM324" s="2" t="s">
        <v>3</v>
      </c>
      <c r="DN324" s="2">
        <v>0</v>
      </c>
      <c r="DO324" s="2">
        <v>0</v>
      </c>
      <c r="DP324" s="2">
        <v>1</v>
      </c>
      <c r="DQ324" s="2">
        <v>1</v>
      </c>
      <c r="DR324" s="2"/>
      <c r="DS324" s="2"/>
      <c r="DT324" s="2"/>
      <c r="DU324" s="2">
        <v>1005</v>
      </c>
      <c r="DV324" s="2" t="s">
        <v>386</v>
      </c>
      <c r="DW324" s="2" t="s">
        <v>386</v>
      </c>
      <c r="DX324" s="2">
        <v>100</v>
      </c>
      <c r="DY324" s="2"/>
      <c r="DZ324" s="2" t="s">
        <v>3</v>
      </c>
      <c r="EA324" s="2" t="s">
        <v>3</v>
      </c>
      <c r="EB324" s="2" t="s">
        <v>3</v>
      </c>
      <c r="EC324" s="2" t="s">
        <v>3</v>
      </c>
      <c r="ED324" s="2"/>
      <c r="EE324" s="2">
        <v>51696334</v>
      </c>
      <c r="EF324" s="2">
        <v>30</v>
      </c>
      <c r="EG324" s="2" t="s">
        <v>23</v>
      </c>
      <c r="EH324" s="2">
        <v>0</v>
      </c>
      <c r="EI324" s="2" t="s">
        <v>3</v>
      </c>
      <c r="EJ324" s="2">
        <v>1</v>
      </c>
      <c r="EK324" s="2">
        <v>295</v>
      </c>
      <c r="EL324" s="2" t="s">
        <v>388</v>
      </c>
      <c r="EM324" s="2" t="s">
        <v>389</v>
      </c>
      <c r="EN324" s="2"/>
      <c r="EO324" s="2" t="s">
        <v>26</v>
      </c>
      <c r="EP324" s="2"/>
      <c r="EQ324" s="2">
        <v>131072</v>
      </c>
      <c r="ER324" s="2">
        <v>56.94</v>
      </c>
      <c r="ES324" s="2">
        <v>0</v>
      </c>
      <c r="ET324" s="2">
        <v>0</v>
      </c>
      <c r="EU324" s="2">
        <v>0</v>
      </c>
      <c r="EV324" s="2">
        <v>56.94</v>
      </c>
      <c r="EW324" s="2">
        <v>5.47</v>
      </c>
      <c r="EX324" s="2">
        <v>0</v>
      </c>
      <c r="EY324" s="2">
        <v>0</v>
      </c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>
        <v>0</v>
      </c>
      <c r="FR324" s="2">
        <v>0</v>
      </c>
      <c r="FS324" s="2">
        <v>0</v>
      </c>
      <c r="FT324" s="2"/>
      <c r="FU324" s="2"/>
      <c r="FV324" s="2"/>
      <c r="FW324" s="2"/>
      <c r="FX324" s="2">
        <v>187</v>
      </c>
      <c r="FY324" s="2">
        <v>101</v>
      </c>
      <c r="FZ324" s="2"/>
      <c r="GA324" s="2" t="s">
        <v>3</v>
      </c>
      <c r="GB324" s="2"/>
      <c r="GC324" s="2"/>
      <c r="GD324" s="2">
        <v>0</v>
      </c>
      <c r="GE324" s="2"/>
      <c r="GF324" s="2">
        <v>1966967839</v>
      </c>
      <c r="GG324" s="2">
        <v>2</v>
      </c>
      <c r="GH324" s="2">
        <v>1</v>
      </c>
      <c r="GI324" s="2">
        <v>-2</v>
      </c>
      <c r="GJ324" s="2">
        <v>0</v>
      </c>
      <c r="GK324" s="2">
        <f>ROUND(R324*(R12)/100,2)</f>
        <v>0</v>
      </c>
      <c r="GL324" s="2">
        <f t="shared" si="284"/>
        <v>0</v>
      </c>
      <c r="GM324" s="2">
        <f t="shared" si="285"/>
        <v>-126.65</v>
      </c>
      <c r="GN324" s="2">
        <f t="shared" si="286"/>
        <v>-126.65</v>
      </c>
      <c r="GO324" s="2">
        <f t="shared" si="287"/>
        <v>0</v>
      </c>
      <c r="GP324" s="2">
        <f t="shared" si="288"/>
        <v>0</v>
      </c>
      <c r="GQ324" s="2"/>
      <c r="GR324" s="2">
        <v>0</v>
      </c>
      <c r="GS324" s="2">
        <v>0</v>
      </c>
      <c r="GT324" s="2">
        <v>0</v>
      </c>
      <c r="GU324" s="2" t="s">
        <v>3</v>
      </c>
      <c r="GV324" s="2">
        <f t="shared" si="289"/>
        <v>0</v>
      </c>
      <c r="GW324" s="2">
        <v>1</v>
      </c>
      <c r="GX324" s="2">
        <f t="shared" si="290"/>
        <v>0</v>
      </c>
      <c r="GY324" s="2"/>
      <c r="GZ324" s="2"/>
      <c r="HA324" s="2">
        <v>0</v>
      </c>
      <c r="HB324" s="2">
        <v>0</v>
      </c>
      <c r="HC324" s="2">
        <f t="shared" si="291"/>
        <v>0</v>
      </c>
      <c r="HD324" s="2"/>
      <c r="HE324" s="2" t="s">
        <v>3</v>
      </c>
      <c r="HF324" s="2" t="s">
        <v>3</v>
      </c>
      <c r="HG324" s="2"/>
      <c r="HH324" s="2"/>
      <c r="HI324" s="2"/>
      <c r="HJ324" s="2"/>
      <c r="HK324" s="2"/>
      <c r="HL324" s="2"/>
      <c r="HM324" s="2" t="s">
        <v>3</v>
      </c>
      <c r="HN324" s="2" t="s">
        <v>3</v>
      </c>
      <c r="HO324" s="2" t="s">
        <v>3</v>
      </c>
      <c r="HP324" s="2" t="s">
        <v>3</v>
      </c>
      <c r="HQ324" s="2" t="s">
        <v>3</v>
      </c>
      <c r="HR324" s="2"/>
      <c r="HS324" s="2">
        <v>0</v>
      </c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>
        <v>0</v>
      </c>
      <c r="IL324" s="2"/>
      <c r="IM324" s="2"/>
      <c r="IN324" s="2"/>
      <c r="IO324" s="2"/>
      <c r="IP324" s="2"/>
      <c r="IQ324" s="2"/>
      <c r="IR324" s="2"/>
      <c r="IS324" s="2"/>
      <c r="IT324" s="2"/>
      <c r="IU324" s="2"/>
    </row>
    <row r="325" spans="1:255" x14ac:dyDescent="0.2">
      <c r="A325">
        <v>17</v>
      </c>
      <c r="B325">
        <v>1</v>
      </c>
      <c r="C325">
        <f>ROW(SmtRes!A60)</f>
        <v>60</v>
      </c>
      <c r="D325">
        <f>ROW(EtalonRes!A564)</f>
        <v>564</v>
      </c>
      <c r="E325" t="s">
        <v>399</v>
      </c>
      <c r="F325" t="s">
        <v>400</v>
      </c>
      <c r="G325" t="s">
        <v>401</v>
      </c>
      <c r="H325" t="s">
        <v>386</v>
      </c>
      <c r="I325">
        <f>ROUND(-54.6/100,9)</f>
        <v>-0.54600000000000004</v>
      </c>
      <c r="J325">
        <v>0</v>
      </c>
      <c r="K325">
        <f>ROUND(-54.6/100,9)</f>
        <v>-0.54600000000000004</v>
      </c>
      <c r="O325">
        <f t="shared" si="262"/>
        <v>-1126.4100000000001</v>
      </c>
      <c r="P325">
        <f t="shared" si="263"/>
        <v>0</v>
      </c>
      <c r="Q325">
        <f>(ROUND((ROUND((((ET325*1.05))*AV325*I325),2)*BB325),2)+ROUND((ROUND(((AE325-((EU325*1.05)))*AV325*I325),2)*BS325),2))</f>
        <v>0</v>
      </c>
      <c r="R325">
        <f t="shared" si="264"/>
        <v>0</v>
      </c>
      <c r="S325">
        <f t="shared" si="265"/>
        <v>-1126.4100000000001</v>
      </c>
      <c r="T325">
        <f t="shared" si="266"/>
        <v>0</v>
      </c>
      <c r="U325">
        <f t="shared" si="267"/>
        <v>-3.1359510000000004</v>
      </c>
      <c r="V325">
        <f t="shared" si="268"/>
        <v>0</v>
      </c>
      <c r="W325">
        <f t="shared" si="269"/>
        <v>0</v>
      </c>
      <c r="X325">
        <f t="shared" si="270"/>
        <v>-1182.73</v>
      </c>
      <c r="Y325">
        <f t="shared" si="271"/>
        <v>-540.67999999999995</v>
      </c>
      <c r="AA325">
        <v>56610029</v>
      </c>
      <c r="AB325">
        <f t="shared" si="272"/>
        <v>59.786999999999999</v>
      </c>
      <c r="AC325">
        <f t="shared" si="273"/>
        <v>0</v>
      </c>
      <c r="AD325">
        <f>ROUND(((((ET325*1.05))-((EU325*1.05)))+AE325),6)</f>
        <v>0</v>
      </c>
      <c r="AE325">
        <f>ROUND(((EU325*1.05)),6)</f>
        <v>0</v>
      </c>
      <c r="AF325">
        <f>ROUND(((EV325*1.05)),6)</f>
        <v>59.786999999999999</v>
      </c>
      <c r="AG325">
        <f t="shared" si="274"/>
        <v>0</v>
      </c>
      <c r="AH325">
        <f>((EW325*1.05))</f>
        <v>5.7435</v>
      </c>
      <c r="AI325">
        <f>((EX325*1.05))</f>
        <v>0</v>
      </c>
      <c r="AJ325">
        <f t="shared" si="275"/>
        <v>0</v>
      </c>
      <c r="AK325">
        <v>56.94</v>
      </c>
      <c r="AL325">
        <v>0</v>
      </c>
      <c r="AM325">
        <v>0</v>
      </c>
      <c r="AN325">
        <v>0</v>
      </c>
      <c r="AO325">
        <v>56.94</v>
      </c>
      <c r="AP325">
        <v>0</v>
      </c>
      <c r="AQ325">
        <v>5.47</v>
      </c>
      <c r="AR325">
        <v>0</v>
      </c>
      <c r="AS325">
        <v>0</v>
      </c>
      <c r="AT325">
        <v>105</v>
      </c>
      <c r="AU325">
        <v>48</v>
      </c>
      <c r="AV325">
        <v>1</v>
      </c>
      <c r="AW325">
        <v>1</v>
      </c>
      <c r="AZ325">
        <v>1</v>
      </c>
      <c r="BA325">
        <v>34.51</v>
      </c>
      <c r="BB325">
        <v>1</v>
      </c>
      <c r="BC325">
        <v>1</v>
      </c>
      <c r="BD325" t="s">
        <v>3</v>
      </c>
      <c r="BE325" t="s">
        <v>3</v>
      </c>
      <c r="BF325" t="s">
        <v>3</v>
      </c>
      <c r="BG325" t="s">
        <v>3</v>
      </c>
      <c r="BH325">
        <v>0</v>
      </c>
      <c r="BI325">
        <v>1</v>
      </c>
      <c r="BJ325" t="s">
        <v>402</v>
      </c>
      <c r="BM325">
        <v>295</v>
      </c>
      <c r="BN325">
        <v>0</v>
      </c>
      <c r="BO325" t="s">
        <v>400</v>
      </c>
      <c r="BP325">
        <v>1</v>
      </c>
      <c r="BQ325">
        <v>30</v>
      </c>
      <c r="BR325">
        <v>0</v>
      </c>
      <c r="BS325">
        <v>34.51</v>
      </c>
      <c r="BT325">
        <v>1</v>
      </c>
      <c r="BU325">
        <v>1</v>
      </c>
      <c r="BV325">
        <v>1</v>
      </c>
      <c r="BW325">
        <v>1</v>
      </c>
      <c r="BX325">
        <v>1</v>
      </c>
      <c r="BY325" t="s">
        <v>3</v>
      </c>
      <c r="BZ325">
        <v>105</v>
      </c>
      <c r="CA325">
        <v>48</v>
      </c>
      <c r="CB325" t="s">
        <v>3</v>
      </c>
      <c r="CE325">
        <v>30</v>
      </c>
      <c r="CF325">
        <v>0</v>
      </c>
      <c r="CG325">
        <v>0</v>
      </c>
      <c r="CM325">
        <v>0</v>
      </c>
      <c r="CN325" t="s">
        <v>708</v>
      </c>
      <c r="CO325">
        <v>0</v>
      </c>
      <c r="CP325">
        <f t="shared" si="276"/>
        <v>-1126.4100000000001</v>
      </c>
      <c r="CQ325">
        <f t="shared" si="277"/>
        <v>0</v>
      </c>
      <c r="CR325">
        <f>(ROUND((ROUND((((ET325*1.05))*AV325*1),2)*BB325),2)+ROUND((ROUND(((AE325-((EU325*1.05)))*AV325*1),2)*BS325),2))</f>
        <v>0</v>
      </c>
      <c r="CS325">
        <f t="shared" si="278"/>
        <v>0</v>
      </c>
      <c r="CT325">
        <f t="shared" si="279"/>
        <v>2063.35</v>
      </c>
      <c r="CU325">
        <f t="shared" si="280"/>
        <v>0</v>
      </c>
      <c r="CV325">
        <f t="shared" si="281"/>
        <v>5.7435</v>
      </c>
      <c r="CW325">
        <f t="shared" si="282"/>
        <v>0</v>
      </c>
      <c r="CX325">
        <f t="shared" si="283"/>
        <v>0</v>
      </c>
      <c r="CY325">
        <f>S325*(BZ325/100)</f>
        <v>-1182.7305000000001</v>
      </c>
      <c r="CZ325">
        <f>S325*(CA325/100)</f>
        <v>-540.67680000000007</v>
      </c>
      <c r="DB325">
        <v>124</v>
      </c>
      <c r="DC325" t="s">
        <v>3</v>
      </c>
      <c r="DD325" t="s">
        <v>3</v>
      </c>
      <c r="DE325" t="s">
        <v>22</v>
      </c>
      <c r="DF325" t="s">
        <v>22</v>
      </c>
      <c r="DG325" t="s">
        <v>22</v>
      </c>
      <c r="DH325" t="s">
        <v>3</v>
      </c>
      <c r="DI325" t="s">
        <v>22</v>
      </c>
      <c r="DJ325" t="s">
        <v>22</v>
      </c>
      <c r="DK325" t="s">
        <v>3</v>
      </c>
      <c r="DL325" t="s">
        <v>3</v>
      </c>
      <c r="DM325" t="s">
        <v>3</v>
      </c>
      <c r="DN325">
        <v>187</v>
      </c>
      <c r="DO325">
        <v>101</v>
      </c>
      <c r="DP325">
        <v>1</v>
      </c>
      <c r="DQ325">
        <v>1</v>
      </c>
      <c r="DU325">
        <v>1005</v>
      </c>
      <c r="DV325" t="s">
        <v>386</v>
      </c>
      <c r="DW325" t="s">
        <v>386</v>
      </c>
      <c r="DX325">
        <v>100</v>
      </c>
      <c r="DZ325" t="s">
        <v>3</v>
      </c>
      <c r="EA325" t="s">
        <v>3</v>
      </c>
      <c r="EB325" t="s">
        <v>3</v>
      </c>
      <c r="EC325" t="s">
        <v>3</v>
      </c>
      <c r="EE325">
        <v>51696334</v>
      </c>
      <c r="EF325">
        <v>30</v>
      </c>
      <c r="EG325" t="s">
        <v>23</v>
      </c>
      <c r="EH325">
        <v>0</v>
      </c>
      <c r="EI325" t="s">
        <v>3</v>
      </c>
      <c r="EJ325">
        <v>1</v>
      </c>
      <c r="EK325">
        <v>295</v>
      </c>
      <c r="EL325" t="s">
        <v>388</v>
      </c>
      <c r="EM325" t="s">
        <v>389</v>
      </c>
      <c r="EO325" t="s">
        <v>26</v>
      </c>
      <c r="EQ325">
        <v>131072</v>
      </c>
      <c r="ER325">
        <v>56.94</v>
      </c>
      <c r="ES325">
        <v>0</v>
      </c>
      <c r="ET325">
        <v>0</v>
      </c>
      <c r="EU325">
        <v>0</v>
      </c>
      <c r="EV325">
        <v>56.94</v>
      </c>
      <c r="EW325">
        <v>5.47</v>
      </c>
      <c r="EX325">
        <v>0</v>
      </c>
      <c r="EY325">
        <v>0</v>
      </c>
      <c r="FQ325">
        <v>0</v>
      </c>
      <c r="FR325">
        <v>0</v>
      </c>
      <c r="FS325">
        <v>0</v>
      </c>
      <c r="FX325">
        <v>187</v>
      </c>
      <c r="FY325">
        <v>101</v>
      </c>
      <c r="GA325" t="s">
        <v>3</v>
      </c>
      <c r="GD325">
        <v>0</v>
      </c>
      <c r="GF325">
        <v>1966967839</v>
      </c>
      <c r="GG325">
        <v>2</v>
      </c>
      <c r="GH325">
        <v>1</v>
      </c>
      <c r="GI325">
        <v>2</v>
      </c>
      <c r="GJ325">
        <v>0</v>
      </c>
      <c r="GK325">
        <f>ROUND(R325*(S12)/100,2)</f>
        <v>0</v>
      </c>
      <c r="GL325">
        <f t="shared" si="284"/>
        <v>0</v>
      </c>
      <c r="GM325">
        <f t="shared" si="285"/>
        <v>-2849.82</v>
      </c>
      <c r="GN325">
        <f t="shared" si="286"/>
        <v>-2849.82</v>
      </c>
      <c r="GO325">
        <f t="shared" si="287"/>
        <v>0</v>
      </c>
      <c r="GP325">
        <f t="shared" si="288"/>
        <v>0</v>
      </c>
      <c r="GR325">
        <v>0</v>
      </c>
      <c r="GS325">
        <v>3</v>
      </c>
      <c r="GT325">
        <v>0</v>
      </c>
      <c r="GU325" t="s">
        <v>3</v>
      </c>
      <c r="GV325">
        <f t="shared" si="289"/>
        <v>0</v>
      </c>
      <c r="GW325">
        <v>1</v>
      </c>
      <c r="GX325">
        <f t="shared" si="290"/>
        <v>0</v>
      </c>
      <c r="HA325">
        <v>0</v>
      </c>
      <c r="HB325">
        <v>0</v>
      </c>
      <c r="HC325">
        <f t="shared" si="291"/>
        <v>0</v>
      </c>
      <c r="HE325" t="s">
        <v>3</v>
      </c>
      <c r="HF325" t="s">
        <v>3</v>
      </c>
      <c r="HM325" t="s">
        <v>3</v>
      </c>
      <c r="HN325" t="s">
        <v>3</v>
      </c>
      <c r="HO325" t="s">
        <v>3</v>
      </c>
      <c r="HP325" t="s">
        <v>3</v>
      </c>
      <c r="HQ325" t="s">
        <v>3</v>
      </c>
      <c r="HS325">
        <v>0</v>
      </c>
      <c r="IK325">
        <v>0</v>
      </c>
    </row>
    <row r="326" spans="1:255" x14ac:dyDescent="0.2">
      <c r="A326" s="2">
        <v>18</v>
      </c>
      <c r="B326" s="2">
        <v>1</v>
      </c>
      <c r="C326" s="2">
        <v>59</v>
      </c>
      <c r="D326" s="2"/>
      <c r="E326" s="2" t="s">
        <v>403</v>
      </c>
      <c r="F326" s="2" t="s">
        <v>391</v>
      </c>
      <c r="G326" s="2" t="s">
        <v>392</v>
      </c>
      <c r="H326" s="2" t="s">
        <v>85</v>
      </c>
      <c r="I326" s="2">
        <f>I324*J326</f>
        <v>-2.7300000000000004</v>
      </c>
      <c r="J326" s="2">
        <v>5</v>
      </c>
      <c r="K326" s="2">
        <v>5</v>
      </c>
      <c r="L326" s="2"/>
      <c r="M326" s="2"/>
      <c r="N326" s="2"/>
      <c r="O326" s="2">
        <f t="shared" si="262"/>
        <v>-400.87</v>
      </c>
      <c r="P326" s="2">
        <f t="shared" si="263"/>
        <v>-400.87</v>
      </c>
      <c r="Q326" s="2">
        <f>(ROUND((ROUND(((ET326)*AV326*I326),2)*BB326),2)+ROUND((ROUND(((AE326-(EU326))*AV326*I326),2)*BS326),2))</f>
        <v>0</v>
      </c>
      <c r="R326" s="2">
        <f t="shared" si="264"/>
        <v>0</v>
      </c>
      <c r="S326" s="2">
        <f t="shared" si="265"/>
        <v>0</v>
      </c>
      <c r="T326" s="2">
        <f t="shared" si="266"/>
        <v>0</v>
      </c>
      <c r="U326" s="2">
        <f t="shared" si="267"/>
        <v>0</v>
      </c>
      <c r="V326" s="2">
        <f t="shared" si="268"/>
        <v>0</v>
      </c>
      <c r="W326" s="2">
        <f t="shared" si="269"/>
        <v>0</v>
      </c>
      <c r="X326" s="2">
        <f t="shared" si="270"/>
        <v>0</v>
      </c>
      <c r="Y326" s="2">
        <f t="shared" si="271"/>
        <v>0</v>
      </c>
      <c r="Z326" s="2"/>
      <c r="AA326" s="2">
        <v>56622490</v>
      </c>
      <c r="AB326" s="2">
        <f t="shared" si="272"/>
        <v>146.84</v>
      </c>
      <c r="AC326" s="2">
        <f t="shared" si="273"/>
        <v>146.84</v>
      </c>
      <c r="AD326" s="2">
        <f>ROUND((((ET326)-(EU326))+AE326),6)</f>
        <v>0</v>
      </c>
      <c r="AE326" s="2">
        <f>ROUND((EU326),6)</f>
        <v>0</v>
      </c>
      <c r="AF326" s="2">
        <f>ROUND((EV326),6)</f>
        <v>0</v>
      </c>
      <c r="AG326" s="2">
        <f t="shared" si="274"/>
        <v>0</v>
      </c>
      <c r="AH326" s="2">
        <f>(EW326)</f>
        <v>0</v>
      </c>
      <c r="AI326" s="2">
        <f>(EX326)</f>
        <v>0</v>
      </c>
      <c r="AJ326" s="2">
        <f t="shared" si="275"/>
        <v>0</v>
      </c>
      <c r="AK326" s="2">
        <v>146.84</v>
      </c>
      <c r="AL326" s="2">
        <v>146.84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187</v>
      </c>
      <c r="AU326" s="2">
        <v>101</v>
      </c>
      <c r="AV326" s="2">
        <v>1</v>
      </c>
      <c r="AW326" s="2">
        <v>1</v>
      </c>
      <c r="AX326" s="2"/>
      <c r="AY326" s="2"/>
      <c r="AZ326" s="2">
        <v>1</v>
      </c>
      <c r="BA326" s="2">
        <v>1</v>
      </c>
      <c r="BB326" s="2">
        <v>1</v>
      </c>
      <c r="BC326" s="2">
        <v>1</v>
      </c>
      <c r="BD326" s="2" t="s">
        <v>3</v>
      </c>
      <c r="BE326" s="2" t="s">
        <v>3</v>
      </c>
      <c r="BF326" s="2" t="s">
        <v>3</v>
      </c>
      <c r="BG326" s="2" t="s">
        <v>3</v>
      </c>
      <c r="BH326" s="2">
        <v>3</v>
      </c>
      <c r="BI326" s="2">
        <v>1</v>
      </c>
      <c r="BJ326" s="2" t="s">
        <v>393</v>
      </c>
      <c r="BK326" s="2"/>
      <c r="BL326" s="2"/>
      <c r="BM326" s="2">
        <v>295</v>
      </c>
      <c r="BN326" s="2">
        <v>0</v>
      </c>
      <c r="BO326" s="2" t="s">
        <v>3</v>
      </c>
      <c r="BP326" s="2">
        <v>0</v>
      </c>
      <c r="BQ326" s="2">
        <v>30</v>
      </c>
      <c r="BR326" s="2">
        <v>0</v>
      </c>
      <c r="BS326" s="2">
        <v>1</v>
      </c>
      <c r="BT326" s="2">
        <v>1</v>
      </c>
      <c r="BU326" s="2">
        <v>1</v>
      </c>
      <c r="BV326" s="2">
        <v>1</v>
      </c>
      <c r="BW326" s="2">
        <v>1</v>
      </c>
      <c r="BX326" s="2">
        <v>1</v>
      </c>
      <c r="BY326" s="2" t="s">
        <v>3</v>
      </c>
      <c r="BZ326" s="2">
        <v>187</v>
      </c>
      <c r="CA326" s="2">
        <v>101</v>
      </c>
      <c r="CB326" s="2" t="s">
        <v>3</v>
      </c>
      <c r="CC326" s="2"/>
      <c r="CD326" s="2"/>
      <c r="CE326" s="2">
        <v>30</v>
      </c>
      <c r="CF326" s="2">
        <v>0</v>
      </c>
      <c r="CG326" s="2">
        <v>0</v>
      </c>
      <c r="CH326" s="2"/>
      <c r="CI326" s="2"/>
      <c r="CJ326" s="2"/>
      <c r="CK326" s="2"/>
      <c r="CL326" s="2"/>
      <c r="CM326" s="2">
        <v>0</v>
      </c>
      <c r="CN326" s="2" t="s">
        <v>3</v>
      </c>
      <c r="CO326" s="2">
        <v>0</v>
      </c>
      <c r="CP326" s="2">
        <f t="shared" si="276"/>
        <v>-400.87</v>
      </c>
      <c r="CQ326" s="2">
        <f t="shared" si="277"/>
        <v>146.84</v>
      </c>
      <c r="CR326" s="2">
        <f>(ROUND((ROUND(((ET326)*AV326*1),2)*BB326),2)+ROUND((ROUND(((AE326-(EU326))*AV326*1),2)*BS326),2))</f>
        <v>0</v>
      </c>
      <c r="CS326" s="2">
        <f t="shared" si="278"/>
        <v>0</v>
      </c>
      <c r="CT326" s="2">
        <f t="shared" si="279"/>
        <v>0</v>
      </c>
      <c r="CU326" s="2">
        <f t="shared" si="280"/>
        <v>0</v>
      </c>
      <c r="CV326" s="2">
        <f t="shared" si="281"/>
        <v>0</v>
      </c>
      <c r="CW326" s="2">
        <f t="shared" si="282"/>
        <v>0</v>
      </c>
      <c r="CX326" s="2">
        <f t="shared" si="283"/>
        <v>0</v>
      </c>
      <c r="CY326" s="2">
        <f>((S326*BZ326)/100)</f>
        <v>0</v>
      </c>
      <c r="CZ326" s="2">
        <f>((S326*CA326)/100)</f>
        <v>0</v>
      </c>
      <c r="DA326" s="2"/>
      <c r="DB326" s="2"/>
      <c r="DC326" s="2" t="s">
        <v>3</v>
      </c>
      <c r="DD326" s="2" t="s">
        <v>3</v>
      </c>
      <c r="DE326" s="2" t="s">
        <v>3</v>
      </c>
      <c r="DF326" s="2" t="s">
        <v>3</v>
      </c>
      <c r="DG326" s="2" t="s">
        <v>3</v>
      </c>
      <c r="DH326" s="2" t="s">
        <v>3</v>
      </c>
      <c r="DI326" s="2" t="s">
        <v>3</v>
      </c>
      <c r="DJ326" s="2" t="s">
        <v>3</v>
      </c>
      <c r="DK326" s="2" t="s">
        <v>3</v>
      </c>
      <c r="DL326" s="2" t="s">
        <v>3</v>
      </c>
      <c r="DM326" s="2" t="s">
        <v>3</v>
      </c>
      <c r="DN326" s="2">
        <v>0</v>
      </c>
      <c r="DO326" s="2">
        <v>0</v>
      </c>
      <c r="DP326" s="2">
        <v>1</v>
      </c>
      <c r="DQ326" s="2">
        <v>1</v>
      </c>
      <c r="DR326" s="2"/>
      <c r="DS326" s="2"/>
      <c r="DT326" s="2"/>
      <c r="DU326" s="2">
        <v>1007</v>
      </c>
      <c r="DV326" s="2" t="s">
        <v>85</v>
      </c>
      <c r="DW326" s="2" t="s">
        <v>85</v>
      </c>
      <c r="DX326" s="2">
        <v>1</v>
      </c>
      <c r="DY326" s="2"/>
      <c r="DZ326" s="2" t="s">
        <v>3</v>
      </c>
      <c r="EA326" s="2" t="s">
        <v>3</v>
      </c>
      <c r="EB326" s="2" t="s">
        <v>3</v>
      </c>
      <c r="EC326" s="2" t="s">
        <v>3</v>
      </c>
      <c r="ED326" s="2"/>
      <c r="EE326" s="2">
        <v>51696334</v>
      </c>
      <c r="EF326" s="2">
        <v>30</v>
      </c>
      <c r="EG326" s="2" t="s">
        <v>23</v>
      </c>
      <c r="EH326" s="2">
        <v>0</v>
      </c>
      <c r="EI326" s="2" t="s">
        <v>3</v>
      </c>
      <c r="EJ326" s="2">
        <v>1</v>
      </c>
      <c r="EK326" s="2">
        <v>295</v>
      </c>
      <c r="EL326" s="2" t="s">
        <v>388</v>
      </c>
      <c r="EM326" s="2" t="s">
        <v>389</v>
      </c>
      <c r="EN326" s="2"/>
      <c r="EO326" s="2" t="s">
        <v>3</v>
      </c>
      <c r="EP326" s="2"/>
      <c r="EQ326" s="2">
        <v>0</v>
      </c>
      <c r="ER326" s="2">
        <v>146.84</v>
      </c>
      <c r="ES326" s="2">
        <v>146.84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>
        <v>0</v>
      </c>
      <c r="FR326" s="2">
        <v>0</v>
      </c>
      <c r="FS326" s="2">
        <v>0</v>
      </c>
      <c r="FT326" s="2"/>
      <c r="FU326" s="2"/>
      <c r="FV326" s="2"/>
      <c r="FW326" s="2"/>
      <c r="FX326" s="2">
        <v>187</v>
      </c>
      <c r="FY326" s="2">
        <v>101</v>
      </c>
      <c r="FZ326" s="2"/>
      <c r="GA326" s="2" t="s">
        <v>3</v>
      </c>
      <c r="GB326" s="2"/>
      <c r="GC326" s="2"/>
      <c r="GD326" s="2">
        <v>0</v>
      </c>
      <c r="GE326" s="2"/>
      <c r="GF326" s="2">
        <v>-1933062003</v>
      </c>
      <c r="GG326" s="2">
        <v>2</v>
      </c>
      <c r="GH326" s="2">
        <v>1</v>
      </c>
      <c r="GI326" s="2">
        <v>-2</v>
      </c>
      <c r="GJ326" s="2">
        <v>0</v>
      </c>
      <c r="GK326" s="2">
        <f>ROUND(R326*(R12)/100,2)</f>
        <v>0</v>
      </c>
      <c r="GL326" s="2">
        <f t="shared" si="284"/>
        <v>0</v>
      </c>
      <c r="GM326" s="2">
        <f t="shared" si="285"/>
        <v>-400.87</v>
      </c>
      <c r="GN326" s="2">
        <f t="shared" si="286"/>
        <v>-400.87</v>
      </c>
      <c r="GO326" s="2">
        <f t="shared" si="287"/>
        <v>0</v>
      </c>
      <c r="GP326" s="2">
        <f t="shared" si="288"/>
        <v>0</v>
      </c>
      <c r="GQ326" s="2"/>
      <c r="GR326" s="2">
        <v>0</v>
      </c>
      <c r="GS326" s="2">
        <v>0</v>
      </c>
      <c r="GT326" s="2">
        <v>0</v>
      </c>
      <c r="GU326" s="2" t="s">
        <v>3</v>
      </c>
      <c r="GV326" s="2">
        <f t="shared" si="289"/>
        <v>0</v>
      </c>
      <c r="GW326" s="2">
        <v>1</v>
      </c>
      <c r="GX326" s="2">
        <f t="shared" si="290"/>
        <v>0</v>
      </c>
      <c r="GY326" s="2"/>
      <c r="GZ326" s="2"/>
      <c r="HA326" s="2">
        <v>0</v>
      </c>
      <c r="HB326" s="2">
        <v>0</v>
      </c>
      <c r="HC326" s="2">
        <f t="shared" si="291"/>
        <v>0</v>
      </c>
      <c r="HD326" s="2"/>
      <c r="HE326" s="2" t="s">
        <v>3</v>
      </c>
      <c r="HF326" s="2" t="s">
        <v>3</v>
      </c>
      <c r="HG326" s="2"/>
      <c r="HH326" s="2"/>
      <c r="HI326" s="2"/>
      <c r="HJ326" s="2"/>
      <c r="HK326" s="2"/>
      <c r="HL326" s="2"/>
      <c r="HM326" s="2" t="s">
        <v>3</v>
      </c>
      <c r="HN326" s="2" t="s">
        <v>3</v>
      </c>
      <c r="HO326" s="2" t="s">
        <v>3</v>
      </c>
      <c r="HP326" s="2" t="s">
        <v>3</v>
      </c>
      <c r="HQ326" s="2" t="s">
        <v>3</v>
      </c>
      <c r="HR326" s="2"/>
      <c r="HS326" s="2">
        <v>0</v>
      </c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>
        <v>0</v>
      </c>
      <c r="IL326" s="2"/>
      <c r="IM326" s="2"/>
      <c r="IN326" s="2"/>
      <c r="IO326" s="2"/>
      <c r="IP326" s="2"/>
      <c r="IQ326" s="2"/>
      <c r="IR326" s="2"/>
      <c r="IS326" s="2"/>
      <c r="IT326" s="2"/>
      <c r="IU326" s="2"/>
    </row>
    <row r="327" spans="1:255" x14ac:dyDescent="0.2">
      <c r="A327">
        <v>18</v>
      </c>
      <c r="B327">
        <v>1</v>
      </c>
      <c r="C327">
        <v>60</v>
      </c>
      <c r="E327" t="s">
        <v>403</v>
      </c>
      <c r="F327" t="s">
        <v>391</v>
      </c>
      <c r="G327" t="s">
        <v>392</v>
      </c>
      <c r="H327" t="s">
        <v>85</v>
      </c>
      <c r="I327">
        <f>I325*J327</f>
        <v>-2.7300000000000004</v>
      </c>
      <c r="J327">
        <v>5</v>
      </c>
      <c r="K327">
        <v>5</v>
      </c>
      <c r="O327">
        <f t="shared" si="262"/>
        <v>-2902.3</v>
      </c>
      <c r="P327">
        <f t="shared" si="263"/>
        <v>-2902.3</v>
      </c>
      <c r="Q327">
        <f>(ROUND((ROUND(((ET327)*AV327*I327),2)*BB327),2)+ROUND((ROUND(((AE327-(EU327))*AV327*I327),2)*BS327),2))</f>
        <v>0</v>
      </c>
      <c r="R327">
        <f t="shared" si="264"/>
        <v>0</v>
      </c>
      <c r="S327">
        <f t="shared" si="265"/>
        <v>0</v>
      </c>
      <c r="T327">
        <f t="shared" si="266"/>
        <v>0</v>
      </c>
      <c r="U327">
        <f t="shared" si="267"/>
        <v>0</v>
      </c>
      <c r="V327">
        <f t="shared" si="268"/>
        <v>0</v>
      </c>
      <c r="W327">
        <f t="shared" si="269"/>
        <v>0</v>
      </c>
      <c r="X327">
        <f t="shared" si="270"/>
        <v>0</v>
      </c>
      <c r="Y327">
        <f t="shared" si="271"/>
        <v>0</v>
      </c>
      <c r="AA327">
        <v>56610029</v>
      </c>
      <c r="AB327">
        <f t="shared" si="272"/>
        <v>146.84</v>
      </c>
      <c r="AC327">
        <f t="shared" si="273"/>
        <v>146.84</v>
      </c>
      <c r="AD327">
        <f>ROUND((((ET327)-(EU327))+AE327),6)</f>
        <v>0</v>
      </c>
      <c r="AE327">
        <f>ROUND((EU327),6)</f>
        <v>0</v>
      </c>
      <c r="AF327">
        <f>ROUND((EV327),6)</f>
        <v>0</v>
      </c>
      <c r="AG327">
        <f t="shared" si="274"/>
        <v>0</v>
      </c>
      <c r="AH327">
        <f>(EW327)</f>
        <v>0</v>
      </c>
      <c r="AI327">
        <f>(EX327)</f>
        <v>0</v>
      </c>
      <c r="AJ327">
        <f t="shared" si="275"/>
        <v>0</v>
      </c>
      <c r="AK327">
        <v>146.84</v>
      </c>
      <c r="AL327">
        <v>146.84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1</v>
      </c>
      <c r="AW327">
        <v>1</v>
      </c>
      <c r="AZ327">
        <v>1</v>
      </c>
      <c r="BA327">
        <v>1</v>
      </c>
      <c r="BB327">
        <v>1</v>
      </c>
      <c r="BC327">
        <v>7.24</v>
      </c>
      <c r="BD327" t="s">
        <v>3</v>
      </c>
      <c r="BE327" t="s">
        <v>3</v>
      </c>
      <c r="BF327" t="s">
        <v>3</v>
      </c>
      <c r="BG327" t="s">
        <v>3</v>
      </c>
      <c r="BH327">
        <v>3</v>
      </c>
      <c r="BI327">
        <v>1</v>
      </c>
      <c r="BJ327" t="s">
        <v>393</v>
      </c>
      <c r="BM327">
        <v>295</v>
      </c>
      <c r="BN327">
        <v>0</v>
      </c>
      <c r="BO327" t="s">
        <v>391</v>
      </c>
      <c r="BP327">
        <v>1</v>
      </c>
      <c r="BQ327">
        <v>30</v>
      </c>
      <c r="BR327">
        <v>0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 t="s">
        <v>3</v>
      </c>
      <c r="BZ327">
        <v>0</v>
      </c>
      <c r="CA327">
        <v>0</v>
      </c>
      <c r="CB327" t="s">
        <v>3</v>
      </c>
      <c r="CE327">
        <v>30</v>
      </c>
      <c r="CF327">
        <v>0</v>
      </c>
      <c r="CG327">
        <v>0</v>
      </c>
      <c r="CM327">
        <v>0</v>
      </c>
      <c r="CN327" t="s">
        <v>3</v>
      </c>
      <c r="CO327">
        <v>0</v>
      </c>
      <c r="CP327">
        <f t="shared" si="276"/>
        <v>-2902.3</v>
      </c>
      <c r="CQ327">
        <f t="shared" si="277"/>
        <v>1063.1199999999999</v>
      </c>
      <c r="CR327">
        <f>(ROUND((ROUND(((ET327)*AV327*1),2)*BB327),2)+ROUND((ROUND(((AE327-(EU327))*AV327*1),2)*BS327),2))</f>
        <v>0</v>
      </c>
      <c r="CS327">
        <f t="shared" si="278"/>
        <v>0</v>
      </c>
      <c r="CT327">
        <f t="shared" si="279"/>
        <v>0</v>
      </c>
      <c r="CU327">
        <f t="shared" si="280"/>
        <v>0</v>
      </c>
      <c r="CV327">
        <f t="shared" si="281"/>
        <v>0</v>
      </c>
      <c r="CW327">
        <f t="shared" si="282"/>
        <v>0</v>
      </c>
      <c r="CX327">
        <f t="shared" si="283"/>
        <v>0</v>
      </c>
      <c r="CY327">
        <f>S327*(BZ327/100)</f>
        <v>0</v>
      </c>
      <c r="CZ327">
        <f>S327*(CA327/100)</f>
        <v>0</v>
      </c>
      <c r="DC327" t="s">
        <v>3</v>
      </c>
      <c r="DD327" t="s">
        <v>3</v>
      </c>
      <c r="DE327" t="s">
        <v>3</v>
      </c>
      <c r="DF327" t="s">
        <v>3</v>
      </c>
      <c r="DG327" t="s">
        <v>3</v>
      </c>
      <c r="DH327" t="s">
        <v>3</v>
      </c>
      <c r="DI327" t="s">
        <v>3</v>
      </c>
      <c r="DJ327" t="s">
        <v>3</v>
      </c>
      <c r="DK327" t="s">
        <v>3</v>
      </c>
      <c r="DL327" t="s">
        <v>3</v>
      </c>
      <c r="DM327" t="s">
        <v>3</v>
      </c>
      <c r="DN327">
        <v>187</v>
      </c>
      <c r="DO327">
        <v>101</v>
      </c>
      <c r="DP327">
        <v>1</v>
      </c>
      <c r="DQ327">
        <v>1</v>
      </c>
      <c r="DU327">
        <v>1007</v>
      </c>
      <c r="DV327" t="s">
        <v>85</v>
      </c>
      <c r="DW327" t="s">
        <v>85</v>
      </c>
      <c r="DX327">
        <v>1</v>
      </c>
      <c r="DZ327" t="s">
        <v>3</v>
      </c>
      <c r="EA327" t="s">
        <v>3</v>
      </c>
      <c r="EB327" t="s">
        <v>3</v>
      </c>
      <c r="EC327" t="s">
        <v>3</v>
      </c>
      <c r="EE327">
        <v>51696334</v>
      </c>
      <c r="EF327">
        <v>30</v>
      </c>
      <c r="EG327" t="s">
        <v>23</v>
      </c>
      <c r="EH327">
        <v>0</v>
      </c>
      <c r="EI327" t="s">
        <v>3</v>
      </c>
      <c r="EJ327">
        <v>1</v>
      </c>
      <c r="EK327">
        <v>295</v>
      </c>
      <c r="EL327" t="s">
        <v>388</v>
      </c>
      <c r="EM327" t="s">
        <v>389</v>
      </c>
      <c r="EO327" t="s">
        <v>3</v>
      </c>
      <c r="EQ327">
        <v>0</v>
      </c>
      <c r="ER327">
        <v>146.84</v>
      </c>
      <c r="ES327">
        <v>146.84</v>
      </c>
      <c r="ET327">
        <v>0</v>
      </c>
      <c r="EU327">
        <v>0</v>
      </c>
      <c r="EV327">
        <v>0</v>
      </c>
      <c r="EW327">
        <v>0</v>
      </c>
      <c r="EX327">
        <v>0</v>
      </c>
      <c r="FQ327">
        <v>0</v>
      </c>
      <c r="FR327">
        <v>0</v>
      </c>
      <c r="FS327">
        <v>0</v>
      </c>
      <c r="FX327">
        <v>187</v>
      </c>
      <c r="FY327">
        <v>101</v>
      </c>
      <c r="GA327" t="s">
        <v>3</v>
      </c>
      <c r="GD327">
        <v>0</v>
      </c>
      <c r="GF327">
        <v>-1933062003</v>
      </c>
      <c r="GG327">
        <v>2</v>
      </c>
      <c r="GH327">
        <v>1</v>
      </c>
      <c r="GI327">
        <v>2</v>
      </c>
      <c r="GJ327">
        <v>0</v>
      </c>
      <c r="GK327">
        <f>ROUND(R327*(S12)/100,2)</f>
        <v>0</v>
      </c>
      <c r="GL327">
        <f t="shared" si="284"/>
        <v>0</v>
      </c>
      <c r="GM327">
        <f t="shared" si="285"/>
        <v>-2902.3</v>
      </c>
      <c r="GN327">
        <f t="shared" si="286"/>
        <v>-2902.3</v>
      </c>
      <c r="GO327">
        <f t="shared" si="287"/>
        <v>0</v>
      </c>
      <c r="GP327">
        <f t="shared" si="288"/>
        <v>0</v>
      </c>
      <c r="GR327">
        <v>0</v>
      </c>
      <c r="GS327">
        <v>3</v>
      </c>
      <c r="GT327">
        <v>0</v>
      </c>
      <c r="GU327" t="s">
        <v>3</v>
      </c>
      <c r="GV327">
        <f t="shared" si="289"/>
        <v>0</v>
      </c>
      <c r="GW327">
        <v>1</v>
      </c>
      <c r="GX327">
        <f t="shared" si="290"/>
        <v>0</v>
      </c>
      <c r="HA327">
        <v>0</v>
      </c>
      <c r="HB327">
        <v>0</v>
      </c>
      <c r="HC327">
        <f t="shared" si="291"/>
        <v>0</v>
      </c>
      <c r="HE327" t="s">
        <v>3</v>
      </c>
      <c r="HF327" t="s">
        <v>3</v>
      </c>
      <c r="HM327" t="s">
        <v>3</v>
      </c>
      <c r="HN327" t="s">
        <v>3</v>
      </c>
      <c r="HO327" t="s">
        <v>3</v>
      </c>
      <c r="HP327" t="s">
        <v>3</v>
      </c>
      <c r="HQ327" t="s">
        <v>3</v>
      </c>
      <c r="HS327">
        <v>0</v>
      </c>
      <c r="IK327">
        <v>0</v>
      </c>
    </row>
    <row r="328" spans="1:255" x14ac:dyDescent="0.2">
      <c r="A328" s="2">
        <v>17</v>
      </c>
      <c r="B328" s="2">
        <v>1</v>
      </c>
      <c r="C328" s="2">
        <f>ROW(SmtRes!A61)</f>
        <v>61</v>
      </c>
      <c r="D328" s="2">
        <f>ROW(EtalonRes!A567)</f>
        <v>567</v>
      </c>
      <c r="E328" s="2" t="s">
        <v>404</v>
      </c>
      <c r="F328" s="2" t="s">
        <v>405</v>
      </c>
      <c r="G328" s="2" t="s">
        <v>406</v>
      </c>
      <c r="H328" s="2" t="s">
        <v>386</v>
      </c>
      <c r="I328" s="2">
        <f>ROUND(54.6/100,9)</f>
        <v>0.54600000000000004</v>
      </c>
      <c r="J328" s="2">
        <v>0</v>
      </c>
      <c r="K328" s="2">
        <f>ROUND(54.6/100,9)</f>
        <v>0.54600000000000004</v>
      </c>
      <c r="L328" s="2"/>
      <c r="M328" s="2"/>
      <c r="N328" s="2"/>
      <c r="O328" s="2">
        <f t="shared" si="262"/>
        <v>72.25</v>
      </c>
      <c r="P328" s="2">
        <f t="shared" si="263"/>
        <v>38.6</v>
      </c>
      <c r="Q328" s="2">
        <f>(ROUND((ROUND((((ET328*1.05))*AV328*I328),2)*BB328),2)+ROUND((ROUND(((AE328-((EU328*1.05)))*AV328*I328),2)*BS328),2))</f>
        <v>0</v>
      </c>
      <c r="R328" s="2">
        <f t="shared" si="264"/>
        <v>0</v>
      </c>
      <c r="S328" s="2">
        <f t="shared" si="265"/>
        <v>33.65</v>
      </c>
      <c r="T328" s="2">
        <f t="shared" si="266"/>
        <v>0</v>
      </c>
      <c r="U328" s="2">
        <f t="shared" si="267"/>
        <v>3.0098250000000002</v>
      </c>
      <c r="V328" s="2">
        <f t="shared" si="268"/>
        <v>0</v>
      </c>
      <c r="W328" s="2">
        <f t="shared" si="269"/>
        <v>0</v>
      </c>
      <c r="X328" s="2">
        <f t="shared" si="270"/>
        <v>62.93</v>
      </c>
      <c r="Y328" s="2">
        <f t="shared" si="271"/>
        <v>33.99</v>
      </c>
      <c r="Z328" s="2"/>
      <c r="AA328" s="2">
        <v>56622490</v>
      </c>
      <c r="AB328" s="2">
        <f t="shared" si="272"/>
        <v>132.33500000000001</v>
      </c>
      <c r="AC328" s="2">
        <f t="shared" si="273"/>
        <v>70.7</v>
      </c>
      <c r="AD328" s="2">
        <f>ROUND(((((ET328*1.05))-((EU328*1.05)))+AE328),6)</f>
        <v>0</v>
      </c>
      <c r="AE328" s="2">
        <f>ROUND(((EU328*1.05)),6)</f>
        <v>0</v>
      </c>
      <c r="AF328" s="2">
        <f>ROUND(((EV328*1.05)),6)</f>
        <v>61.634999999999998</v>
      </c>
      <c r="AG328" s="2">
        <f t="shared" si="274"/>
        <v>0</v>
      </c>
      <c r="AH328" s="2">
        <f>((EW328*1.05))</f>
        <v>5.5125000000000002</v>
      </c>
      <c r="AI328" s="2">
        <f>((EX328*1.05))</f>
        <v>0</v>
      </c>
      <c r="AJ328" s="2">
        <f t="shared" si="275"/>
        <v>0</v>
      </c>
      <c r="AK328" s="2">
        <v>129.4</v>
      </c>
      <c r="AL328" s="2">
        <v>70.7</v>
      </c>
      <c r="AM328" s="2">
        <v>0</v>
      </c>
      <c r="AN328" s="2">
        <v>0</v>
      </c>
      <c r="AO328" s="2">
        <v>58.7</v>
      </c>
      <c r="AP328" s="2">
        <v>0</v>
      </c>
      <c r="AQ328" s="2">
        <v>5.25</v>
      </c>
      <c r="AR328" s="2">
        <v>0</v>
      </c>
      <c r="AS328" s="2">
        <v>0</v>
      </c>
      <c r="AT328" s="2">
        <v>187</v>
      </c>
      <c r="AU328" s="2">
        <v>101</v>
      </c>
      <c r="AV328" s="2">
        <v>1</v>
      </c>
      <c r="AW328" s="2">
        <v>1</v>
      </c>
      <c r="AX328" s="2"/>
      <c r="AY328" s="2"/>
      <c r="AZ328" s="2">
        <v>1</v>
      </c>
      <c r="BA328" s="2">
        <v>1</v>
      </c>
      <c r="BB328" s="2">
        <v>1</v>
      </c>
      <c r="BC328" s="2">
        <v>1</v>
      </c>
      <c r="BD328" s="2" t="s">
        <v>3</v>
      </c>
      <c r="BE328" s="2" t="s">
        <v>3</v>
      </c>
      <c r="BF328" s="2" t="s">
        <v>3</v>
      </c>
      <c r="BG328" s="2" t="s">
        <v>3</v>
      </c>
      <c r="BH328" s="2">
        <v>0</v>
      </c>
      <c r="BI328" s="2">
        <v>1</v>
      </c>
      <c r="BJ328" s="2" t="s">
        <v>407</v>
      </c>
      <c r="BK328" s="2"/>
      <c r="BL328" s="2"/>
      <c r="BM328" s="2">
        <v>295</v>
      </c>
      <c r="BN328" s="2">
        <v>0</v>
      </c>
      <c r="BO328" s="2" t="s">
        <v>3</v>
      </c>
      <c r="BP328" s="2">
        <v>0</v>
      </c>
      <c r="BQ328" s="2">
        <v>30</v>
      </c>
      <c r="BR328" s="2">
        <v>0</v>
      </c>
      <c r="BS328" s="2">
        <v>1</v>
      </c>
      <c r="BT328" s="2">
        <v>1</v>
      </c>
      <c r="BU328" s="2">
        <v>1</v>
      </c>
      <c r="BV328" s="2">
        <v>1</v>
      </c>
      <c r="BW328" s="2">
        <v>1</v>
      </c>
      <c r="BX328" s="2">
        <v>1</v>
      </c>
      <c r="BY328" s="2" t="s">
        <v>3</v>
      </c>
      <c r="BZ328" s="2">
        <v>187</v>
      </c>
      <c r="CA328" s="2">
        <v>101</v>
      </c>
      <c r="CB328" s="2" t="s">
        <v>3</v>
      </c>
      <c r="CC328" s="2"/>
      <c r="CD328" s="2"/>
      <c r="CE328" s="2">
        <v>30</v>
      </c>
      <c r="CF328" s="2">
        <v>0</v>
      </c>
      <c r="CG328" s="2">
        <v>0</v>
      </c>
      <c r="CH328" s="2"/>
      <c r="CI328" s="2"/>
      <c r="CJ328" s="2"/>
      <c r="CK328" s="2"/>
      <c r="CL328" s="2"/>
      <c r="CM328" s="2">
        <v>0</v>
      </c>
      <c r="CN328" s="2" t="s">
        <v>708</v>
      </c>
      <c r="CO328" s="2">
        <v>0</v>
      </c>
      <c r="CP328" s="2">
        <f t="shared" si="276"/>
        <v>72.25</v>
      </c>
      <c r="CQ328" s="2">
        <f t="shared" si="277"/>
        <v>70.7</v>
      </c>
      <c r="CR328" s="2">
        <f>(ROUND((ROUND((((ET328*1.05))*AV328*1),2)*BB328),2)+ROUND((ROUND(((AE328-((EU328*1.05)))*AV328*1),2)*BS328),2))</f>
        <v>0</v>
      </c>
      <c r="CS328" s="2">
        <f t="shared" si="278"/>
        <v>0</v>
      </c>
      <c r="CT328" s="2">
        <f t="shared" si="279"/>
        <v>61.64</v>
      </c>
      <c r="CU328" s="2">
        <f t="shared" si="280"/>
        <v>0</v>
      </c>
      <c r="CV328" s="2">
        <f t="shared" si="281"/>
        <v>5.5125000000000002</v>
      </c>
      <c r="CW328" s="2">
        <f t="shared" si="282"/>
        <v>0</v>
      </c>
      <c r="CX328" s="2">
        <f t="shared" si="283"/>
        <v>0</v>
      </c>
      <c r="CY328" s="2">
        <f>((S328*BZ328)/100)</f>
        <v>62.9255</v>
      </c>
      <c r="CZ328" s="2">
        <f>((S328*CA328)/100)</f>
        <v>33.986499999999999</v>
      </c>
      <c r="DA328" s="2"/>
      <c r="DB328" s="2">
        <v>125</v>
      </c>
      <c r="DC328" s="2" t="s">
        <v>3</v>
      </c>
      <c r="DD328" s="2" t="s">
        <v>3</v>
      </c>
      <c r="DE328" s="2" t="s">
        <v>22</v>
      </c>
      <c r="DF328" s="2" t="s">
        <v>22</v>
      </c>
      <c r="DG328" s="2" t="s">
        <v>22</v>
      </c>
      <c r="DH328" s="2" t="s">
        <v>3</v>
      </c>
      <c r="DI328" s="2" t="s">
        <v>22</v>
      </c>
      <c r="DJ328" s="2" t="s">
        <v>22</v>
      </c>
      <c r="DK328" s="2" t="s">
        <v>3</v>
      </c>
      <c r="DL328" s="2" t="s">
        <v>3</v>
      </c>
      <c r="DM328" s="2" t="s">
        <v>3</v>
      </c>
      <c r="DN328" s="2">
        <v>0</v>
      </c>
      <c r="DO328" s="2">
        <v>0</v>
      </c>
      <c r="DP328" s="2">
        <v>1</v>
      </c>
      <c r="DQ328" s="2">
        <v>1</v>
      </c>
      <c r="DR328" s="2"/>
      <c r="DS328" s="2"/>
      <c r="DT328" s="2"/>
      <c r="DU328" s="2">
        <v>1005</v>
      </c>
      <c r="DV328" s="2" t="s">
        <v>386</v>
      </c>
      <c r="DW328" s="2" t="s">
        <v>386</v>
      </c>
      <c r="DX328" s="2">
        <v>100</v>
      </c>
      <c r="DY328" s="2"/>
      <c r="DZ328" s="2" t="s">
        <v>3</v>
      </c>
      <c r="EA328" s="2" t="s">
        <v>3</v>
      </c>
      <c r="EB328" s="2" t="s">
        <v>3</v>
      </c>
      <c r="EC328" s="2" t="s">
        <v>3</v>
      </c>
      <c r="ED328" s="2"/>
      <c r="EE328" s="2">
        <v>51696334</v>
      </c>
      <c r="EF328" s="2">
        <v>30</v>
      </c>
      <c r="EG328" s="2" t="s">
        <v>23</v>
      </c>
      <c r="EH328" s="2">
        <v>0</v>
      </c>
      <c r="EI328" s="2" t="s">
        <v>3</v>
      </c>
      <c r="EJ328" s="2">
        <v>1</v>
      </c>
      <c r="EK328" s="2">
        <v>295</v>
      </c>
      <c r="EL328" s="2" t="s">
        <v>388</v>
      </c>
      <c r="EM328" s="2" t="s">
        <v>389</v>
      </c>
      <c r="EN328" s="2"/>
      <c r="EO328" s="2" t="s">
        <v>26</v>
      </c>
      <c r="EP328" s="2"/>
      <c r="EQ328" s="2">
        <v>131072</v>
      </c>
      <c r="ER328" s="2">
        <v>129.4</v>
      </c>
      <c r="ES328" s="2">
        <v>70.7</v>
      </c>
      <c r="ET328" s="2">
        <v>0</v>
      </c>
      <c r="EU328" s="2">
        <v>0</v>
      </c>
      <c r="EV328" s="2">
        <v>58.7</v>
      </c>
      <c r="EW328" s="2">
        <v>5.25</v>
      </c>
      <c r="EX328" s="2">
        <v>0</v>
      </c>
      <c r="EY328" s="2">
        <v>0</v>
      </c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>
        <v>0</v>
      </c>
      <c r="FR328" s="2">
        <v>0</v>
      </c>
      <c r="FS328" s="2">
        <v>0</v>
      </c>
      <c r="FT328" s="2"/>
      <c r="FU328" s="2"/>
      <c r="FV328" s="2"/>
      <c r="FW328" s="2"/>
      <c r="FX328" s="2">
        <v>187</v>
      </c>
      <c r="FY328" s="2">
        <v>101</v>
      </c>
      <c r="FZ328" s="2"/>
      <c r="GA328" s="2" t="s">
        <v>3</v>
      </c>
      <c r="GB328" s="2"/>
      <c r="GC328" s="2"/>
      <c r="GD328" s="2">
        <v>0</v>
      </c>
      <c r="GE328" s="2"/>
      <c r="GF328" s="2">
        <v>92434860</v>
      </c>
      <c r="GG328" s="2">
        <v>2</v>
      </c>
      <c r="GH328" s="2">
        <v>1</v>
      </c>
      <c r="GI328" s="2">
        <v>-2</v>
      </c>
      <c r="GJ328" s="2">
        <v>0</v>
      </c>
      <c r="GK328" s="2">
        <f>ROUND(R328*(R12)/100,2)</f>
        <v>0</v>
      </c>
      <c r="GL328" s="2">
        <f t="shared" si="284"/>
        <v>0</v>
      </c>
      <c r="GM328" s="2">
        <f t="shared" si="285"/>
        <v>169.17</v>
      </c>
      <c r="GN328" s="2">
        <f t="shared" si="286"/>
        <v>169.17</v>
      </c>
      <c r="GO328" s="2">
        <f t="shared" si="287"/>
        <v>0</v>
      </c>
      <c r="GP328" s="2">
        <f t="shared" si="288"/>
        <v>0</v>
      </c>
      <c r="GQ328" s="2"/>
      <c r="GR328" s="2">
        <v>0</v>
      </c>
      <c r="GS328" s="2">
        <v>0</v>
      </c>
      <c r="GT328" s="2">
        <v>0</v>
      </c>
      <c r="GU328" s="2" t="s">
        <v>3</v>
      </c>
      <c r="GV328" s="2">
        <f t="shared" si="289"/>
        <v>0</v>
      </c>
      <c r="GW328" s="2">
        <v>1</v>
      </c>
      <c r="GX328" s="2">
        <f t="shared" si="290"/>
        <v>0</v>
      </c>
      <c r="GY328" s="2"/>
      <c r="GZ328" s="2"/>
      <c r="HA328" s="2">
        <v>0</v>
      </c>
      <c r="HB328" s="2">
        <v>0</v>
      </c>
      <c r="HC328" s="2">
        <f t="shared" si="291"/>
        <v>0</v>
      </c>
      <c r="HD328" s="2"/>
      <c r="HE328" s="2" t="s">
        <v>3</v>
      </c>
      <c r="HF328" s="2" t="s">
        <v>3</v>
      </c>
      <c r="HG328" s="2"/>
      <c r="HH328" s="2"/>
      <c r="HI328" s="2"/>
      <c r="HJ328" s="2"/>
      <c r="HK328" s="2"/>
      <c r="HL328" s="2"/>
      <c r="HM328" s="2" t="s">
        <v>3</v>
      </c>
      <c r="HN328" s="2" t="s">
        <v>3</v>
      </c>
      <c r="HO328" s="2" t="s">
        <v>3</v>
      </c>
      <c r="HP328" s="2" t="s">
        <v>3</v>
      </c>
      <c r="HQ328" s="2" t="s">
        <v>3</v>
      </c>
      <c r="HR328" s="2"/>
      <c r="HS328" s="2">
        <v>0</v>
      </c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>
        <v>0</v>
      </c>
      <c r="IL328" s="2"/>
      <c r="IM328" s="2"/>
      <c r="IN328" s="2"/>
      <c r="IO328" s="2"/>
      <c r="IP328" s="2"/>
      <c r="IQ328" s="2"/>
      <c r="IR328" s="2"/>
      <c r="IS328" s="2"/>
      <c r="IT328" s="2"/>
      <c r="IU328" s="2"/>
    </row>
    <row r="329" spans="1:255" x14ac:dyDescent="0.2">
      <c r="A329">
        <v>17</v>
      </c>
      <c r="B329">
        <v>1</v>
      </c>
      <c r="C329">
        <f>ROW(SmtRes!A62)</f>
        <v>62</v>
      </c>
      <c r="D329">
        <f>ROW(EtalonRes!A570)</f>
        <v>570</v>
      </c>
      <c r="E329" t="s">
        <v>404</v>
      </c>
      <c r="F329" t="s">
        <v>405</v>
      </c>
      <c r="G329" t="s">
        <v>406</v>
      </c>
      <c r="H329" t="s">
        <v>386</v>
      </c>
      <c r="I329">
        <f>ROUND(54.6/100,9)</f>
        <v>0.54600000000000004</v>
      </c>
      <c r="J329">
        <v>0</v>
      </c>
      <c r="K329">
        <f>ROUND(54.6/100,9)</f>
        <v>0.54600000000000004</v>
      </c>
      <c r="O329">
        <f t="shared" si="262"/>
        <v>1433.39</v>
      </c>
      <c r="P329">
        <f t="shared" si="263"/>
        <v>272.13</v>
      </c>
      <c r="Q329">
        <f>(ROUND((ROUND((((ET329*1.05))*AV329*I329),2)*BB329),2)+ROUND((ROUND(((AE329-((EU329*1.05)))*AV329*I329),2)*BS329),2))</f>
        <v>0</v>
      </c>
      <c r="R329">
        <f t="shared" si="264"/>
        <v>0</v>
      </c>
      <c r="S329">
        <f t="shared" si="265"/>
        <v>1161.26</v>
      </c>
      <c r="T329">
        <f t="shared" si="266"/>
        <v>0</v>
      </c>
      <c r="U329">
        <f t="shared" si="267"/>
        <v>3.0098250000000002</v>
      </c>
      <c r="V329">
        <f t="shared" si="268"/>
        <v>0</v>
      </c>
      <c r="W329">
        <f t="shared" si="269"/>
        <v>0</v>
      </c>
      <c r="X329">
        <f t="shared" si="270"/>
        <v>1219.32</v>
      </c>
      <c r="Y329">
        <f t="shared" si="271"/>
        <v>557.4</v>
      </c>
      <c r="AA329">
        <v>56610029</v>
      </c>
      <c r="AB329">
        <f t="shared" si="272"/>
        <v>132.33500000000001</v>
      </c>
      <c r="AC329">
        <f t="shared" si="273"/>
        <v>70.7</v>
      </c>
      <c r="AD329">
        <f>ROUND(((((ET329*1.05))-((EU329*1.05)))+AE329),6)</f>
        <v>0</v>
      </c>
      <c r="AE329">
        <f>ROUND(((EU329*1.05)),6)</f>
        <v>0</v>
      </c>
      <c r="AF329">
        <f>ROUND(((EV329*1.05)),6)</f>
        <v>61.634999999999998</v>
      </c>
      <c r="AG329">
        <f t="shared" si="274"/>
        <v>0</v>
      </c>
      <c r="AH329">
        <f>((EW329*1.05))</f>
        <v>5.5125000000000002</v>
      </c>
      <c r="AI329">
        <f>((EX329*1.05))</f>
        <v>0</v>
      </c>
      <c r="AJ329">
        <f t="shared" si="275"/>
        <v>0</v>
      </c>
      <c r="AK329">
        <v>129.4</v>
      </c>
      <c r="AL329">
        <v>70.7</v>
      </c>
      <c r="AM329">
        <v>0</v>
      </c>
      <c r="AN329">
        <v>0</v>
      </c>
      <c r="AO329">
        <v>58.7</v>
      </c>
      <c r="AP329">
        <v>0</v>
      </c>
      <c r="AQ329">
        <v>5.25</v>
      </c>
      <c r="AR329">
        <v>0</v>
      </c>
      <c r="AS329">
        <v>0</v>
      </c>
      <c r="AT329">
        <v>105</v>
      </c>
      <c r="AU329">
        <v>48</v>
      </c>
      <c r="AV329">
        <v>1</v>
      </c>
      <c r="AW329">
        <v>1</v>
      </c>
      <c r="AZ329">
        <v>1</v>
      </c>
      <c r="BA329">
        <v>34.51</v>
      </c>
      <c r="BB329">
        <v>1</v>
      </c>
      <c r="BC329">
        <v>7.05</v>
      </c>
      <c r="BD329" t="s">
        <v>3</v>
      </c>
      <c r="BE329" t="s">
        <v>3</v>
      </c>
      <c r="BF329" t="s">
        <v>3</v>
      </c>
      <c r="BG329" t="s">
        <v>3</v>
      </c>
      <c r="BH329">
        <v>0</v>
      </c>
      <c r="BI329">
        <v>1</v>
      </c>
      <c r="BJ329" t="s">
        <v>407</v>
      </c>
      <c r="BM329">
        <v>295</v>
      </c>
      <c r="BN329">
        <v>0</v>
      </c>
      <c r="BO329" t="s">
        <v>405</v>
      </c>
      <c r="BP329">
        <v>1</v>
      </c>
      <c r="BQ329">
        <v>30</v>
      </c>
      <c r="BR329">
        <v>0</v>
      </c>
      <c r="BS329">
        <v>34.51</v>
      </c>
      <c r="BT329">
        <v>1</v>
      </c>
      <c r="BU329">
        <v>1</v>
      </c>
      <c r="BV329">
        <v>1</v>
      </c>
      <c r="BW329">
        <v>1</v>
      </c>
      <c r="BX329">
        <v>1</v>
      </c>
      <c r="BY329" t="s">
        <v>3</v>
      </c>
      <c r="BZ329">
        <v>105</v>
      </c>
      <c r="CA329">
        <v>48</v>
      </c>
      <c r="CB329" t="s">
        <v>3</v>
      </c>
      <c r="CE329">
        <v>30</v>
      </c>
      <c r="CF329">
        <v>0</v>
      </c>
      <c r="CG329">
        <v>0</v>
      </c>
      <c r="CM329">
        <v>0</v>
      </c>
      <c r="CN329" t="s">
        <v>708</v>
      </c>
      <c r="CO329">
        <v>0</v>
      </c>
      <c r="CP329">
        <f t="shared" si="276"/>
        <v>1433.3899999999999</v>
      </c>
      <c r="CQ329">
        <f t="shared" si="277"/>
        <v>498.44</v>
      </c>
      <c r="CR329">
        <f>(ROUND((ROUND((((ET329*1.05))*AV329*1),2)*BB329),2)+ROUND((ROUND(((AE329-((EU329*1.05)))*AV329*1),2)*BS329),2))</f>
        <v>0</v>
      </c>
      <c r="CS329">
        <f t="shared" si="278"/>
        <v>0</v>
      </c>
      <c r="CT329">
        <f t="shared" si="279"/>
        <v>2127.1999999999998</v>
      </c>
      <c r="CU329">
        <f t="shared" si="280"/>
        <v>0</v>
      </c>
      <c r="CV329">
        <f t="shared" si="281"/>
        <v>5.5125000000000002</v>
      </c>
      <c r="CW329">
        <f t="shared" si="282"/>
        <v>0</v>
      </c>
      <c r="CX329">
        <f t="shared" si="283"/>
        <v>0</v>
      </c>
      <c r="CY329">
        <f>S329*(BZ329/100)</f>
        <v>1219.3230000000001</v>
      </c>
      <c r="CZ329">
        <f>S329*(CA329/100)</f>
        <v>557.40480000000002</v>
      </c>
      <c r="DB329">
        <v>126</v>
      </c>
      <c r="DC329" t="s">
        <v>3</v>
      </c>
      <c r="DD329" t="s">
        <v>3</v>
      </c>
      <c r="DE329" t="s">
        <v>22</v>
      </c>
      <c r="DF329" t="s">
        <v>22</v>
      </c>
      <c r="DG329" t="s">
        <v>22</v>
      </c>
      <c r="DH329" t="s">
        <v>3</v>
      </c>
      <c r="DI329" t="s">
        <v>22</v>
      </c>
      <c r="DJ329" t="s">
        <v>22</v>
      </c>
      <c r="DK329" t="s">
        <v>3</v>
      </c>
      <c r="DL329" t="s">
        <v>3</v>
      </c>
      <c r="DM329" t="s">
        <v>3</v>
      </c>
      <c r="DN329">
        <v>187</v>
      </c>
      <c r="DO329">
        <v>101</v>
      </c>
      <c r="DP329">
        <v>1</v>
      </c>
      <c r="DQ329">
        <v>1</v>
      </c>
      <c r="DU329">
        <v>1005</v>
      </c>
      <c r="DV329" t="s">
        <v>386</v>
      </c>
      <c r="DW329" t="s">
        <v>386</v>
      </c>
      <c r="DX329">
        <v>100</v>
      </c>
      <c r="DZ329" t="s">
        <v>3</v>
      </c>
      <c r="EA329" t="s">
        <v>3</v>
      </c>
      <c r="EB329" t="s">
        <v>3</v>
      </c>
      <c r="EC329" t="s">
        <v>3</v>
      </c>
      <c r="EE329">
        <v>51696334</v>
      </c>
      <c r="EF329">
        <v>30</v>
      </c>
      <c r="EG329" t="s">
        <v>23</v>
      </c>
      <c r="EH329">
        <v>0</v>
      </c>
      <c r="EI329" t="s">
        <v>3</v>
      </c>
      <c r="EJ329">
        <v>1</v>
      </c>
      <c r="EK329">
        <v>295</v>
      </c>
      <c r="EL329" t="s">
        <v>388</v>
      </c>
      <c r="EM329" t="s">
        <v>389</v>
      </c>
      <c r="EO329" t="s">
        <v>26</v>
      </c>
      <c r="EQ329">
        <v>131072</v>
      </c>
      <c r="ER329">
        <v>129.4</v>
      </c>
      <c r="ES329">
        <v>70.7</v>
      </c>
      <c r="ET329">
        <v>0</v>
      </c>
      <c r="EU329">
        <v>0</v>
      </c>
      <c r="EV329">
        <v>58.7</v>
      </c>
      <c r="EW329">
        <v>5.25</v>
      </c>
      <c r="EX329">
        <v>0</v>
      </c>
      <c r="EY329">
        <v>0</v>
      </c>
      <c r="FQ329">
        <v>0</v>
      </c>
      <c r="FR329">
        <v>0</v>
      </c>
      <c r="FS329">
        <v>0</v>
      </c>
      <c r="FX329">
        <v>187</v>
      </c>
      <c r="FY329">
        <v>101</v>
      </c>
      <c r="GA329" t="s">
        <v>3</v>
      </c>
      <c r="GD329">
        <v>0</v>
      </c>
      <c r="GF329">
        <v>92434860</v>
      </c>
      <c r="GG329">
        <v>2</v>
      </c>
      <c r="GH329">
        <v>1</v>
      </c>
      <c r="GI329">
        <v>2</v>
      </c>
      <c r="GJ329">
        <v>0</v>
      </c>
      <c r="GK329">
        <f>ROUND(R329*(S12)/100,2)</f>
        <v>0</v>
      </c>
      <c r="GL329">
        <f t="shared" si="284"/>
        <v>0</v>
      </c>
      <c r="GM329">
        <f t="shared" si="285"/>
        <v>3210.11</v>
      </c>
      <c r="GN329">
        <f t="shared" si="286"/>
        <v>3210.11</v>
      </c>
      <c r="GO329">
        <f t="shared" si="287"/>
        <v>0</v>
      </c>
      <c r="GP329">
        <f t="shared" si="288"/>
        <v>0</v>
      </c>
      <c r="GR329">
        <v>0</v>
      </c>
      <c r="GS329">
        <v>3</v>
      </c>
      <c r="GT329">
        <v>0</v>
      </c>
      <c r="GU329" t="s">
        <v>3</v>
      </c>
      <c r="GV329">
        <f t="shared" si="289"/>
        <v>0</v>
      </c>
      <c r="GW329">
        <v>1</v>
      </c>
      <c r="GX329">
        <f t="shared" si="290"/>
        <v>0</v>
      </c>
      <c r="HA329">
        <v>0</v>
      </c>
      <c r="HB329">
        <v>0</v>
      </c>
      <c r="HC329">
        <f t="shared" si="291"/>
        <v>0</v>
      </c>
      <c r="HE329" t="s">
        <v>3</v>
      </c>
      <c r="HF329" t="s">
        <v>3</v>
      </c>
      <c r="HM329" t="s">
        <v>3</v>
      </c>
      <c r="HN329" t="s">
        <v>3</v>
      </c>
      <c r="HO329" t="s">
        <v>3</v>
      </c>
      <c r="HP329" t="s">
        <v>3</v>
      </c>
      <c r="HQ329" t="s">
        <v>3</v>
      </c>
      <c r="HS329">
        <v>0</v>
      </c>
      <c r="IK329">
        <v>0</v>
      </c>
    </row>
    <row r="330" spans="1:255" x14ac:dyDescent="0.2">
      <c r="A330" s="2">
        <v>18</v>
      </c>
      <c r="B330" s="2">
        <v>1</v>
      </c>
      <c r="C330" s="2">
        <v>61</v>
      </c>
      <c r="D330" s="2"/>
      <c r="E330" s="2" t="s">
        <v>408</v>
      </c>
      <c r="F330" s="2" t="s">
        <v>409</v>
      </c>
      <c r="G330" s="2" t="s">
        <v>410</v>
      </c>
      <c r="H330" s="2" t="s">
        <v>101</v>
      </c>
      <c r="I330" s="2">
        <f>I328*J330</f>
        <v>2.1840000000000002</v>
      </c>
      <c r="J330" s="2">
        <v>4</v>
      </c>
      <c r="K330" s="2">
        <v>4</v>
      </c>
      <c r="L330" s="2"/>
      <c r="M330" s="2"/>
      <c r="N330" s="2"/>
      <c r="O330" s="2">
        <f t="shared" si="262"/>
        <v>126.52</v>
      </c>
      <c r="P330" s="2">
        <f t="shared" si="263"/>
        <v>126.52</v>
      </c>
      <c r="Q330" s="2">
        <f>(ROUND((ROUND(((ET330)*AV330*I330),2)*BB330),2)+ROUND((ROUND(((AE330-(EU330))*AV330*I330),2)*BS330),2))</f>
        <v>0</v>
      </c>
      <c r="R330" s="2">
        <f t="shared" si="264"/>
        <v>0</v>
      </c>
      <c r="S330" s="2">
        <f t="shared" si="265"/>
        <v>0</v>
      </c>
      <c r="T330" s="2">
        <f t="shared" si="266"/>
        <v>0</v>
      </c>
      <c r="U330" s="2">
        <f t="shared" si="267"/>
        <v>0</v>
      </c>
      <c r="V330" s="2">
        <f t="shared" si="268"/>
        <v>0</v>
      </c>
      <c r="W330" s="2">
        <f t="shared" si="269"/>
        <v>0</v>
      </c>
      <c r="X330" s="2">
        <f t="shared" si="270"/>
        <v>0</v>
      </c>
      <c r="Y330" s="2">
        <f t="shared" si="271"/>
        <v>0</v>
      </c>
      <c r="Z330" s="2"/>
      <c r="AA330" s="2">
        <v>56622490</v>
      </c>
      <c r="AB330" s="2">
        <f t="shared" si="272"/>
        <v>57.93</v>
      </c>
      <c r="AC330" s="2">
        <f t="shared" si="273"/>
        <v>57.93</v>
      </c>
      <c r="AD330" s="2">
        <f>ROUND((((ET330)-(EU330))+AE330),6)</f>
        <v>0</v>
      </c>
      <c r="AE330" s="2">
        <f>ROUND((EU330),6)</f>
        <v>0</v>
      </c>
      <c r="AF330" s="2">
        <f>ROUND((EV330),6)</f>
        <v>0</v>
      </c>
      <c r="AG330" s="2">
        <f t="shared" si="274"/>
        <v>0</v>
      </c>
      <c r="AH330" s="2">
        <f>(EW330)</f>
        <v>0</v>
      </c>
      <c r="AI330" s="2">
        <f>(EX330)</f>
        <v>0</v>
      </c>
      <c r="AJ330" s="2">
        <f t="shared" si="275"/>
        <v>0</v>
      </c>
      <c r="AK330" s="2">
        <v>57.93</v>
      </c>
      <c r="AL330" s="2">
        <v>57.93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187</v>
      </c>
      <c r="AU330" s="2">
        <v>101</v>
      </c>
      <c r="AV330" s="2">
        <v>1</v>
      </c>
      <c r="AW330" s="2">
        <v>1</v>
      </c>
      <c r="AX330" s="2"/>
      <c r="AY330" s="2"/>
      <c r="AZ330" s="2">
        <v>1</v>
      </c>
      <c r="BA330" s="2">
        <v>1</v>
      </c>
      <c r="BB330" s="2">
        <v>1</v>
      </c>
      <c r="BC330" s="2">
        <v>1</v>
      </c>
      <c r="BD330" s="2" t="s">
        <v>3</v>
      </c>
      <c r="BE330" s="2" t="s">
        <v>3</v>
      </c>
      <c r="BF330" s="2" t="s">
        <v>3</v>
      </c>
      <c r="BG330" s="2" t="s">
        <v>3</v>
      </c>
      <c r="BH330" s="2">
        <v>3</v>
      </c>
      <c r="BI330" s="2">
        <v>1</v>
      </c>
      <c r="BJ330" s="2" t="s">
        <v>411</v>
      </c>
      <c r="BK330" s="2"/>
      <c r="BL330" s="2"/>
      <c r="BM330" s="2">
        <v>295</v>
      </c>
      <c r="BN330" s="2">
        <v>0</v>
      </c>
      <c r="BO330" s="2" t="s">
        <v>3</v>
      </c>
      <c r="BP330" s="2">
        <v>0</v>
      </c>
      <c r="BQ330" s="2">
        <v>30</v>
      </c>
      <c r="BR330" s="2">
        <v>0</v>
      </c>
      <c r="BS330" s="2">
        <v>1</v>
      </c>
      <c r="BT330" s="2">
        <v>1</v>
      </c>
      <c r="BU330" s="2">
        <v>1</v>
      </c>
      <c r="BV330" s="2">
        <v>1</v>
      </c>
      <c r="BW330" s="2">
        <v>1</v>
      </c>
      <c r="BX330" s="2">
        <v>1</v>
      </c>
      <c r="BY330" s="2" t="s">
        <v>3</v>
      </c>
      <c r="BZ330" s="2">
        <v>187</v>
      </c>
      <c r="CA330" s="2">
        <v>101</v>
      </c>
      <c r="CB330" s="2" t="s">
        <v>3</v>
      </c>
      <c r="CC330" s="2"/>
      <c r="CD330" s="2"/>
      <c r="CE330" s="2">
        <v>30</v>
      </c>
      <c r="CF330" s="2">
        <v>0</v>
      </c>
      <c r="CG330" s="2">
        <v>0</v>
      </c>
      <c r="CH330" s="2"/>
      <c r="CI330" s="2"/>
      <c r="CJ330" s="2"/>
      <c r="CK330" s="2"/>
      <c r="CL330" s="2"/>
      <c r="CM330" s="2">
        <v>0</v>
      </c>
      <c r="CN330" s="2" t="s">
        <v>3</v>
      </c>
      <c r="CO330" s="2">
        <v>0</v>
      </c>
      <c r="CP330" s="2">
        <f t="shared" si="276"/>
        <v>126.52</v>
      </c>
      <c r="CQ330" s="2">
        <f t="shared" si="277"/>
        <v>57.93</v>
      </c>
      <c r="CR330" s="2">
        <f>(ROUND((ROUND(((ET330)*AV330*1),2)*BB330),2)+ROUND((ROUND(((AE330-(EU330))*AV330*1),2)*BS330),2))</f>
        <v>0</v>
      </c>
      <c r="CS330" s="2">
        <f t="shared" si="278"/>
        <v>0</v>
      </c>
      <c r="CT330" s="2">
        <f t="shared" si="279"/>
        <v>0</v>
      </c>
      <c r="CU330" s="2">
        <f t="shared" si="280"/>
        <v>0</v>
      </c>
      <c r="CV330" s="2">
        <f t="shared" si="281"/>
        <v>0</v>
      </c>
      <c r="CW330" s="2">
        <f t="shared" si="282"/>
        <v>0</v>
      </c>
      <c r="CX330" s="2">
        <f t="shared" si="283"/>
        <v>0</v>
      </c>
      <c r="CY330" s="2">
        <f>((S330*BZ330)/100)</f>
        <v>0</v>
      </c>
      <c r="CZ330" s="2">
        <f>((S330*CA330)/100)</f>
        <v>0</v>
      </c>
      <c r="DA330" s="2"/>
      <c r="DB330" s="2"/>
      <c r="DC330" s="2" t="s">
        <v>3</v>
      </c>
      <c r="DD330" s="2" t="s">
        <v>3</v>
      </c>
      <c r="DE330" s="2" t="s">
        <v>3</v>
      </c>
      <c r="DF330" s="2" t="s">
        <v>3</v>
      </c>
      <c r="DG330" s="2" t="s">
        <v>3</v>
      </c>
      <c r="DH330" s="2" t="s">
        <v>3</v>
      </c>
      <c r="DI330" s="2" t="s">
        <v>3</v>
      </c>
      <c r="DJ330" s="2" t="s">
        <v>3</v>
      </c>
      <c r="DK330" s="2" t="s">
        <v>3</v>
      </c>
      <c r="DL330" s="2" t="s">
        <v>3</v>
      </c>
      <c r="DM330" s="2" t="s">
        <v>3</v>
      </c>
      <c r="DN330" s="2">
        <v>0</v>
      </c>
      <c r="DO330" s="2">
        <v>0</v>
      </c>
      <c r="DP330" s="2">
        <v>1</v>
      </c>
      <c r="DQ330" s="2">
        <v>1</v>
      </c>
      <c r="DR330" s="2"/>
      <c r="DS330" s="2"/>
      <c r="DT330" s="2"/>
      <c r="DU330" s="2">
        <v>1009</v>
      </c>
      <c r="DV330" s="2" t="s">
        <v>101</v>
      </c>
      <c r="DW330" s="2" t="s">
        <v>101</v>
      </c>
      <c r="DX330" s="2">
        <v>1</v>
      </c>
      <c r="DY330" s="2"/>
      <c r="DZ330" s="2" t="s">
        <v>3</v>
      </c>
      <c r="EA330" s="2" t="s">
        <v>3</v>
      </c>
      <c r="EB330" s="2" t="s">
        <v>3</v>
      </c>
      <c r="EC330" s="2" t="s">
        <v>3</v>
      </c>
      <c r="ED330" s="2"/>
      <c r="EE330" s="2">
        <v>51696334</v>
      </c>
      <c r="EF330" s="2">
        <v>30</v>
      </c>
      <c r="EG330" s="2" t="s">
        <v>23</v>
      </c>
      <c r="EH330" s="2">
        <v>0</v>
      </c>
      <c r="EI330" s="2" t="s">
        <v>3</v>
      </c>
      <c r="EJ330" s="2">
        <v>1</v>
      </c>
      <c r="EK330" s="2">
        <v>295</v>
      </c>
      <c r="EL330" s="2" t="s">
        <v>388</v>
      </c>
      <c r="EM330" s="2" t="s">
        <v>389</v>
      </c>
      <c r="EN330" s="2"/>
      <c r="EO330" s="2" t="s">
        <v>3</v>
      </c>
      <c r="EP330" s="2"/>
      <c r="EQ330" s="2">
        <v>0</v>
      </c>
      <c r="ER330" s="2">
        <v>57.93</v>
      </c>
      <c r="ES330" s="2">
        <v>57.93</v>
      </c>
      <c r="ET330" s="2">
        <v>0</v>
      </c>
      <c r="EU330" s="2">
        <v>0</v>
      </c>
      <c r="EV330" s="2">
        <v>0</v>
      </c>
      <c r="EW330" s="2">
        <v>0</v>
      </c>
      <c r="EX330" s="2">
        <v>0</v>
      </c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>
        <v>0</v>
      </c>
      <c r="FR330" s="2">
        <v>0</v>
      </c>
      <c r="FS330" s="2">
        <v>0</v>
      </c>
      <c r="FT330" s="2"/>
      <c r="FU330" s="2"/>
      <c r="FV330" s="2"/>
      <c r="FW330" s="2"/>
      <c r="FX330" s="2">
        <v>187</v>
      </c>
      <c r="FY330" s="2">
        <v>101</v>
      </c>
      <c r="FZ330" s="2"/>
      <c r="GA330" s="2" t="s">
        <v>3</v>
      </c>
      <c r="GB330" s="2"/>
      <c r="GC330" s="2"/>
      <c r="GD330" s="2">
        <v>0</v>
      </c>
      <c r="GE330" s="2"/>
      <c r="GF330" s="2">
        <v>-1082088882</v>
      </c>
      <c r="GG330" s="2">
        <v>2</v>
      </c>
      <c r="GH330" s="2">
        <v>1</v>
      </c>
      <c r="GI330" s="2">
        <v>-2</v>
      </c>
      <c r="GJ330" s="2">
        <v>0</v>
      </c>
      <c r="GK330" s="2">
        <f>ROUND(R330*(R12)/100,2)</f>
        <v>0</v>
      </c>
      <c r="GL330" s="2">
        <f t="shared" si="284"/>
        <v>0</v>
      </c>
      <c r="GM330" s="2">
        <f t="shared" si="285"/>
        <v>126.52</v>
      </c>
      <c r="GN330" s="2">
        <f t="shared" si="286"/>
        <v>126.52</v>
      </c>
      <c r="GO330" s="2">
        <f t="shared" si="287"/>
        <v>0</v>
      </c>
      <c r="GP330" s="2">
        <f t="shared" si="288"/>
        <v>0</v>
      </c>
      <c r="GQ330" s="2"/>
      <c r="GR330" s="2">
        <v>0</v>
      </c>
      <c r="GS330" s="2">
        <v>0</v>
      </c>
      <c r="GT330" s="2">
        <v>0</v>
      </c>
      <c r="GU330" s="2" t="s">
        <v>3</v>
      </c>
      <c r="GV330" s="2">
        <f t="shared" si="289"/>
        <v>0</v>
      </c>
      <c r="GW330" s="2">
        <v>1</v>
      </c>
      <c r="GX330" s="2">
        <f t="shared" si="290"/>
        <v>0</v>
      </c>
      <c r="GY330" s="2"/>
      <c r="GZ330" s="2"/>
      <c r="HA330" s="2">
        <v>0</v>
      </c>
      <c r="HB330" s="2">
        <v>0</v>
      </c>
      <c r="HC330" s="2">
        <f t="shared" si="291"/>
        <v>0</v>
      </c>
      <c r="HD330" s="2"/>
      <c r="HE330" s="2" t="s">
        <v>3</v>
      </c>
      <c r="HF330" s="2" t="s">
        <v>3</v>
      </c>
      <c r="HG330" s="2"/>
      <c r="HH330" s="2"/>
      <c r="HI330" s="2"/>
      <c r="HJ330" s="2"/>
      <c r="HK330" s="2"/>
      <c r="HL330" s="2"/>
      <c r="HM330" s="2" t="s">
        <v>3</v>
      </c>
      <c r="HN330" s="2" t="s">
        <v>3</v>
      </c>
      <c r="HO330" s="2" t="s">
        <v>3</v>
      </c>
      <c r="HP330" s="2" t="s">
        <v>3</v>
      </c>
      <c r="HQ330" s="2" t="s">
        <v>3</v>
      </c>
      <c r="HR330" s="2"/>
      <c r="HS330" s="2">
        <v>0</v>
      </c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>
        <v>0</v>
      </c>
      <c r="IL330" s="2"/>
      <c r="IM330" s="2"/>
      <c r="IN330" s="2"/>
      <c r="IO330" s="2"/>
      <c r="IP330" s="2"/>
      <c r="IQ330" s="2"/>
      <c r="IR330" s="2"/>
      <c r="IS330" s="2"/>
      <c r="IT330" s="2"/>
      <c r="IU330" s="2"/>
    </row>
    <row r="331" spans="1:255" x14ac:dyDescent="0.2">
      <c r="A331">
        <v>18</v>
      </c>
      <c r="B331">
        <v>1</v>
      </c>
      <c r="C331">
        <v>62</v>
      </c>
      <c r="E331" t="s">
        <v>408</v>
      </c>
      <c r="F331" t="s">
        <v>409</v>
      </c>
      <c r="G331" t="s">
        <v>410</v>
      </c>
      <c r="H331" t="s">
        <v>101</v>
      </c>
      <c r="I331">
        <f>I329*J331</f>
        <v>2.1840000000000002</v>
      </c>
      <c r="J331">
        <v>4</v>
      </c>
      <c r="K331">
        <v>4</v>
      </c>
      <c r="O331">
        <f t="shared" si="262"/>
        <v>326.42</v>
      </c>
      <c r="P331">
        <f t="shared" si="263"/>
        <v>326.42</v>
      </c>
      <c r="Q331">
        <f>(ROUND((ROUND(((ET331)*AV331*I331),2)*BB331),2)+ROUND((ROUND(((AE331-(EU331))*AV331*I331),2)*BS331),2))</f>
        <v>0</v>
      </c>
      <c r="R331">
        <f t="shared" si="264"/>
        <v>0</v>
      </c>
      <c r="S331">
        <f t="shared" si="265"/>
        <v>0</v>
      </c>
      <c r="T331">
        <f t="shared" si="266"/>
        <v>0</v>
      </c>
      <c r="U331">
        <f t="shared" si="267"/>
        <v>0</v>
      </c>
      <c r="V331">
        <f t="shared" si="268"/>
        <v>0</v>
      </c>
      <c r="W331">
        <f t="shared" si="269"/>
        <v>0</v>
      </c>
      <c r="X331">
        <f t="shared" si="270"/>
        <v>0</v>
      </c>
      <c r="Y331">
        <f t="shared" si="271"/>
        <v>0</v>
      </c>
      <c r="AA331">
        <v>56610029</v>
      </c>
      <c r="AB331">
        <f t="shared" si="272"/>
        <v>57.93</v>
      </c>
      <c r="AC331">
        <f t="shared" si="273"/>
        <v>57.93</v>
      </c>
      <c r="AD331">
        <f>ROUND((((ET331)-(EU331))+AE331),6)</f>
        <v>0</v>
      </c>
      <c r="AE331">
        <f>ROUND((EU331),6)</f>
        <v>0</v>
      </c>
      <c r="AF331">
        <f>ROUND((EV331),6)</f>
        <v>0</v>
      </c>
      <c r="AG331">
        <f t="shared" si="274"/>
        <v>0</v>
      </c>
      <c r="AH331">
        <f>(EW331)</f>
        <v>0</v>
      </c>
      <c r="AI331">
        <f>(EX331)</f>
        <v>0</v>
      </c>
      <c r="AJ331">
        <f t="shared" si="275"/>
        <v>0</v>
      </c>
      <c r="AK331">
        <v>57.93</v>
      </c>
      <c r="AL331">
        <v>57.93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1</v>
      </c>
      <c r="AW331">
        <v>1</v>
      </c>
      <c r="AZ331">
        <v>1</v>
      </c>
      <c r="BA331">
        <v>1</v>
      </c>
      <c r="BB331">
        <v>1</v>
      </c>
      <c r="BC331">
        <v>2.58</v>
      </c>
      <c r="BD331" t="s">
        <v>3</v>
      </c>
      <c r="BE331" t="s">
        <v>3</v>
      </c>
      <c r="BF331" t="s">
        <v>3</v>
      </c>
      <c r="BG331" t="s">
        <v>3</v>
      </c>
      <c r="BH331">
        <v>3</v>
      </c>
      <c r="BI331">
        <v>1</v>
      </c>
      <c r="BJ331" t="s">
        <v>411</v>
      </c>
      <c r="BM331">
        <v>295</v>
      </c>
      <c r="BN331">
        <v>0</v>
      </c>
      <c r="BO331" t="s">
        <v>409</v>
      </c>
      <c r="BP331">
        <v>1</v>
      </c>
      <c r="BQ331">
        <v>30</v>
      </c>
      <c r="BR331">
        <v>0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 t="s">
        <v>3</v>
      </c>
      <c r="BZ331">
        <v>0</v>
      </c>
      <c r="CA331">
        <v>0</v>
      </c>
      <c r="CB331" t="s">
        <v>3</v>
      </c>
      <c r="CE331">
        <v>30</v>
      </c>
      <c r="CF331">
        <v>0</v>
      </c>
      <c r="CG331">
        <v>0</v>
      </c>
      <c r="CM331">
        <v>0</v>
      </c>
      <c r="CN331" t="s">
        <v>3</v>
      </c>
      <c r="CO331">
        <v>0</v>
      </c>
      <c r="CP331">
        <f t="shared" si="276"/>
        <v>326.42</v>
      </c>
      <c r="CQ331">
        <f t="shared" si="277"/>
        <v>149.46</v>
      </c>
      <c r="CR331">
        <f>(ROUND((ROUND(((ET331)*AV331*1),2)*BB331),2)+ROUND((ROUND(((AE331-(EU331))*AV331*1),2)*BS331),2))</f>
        <v>0</v>
      </c>
      <c r="CS331">
        <f t="shared" si="278"/>
        <v>0</v>
      </c>
      <c r="CT331">
        <f t="shared" si="279"/>
        <v>0</v>
      </c>
      <c r="CU331">
        <f t="shared" si="280"/>
        <v>0</v>
      </c>
      <c r="CV331">
        <f t="shared" si="281"/>
        <v>0</v>
      </c>
      <c r="CW331">
        <f t="shared" si="282"/>
        <v>0</v>
      </c>
      <c r="CX331">
        <f t="shared" si="283"/>
        <v>0</v>
      </c>
      <c r="CY331">
        <f>S331*(BZ331/100)</f>
        <v>0</v>
      </c>
      <c r="CZ331">
        <f>S331*(CA331/100)</f>
        <v>0</v>
      </c>
      <c r="DC331" t="s">
        <v>3</v>
      </c>
      <c r="DD331" t="s">
        <v>3</v>
      </c>
      <c r="DE331" t="s">
        <v>3</v>
      </c>
      <c r="DF331" t="s">
        <v>3</v>
      </c>
      <c r="DG331" t="s">
        <v>3</v>
      </c>
      <c r="DH331" t="s">
        <v>3</v>
      </c>
      <c r="DI331" t="s">
        <v>3</v>
      </c>
      <c r="DJ331" t="s">
        <v>3</v>
      </c>
      <c r="DK331" t="s">
        <v>3</v>
      </c>
      <c r="DL331" t="s">
        <v>3</v>
      </c>
      <c r="DM331" t="s">
        <v>3</v>
      </c>
      <c r="DN331">
        <v>187</v>
      </c>
      <c r="DO331">
        <v>101</v>
      </c>
      <c r="DP331">
        <v>1</v>
      </c>
      <c r="DQ331">
        <v>1</v>
      </c>
      <c r="DU331">
        <v>1009</v>
      </c>
      <c r="DV331" t="s">
        <v>101</v>
      </c>
      <c r="DW331" t="s">
        <v>101</v>
      </c>
      <c r="DX331">
        <v>1</v>
      </c>
      <c r="DZ331" t="s">
        <v>3</v>
      </c>
      <c r="EA331" t="s">
        <v>3</v>
      </c>
      <c r="EB331" t="s">
        <v>3</v>
      </c>
      <c r="EC331" t="s">
        <v>3</v>
      </c>
      <c r="EE331">
        <v>51696334</v>
      </c>
      <c r="EF331">
        <v>30</v>
      </c>
      <c r="EG331" t="s">
        <v>23</v>
      </c>
      <c r="EH331">
        <v>0</v>
      </c>
      <c r="EI331" t="s">
        <v>3</v>
      </c>
      <c r="EJ331">
        <v>1</v>
      </c>
      <c r="EK331">
        <v>295</v>
      </c>
      <c r="EL331" t="s">
        <v>388</v>
      </c>
      <c r="EM331" t="s">
        <v>389</v>
      </c>
      <c r="EO331" t="s">
        <v>3</v>
      </c>
      <c r="EQ331">
        <v>0</v>
      </c>
      <c r="ER331">
        <v>57.93</v>
      </c>
      <c r="ES331">
        <v>57.93</v>
      </c>
      <c r="ET331">
        <v>0</v>
      </c>
      <c r="EU331">
        <v>0</v>
      </c>
      <c r="EV331">
        <v>0</v>
      </c>
      <c r="EW331">
        <v>0</v>
      </c>
      <c r="EX331">
        <v>0</v>
      </c>
      <c r="FQ331">
        <v>0</v>
      </c>
      <c r="FR331">
        <v>0</v>
      </c>
      <c r="FS331">
        <v>0</v>
      </c>
      <c r="FX331">
        <v>187</v>
      </c>
      <c r="FY331">
        <v>101</v>
      </c>
      <c r="GA331" t="s">
        <v>3</v>
      </c>
      <c r="GD331">
        <v>0</v>
      </c>
      <c r="GF331">
        <v>-1082088882</v>
      </c>
      <c r="GG331">
        <v>2</v>
      </c>
      <c r="GH331">
        <v>1</v>
      </c>
      <c r="GI331">
        <v>2</v>
      </c>
      <c r="GJ331">
        <v>0</v>
      </c>
      <c r="GK331">
        <f>ROUND(R331*(S12)/100,2)</f>
        <v>0</v>
      </c>
      <c r="GL331">
        <f t="shared" si="284"/>
        <v>0</v>
      </c>
      <c r="GM331">
        <f t="shared" si="285"/>
        <v>326.42</v>
      </c>
      <c r="GN331">
        <f t="shared" si="286"/>
        <v>326.42</v>
      </c>
      <c r="GO331">
        <f t="shared" si="287"/>
        <v>0</v>
      </c>
      <c r="GP331">
        <f t="shared" si="288"/>
        <v>0</v>
      </c>
      <c r="GR331">
        <v>0</v>
      </c>
      <c r="GS331">
        <v>3</v>
      </c>
      <c r="GT331">
        <v>0</v>
      </c>
      <c r="GU331" t="s">
        <v>3</v>
      </c>
      <c r="GV331">
        <f t="shared" si="289"/>
        <v>0</v>
      </c>
      <c r="GW331">
        <v>1</v>
      </c>
      <c r="GX331">
        <f t="shared" si="290"/>
        <v>0</v>
      </c>
      <c r="HA331">
        <v>0</v>
      </c>
      <c r="HB331">
        <v>0</v>
      </c>
      <c r="HC331">
        <f t="shared" si="291"/>
        <v>0</v>
      </c>
      <c r="HE331" t="s">
        <v>3</v>
      </c>
      <c r="HF331" t="s">
        <v>3</v>
      </c>
      <c r="HM331" t="s">
        <v>3</v>
      </c>
      <c r="HN331" t="s">
        <v>3</v>
      </c>
      <c r="HO331" t="s">
        <v>3</v>
      </c>
      <c r="HP331" t="s">
        <v>3</v>
      </c>
      <c r="HQ331" t="s">
        <v>3</v>
      </c>
      <c r="HS331">
        <v>0</v>
      </c>
      <c r="IK331">
        <v>0</v>
      </c>
    </row>
    <row r="333" spans="1:255" x14ac:dyDescent="0.2">
      <c r="A333" s="3">
        <v>51</v>
      </c>
      <c r="B333" s="3">
        <f>B312</f>
        <v>1</v>
      </c>
      <c r="C333" s="3">
        <f>A312</f>
        <v>5</v>
      </c>
      <c r="D333" s="3">
        <f>ROW(A312)</f>
        <v>312</v>
      </c>
      <c r="E333" s="3"/>
      <c r="F333" s="3" t="str">
        <f>IF(F312&lt;&gt;"",F312,"")</f>
        <v>Новый подраздел</v>
      </c>
      <c r="G333" s="3" t="str">
        <f>IF(G312&lt;&gt;"",G312,"")</f>
        <v>Газон</v>
      </c>
      <c r="H333" s="3">
        <v>0</v>
      </c>
      <c r="I333" s="3"/>
      <c r="J333" s="3"/>
      <c r="K333" s="3"/>
      <c r="L333" s="3"/>
      <c r="M333" s="3"/>
      <c r="N333" s="3"/>
      <c r="O333" s="3">
        <f t="shared" ref="O333:T333" si="292">ROUND(AB333,2)</f>
        <v>1153.3900000000001</v>
      </c>
      <c r="P333" s="3">
        <f t="shared" si="292"/>
        <v>966.87</v>
      </c>
      <c r="Q333" s="3">
        <f t="shared" si="292"/>
        <v>2.0099999999999998</v>
      </c>
      <c r="R333" s="3">
        <f t="shared" si="292"/>
        <v>0.25</v>
      </c>
      <c r="S333" s="3">
        <f t="shared" si="292"/>
        <v>184.51</v>
      </c>
      <c r="T333" s="3">
        <f t="shared" si="292"/>
        <v>0</v>
      </c>
      <c r="U333" s="3">
        <f>AH333</f>
        <v>17.500555800000001</v>
      </c>
      <c r="V333" s="3">
        <f>AI333</f>
        <v>0</v>
      </c>
      <c r="W333" s="3">
        <f>ROUND(AJ333,2)</f>
        <v>0</v>
      </c>
      <c r="X333" s="3">
        <f>ROUND(AK333,2)</f>
        <v>345.04</v>
      </c>
      <c r="Y333" s="3">
        <f>ROUND(AL333,2)</f>
        <v>186.36</v>
      </c>
      <c r="Z333" s="3"/>
      <c r="AA333" s="3"/>
      <c r="AB333" s="3">
        <f>ROUND(SUMIF(AA316:AA331,"=56622490",O316:O331),2)</f>
        <v>1153.3900000000001</v>
      </c>
      <c r="AC333" s="3">
        <f>ROUND(SUMIF(AA316:AA331,"=56622490",P316:P331),2)</f>
        <v>966.87</v>
      </c>
      <c r="AD333" s="3">
        <f>ROUND(SUMIF(AA316:AA331,"=56622490",Q316:Q331),2)</f>
        <v>2.0099999999999998</v>
      </c>
      <c r="AE333" s="3">
        <f>ROUND(SUMIF(AA316:AA331,"=56622490",R316:R331),2)</f>
        <v>0.25</v>
      </c>
      <c r="AF333" s="3">
        <f>ROUND(SUMIF(AA316:AA331,"=56622490",S316:S331),2)</f>
        <v>184.51</v>
      </c>
      <c r="AG333" s="3">
        <f>ROUND(SUMIF(AA316:AA331,"=56622490",T316:T331),2)</f>
        <v>0</v>
      </c>
      <c r="AH333" s="3">
        <f>SUMIF(AA316:AA331,"=56622490",U316:U331)</f>
        <v>17.500555800000001</v>
      </c>
      <c r="AI333" s="3">
        <f>SUMIF(AA316:AA331,"=56622490",V316:V331)</f>
        <v>0</v>
      </c>
      <c r="AJ333" s="3">
        <f>ROUND(SUMIF(AA316:AA331,"=56622490",W316:W331),2)</f>
        <v>0</v>
      </c>
      <c r="AK333" s="3">
        <f>ROUND(SUMIF(AA316:AA331,"=56622490",X316:X331),2)</f>
        <v>345.04</v>
      </c>
      <c r="AL333" s="3">
        <f>ROUND(SUMIF(AA316:AA331,"=56622490",Y316:Y331),2)</f>
        <v>186.36</v>
      </c>
      <c r="AM333" s="3"/>
      <c r="AN333" s="3"/>
      <c r="AO333" s="3">
        <f t="shared" ref="AO333:BD333" si="293">ROUND(BX333,2)</f>
        <v>0</v>
      </c>
      <c r="AP333" s="3">
        <f t="shared" si="293"/>
        <v>0</v>
      </c>
      <c r="AQ333" s="3">
        <f t="shared" si="293"/>
        <v>0</v>
      </c>
      <c r="AR333" s="3">
        <f t="shared" si="293"/>
        <v>1685.23</v>
      </c>
      <c r="AS333" s="3">
        <f t="shared" si="293"/>
        <v>1685.23</v>
      </c>
      <c r="AT333" s="3">
        <f t="shared" si="293"/>
        <v>0</v>
      </c>
      <c r="AU333" s="3">
        <f t="shared" si="293"/>
        <v>0</v>
      </c>
      <c r="AV333" s="3">
        <f t="shared" si="293"/>
        <v>966.87</v>
      </c>
      <c r="AW333" s="3">
        <f t="shared" si="293"/>
        <v>966.87</v>
      </c>
      <c r="AX333" s="3">
        <f t="shared" si="293"/>
        <v>0</v>
      </c>
      <c r="AY333" s="3">
        <f t="shared" si="293"/>
        <v>966.87</v>
      </c>
      <c r="AZ333" s="3">
        <f t="shared" si="293"/>
        <v>0</v>
      </c>
      <c r="BA333" s="3">
        <f t="shared" si="293"/>
        <v>0</v>
      </c>
      <c r="BB333" s="3">
        <f t="shared" si="293"/>
        <v>0</v>
      </c>
      <c r="BC333" s="3">
        <f t="shared" si="293"/>
        <v>0</v>
      </c>
      <c r="BD333" s="3">
        <f t="shared" si="293"/>
        <v>0</v>
      </c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>
        <f>ROUND(SUMIF(AA316:AA331,"=56622490",FQ316:FQ331),2)</f>
        <v>0</v>
      </c>
      <c r="BY333" s="3">
        <f>ROUND(SUMIF(AA316:AA331,"=56622490",FR316:FR331),2)</f>
        <v>0</v>
      </c>
      <c r="BZ333" s="3">
        <f>ROUND(SUMIF(AA316:AA331,"=56622490",GL316:GL331),2)</f>
        <v>0</v>
      </c>
      <c r="CA333" s="3">
        <f>ROUND(SUMIF(AA316:AA331,"=56622490",GM316:GM331),2)</f>
        <v>1685.23</v>
      </c>
      <c r="CB333" s="3">
        <f>ROUND(SUMIF(AA316:AA331,"=56622490",GN316:GN331),2)</f>
        <v>1685.23</v>
      </c>
      <c r="CC333" s="3">
        <f>ROUND(SUMIF(AA316:AA331,"=56622490",GO316:GO331),2)</f>
        <v>0</v>
      </c>
      <c r="CD333" s="3">
        <f>ROUND(SUMIF(AA316:AA331,"=56622490",GP316:GP331),2)</f>
        <v>0</v>
      </c>
      <c r="CE333" s="3">
        <f>AC333-BX333</f>
        <v>966.87</v>
      </c>
      <c r="CF333" s="3">
        <f>AC333-BY333</f>
        <v>966.87</v>
      </c>
      <c r="CG333" s="3">
        <f>BX333-BZ333</f>
        <v>0</v>
      </c>
      <c r="CH333" s="3">
        <f>AC333-BX333-BY333+BZ333</f>
        <v>966.87</v>
      </c>
      <c r="CI333" s="3">
        <f>BY333-BZ333</f>
        <v>0</v>
      </c>
      <c r="CJ333" s="3">
        <f>ROUND(SUMIF(AA316:AA331,"=56622490",GX316:GX331),2)</f>
        <v>0</v>
      </c>
      <c r="CK333" s="3">
        <f>ROUND(SUMIF(AA316:AA331,"=56622490",GY316:GY331),2)</f>
        <v>0</v>
      </c>
      <c r="CL333" s="3">
        <f>ROUND(SUMIF(AA316:AA331,"=56622490",GZ316:GZ331),2)</f>
        <v>0</v>
      </c>
      <c r="CM333" s="3">
        <f>ROUND(SUMIF(AA316:AA331,"=56622490",HD316:HD331),2)</f>
        <v>0</v>
      </c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4">
        <f t="shared" ref="DG333:DL333" si="294">ROUND(DT333,2)</f>
        <v>12797.21</v>
      </c>
      <c r="DH333" s="4">
        <f t="shared" si="294"/>
        <v>6403.22</v>
      </c>
      <c r="DI333" s="4">
        <f t="shared" si="294"/>
        <v>26.55</v>
      </c>
      <c r="DJ333" s="4">
        <f t="shared" si="294"/>
        <v>8.6300000000000008</v>
      </c>
      <c r="DK333" s="4">
        <f t="shared" si="294"/>
        <v>6367.44</v>
      </c>
      <c r="DL333" s="4">
        <f t="shared" si="294"/>
        <v>0</v>
      </c>
      <c r="DM333" s="4">
        <f>DZ333</f>
        <v>17.500555800000001</v>
      </c>
      <c r="DN333" s="4">
        <f>EA333</f>
        <v>0</v>
      </c>
      <c r="DO333" s="4">
        <f>ROUND(EB333,2)</f>
        <v>0</v>
      </c>
      <c r="DP333" s="4">
        <f>ROUND(EC333,2)</f>
        <v>6685.81</v>
      </c>
      <c r="DQ333" s="4">
        <f>ROUND(ED333,2)</f>
        <v>3056.36</v>
      </c>
      <c r="DR333" s="4"/>
      <c r="DS333" s="4"/>
      <c r="DT333" s="4">
        <f>ROUND(SUMIF(AA316:AA331,"=56610029",O316:O331),2)</f>
        <v>12797.21</v>
      </c>
      <c r="DU333" s="4">
        <f>ROUND(SUMIF(AA316:AA331,"=56610029",P316:P331),2)</f>
        <v>6403.22</v>
      </c>
      <c r="DV333" s="4">
        <f>ROUND(SUMIF(AA316:AA331,"=56610029",Q316:Q331),2)</f>
        <v>26.55</v>
      </c>
      <c r="DW333" s="4">
        <f>ROUND(SUMIF(AA316:AA331,"=56610029",R316:R331),2)</f>
        <v>8.6300000000000008</v>
      </c>
      <c r="DX333" s="4">
        <f>ROUND(SUMIF(AA316:AA331,"=56610029",S316:S331),2)</f>
        <v>6367.44</v>
      </c>
      <c r="DY333" s="4">
        <f>ROUND(SUMIF(AA316:AA331,"=56610029",T316:T331),2)</f>
        <v>0</v>
      </c>
      <c r="DZ333" s="4">
        <f>SUMIF(AA316:AA331,"=56610029",U316:U331)</f>
        <v>17.500555800000001</v>
      </c>
      <c r="EA333" s="4">
        <f>SUMIF(AA316:AA331,"=56610029",V316:V331)</f>
        <v>0</v>
      </c>
      <c r="EB333" s="4">
        <f>ROUND(SUMIF(AA316:AA331,"=56610029",W316:W331),2)</f>
        <v>0</v>
      </c>
      <c r="EC333" s="4">
        <f>ROUND(SUMIF(AA316:AA331,"=56610029",X316:X331),2)</f>
        <v>6685.81</v>
      </c>
      <c r="ED333" s="4">
        <f>ROUND(SUMIF(AA316:AA331,"=56610029",Y316:Y331),2)</f>
        <v>3056.36</v>
      </c>
      <c r="EE333" s="4"/>
      <c r="EF333" s="4"/>
      <c r="EG333" s="4">
        <f t="shared" ref="EG333:EV333" si="295">ROUND(FP333,2)</f>
        <v>0</v>
      </c>
      <c r="EH333" s="4">
        <f t="shared" si="295"/>
        <v>0</v>
      </c>
      <c r="EI333" s="4">
        <f t="shared" si="295"/>
        <v>0</v>
      </c>
      <c r="EJ333" s="4">
        <f t="shared" si="295"/>
        <v>22553.19</v>
      </c>
      <c r="EK333" s="4">
        <f t="shared" si="295"/>
        <v>22553.19</v>
      </c>
      <c r="EL333" s="4">
        <f t="shared" si="295"/>
        <v>0</v>
      </c>
      <c r="EM333" s="4">
        <f t="shared" si="295"/>
        <v>0</v>
      </c>
      <c r="EN333" s="4">
        <f t="shared" si="295"/>
        <v>6403.22</v>
      </c>
      <c r="EO333" s="4">
        <f t="shared" si="295"/>
        <v>6403.22</v>
      </c>
      <c r="EP333" s="4">
        <f t="shared" si="295"/>
        <v>0</v>
      </c>
      <c r="EQ333" s="4">
        <f t="shared" si="295"/>
        <v>6403.22</v>
      </c>
      <c r="ER333" s="4">
        <f t="shared" si="295"/>
        <v>0</v>
      </c>
      <c r="ES333" s="4">
        <f t="shared" si="295"/>
        <v>0</v>
      </c>
      <c r="ET333" s="4">
        <f t="shared" si="295"/>
        <v>0</v>
      </c>
      <c r="EU333" s="4">
        <f t="shared" si="295"/>
        <v>0</v>
      </c>
      <c r="EV333" s="4">
        <f t="shared" si="295"/>
        <v>0</v>
      </c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>
        <f>ROUND(SUMIF(AA316:AA331,"=56610029",FQ316:FQ331),2)</f>
        <v>0</v>
      </c>
      <c r="FQ333" s="4">
        <f>ROUND(SUMIF(AA316:AA331,"=56610029",FR316:FR331),2)</f>
        <v>0</v>
      </c>
      <c r="FR333" s="4">
        <f>ROUND(SUMIF(AA316:AA331,"=56610029",GL316:GL331),2)</f>
        <v>0</v>
      </c>
      <c r="FS333" s="4">
        <f>ROUND(SUMIF(AA316:AA331,"=56610029",GM316:GM331),2)</f>
        <v>22553.19</v>
      </c>
      <c r="FT333" s="4">
        <f>ROUND(SUMIF(AA316:AA331,"=56610029",GN316:GN331),2)</f>
        <v>22553.19</v>
      </c>
      <c r="FU333" s="4">
        <f>ROUND(SUMIF(AA316:AA331,"=56610029",GO316:GO331),2)</f>
        <v>0</v>
      </c>
      <c r="FV333" s="4">
        <f>ROUND(SUMIF(AA316:AA331,"=56610029",GP316:GP331),2)</f>
        <v>0</v>
      </c>
      <c r="FW333" s="4">
        <f>DU333-FP333</f>
        <v>6403.22</v>
      </c>
      <c r="FX333" s="4">
        <f>DU333-FQ333</f>
        <v>6403.22</v>
      </c>
      <c r="FY333" s="4">
        <f>FP333-FR333</f>
        <v>0</v>
      </c>
      <c r="FZ333" s="4">
        <f>DU333-FP333-FQ333+FR333</f>
        <v>6403.22</v>
      </c>
      <c r="GA333" s="4">
        <f>FQ333-FR333</f>
        <v>0</v>
      </c>
      <c r="GB333" s="4">
        <f>ROUND(SUMIF(AA316:AA331,"=56610029",GX316:GX331),2)</f>
        <v>0</v>
      </c>
      <c r="GC333" s="4">
        <f>ROUND(SUMIF(AA316:AA331,"=56610029",GY316:GY331),2)</f>
        <v>0</v>
      </c>
      <c r="GD333" s="4">
        <f>ROUND(SUMIF(AA316:AA331,"=56610029",GZ316:GZ331),2)</f>
        <v>0</v>
      </c>
      <c r="GE333" s="4">
        <f>ROUND(SUMIF(AA316:AA331,"=56610029",HD316:HD331),2)</f>
        <v>0</v>
      </c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>
        <v>0</v>
      </c>
    </row>
    <row r="335" spans="1:255" x14ac:dyDescent="0.2">
      <c r="A335" s="5">
        <v>50</v>
      </c>
      <c r="B335" s="5">
        <v>0</v>
      </c>
      <c r="C335" s="5">
        <v>0</v>
      </c>
      <c r="D335" s="5">
        <v>1</v>
      </c>
      <c r="E335" s="5">
        <v>201</v>
      </c>
      <c r="F335" s="5">
        <f>ROUND(Source!O333,O335)</f>
        <v>1153.3900000000001</v>
      </c>
      <c r="G335" s="5" t="s">
        <v>103</v>
      </c>
      <c r="H335" s="5" t="s">
        <v>104</v>
      </c>
      <c r="I335" s="5"/>
      <c r="J335" s="5"/>
      <c r="K335" s="5">
        <v>201</v>
      </c>
      <c r="L335" s="5">
        <v>1</v>
      </c>
      <c r="M335" s="5">
        <v>3</v>
      </c>
      <c r="N335" s="5" t="s">
        <v>3</v>
      </c>
      <c r="O335" s="5">
        <v>2</v>
      </c>
      <c r="P335" s="5">
        <f>ROUND(Source!DG333,O335)</f>
        <v>12797.21</v>
      </c>
      <c r="Q335" s="5"/>
      <c r="R335" s="5"/>
      <c r="S335" s="5"/>
      <c r="T335" s="5"/>
      <c r="U335" s="5"/>
      <c r="V335" s="5"/>
      <c r="W335" s="5">
        <v>1153.3900000000001</v>
      </c>
      <c r="X335" s="5">
        <v>1</v>
      </c>
      <c r="Y335" s="5">
        <v>1153.3900000000001</v>
      </c>
      <c r="Z335" s="5">
        <v>12797.21</v>
      </c>
      <c r="AA335" s="5">
        <v>1</v>
      </c>
      <c r="AB335" s="5">
        <v>12797.21</v>
      </c>
    </row>
    <row r="336" spans="1:255" x14ac:dyDescent="0.2">
      <c r="A336" s="5">
        <v>50</v>
      </c>
      <c r="B336" s="5">
        <v>0</v>
      </c>
      <c r="C336" s="5">
        <v>0</v>
      </c>
      <c r="D336" s="5">
        <v>1</v>
      </c>
      <c r="E336" s="5">
        <v>202</v>
      </c>
      <c r="F336" s="5">
        <f>ROUND(Source!P333,O336)</f>
        <v>966.87</v>
      </c>
      <c r="G336" s="5" t="s">
        <v>105</v>
      </c>
      <c r="H336" s="5" t="s">
        <v>106</v>
      </c>
      <c r="I336" s="5"/>
      <c r="J336" s="5"/>
      <c r="K336" s="5">
        <v>202</v>
      </c>
      <c r="L336" s="5">
        <v>2</v>
      </c>
      <c r="M336" s="5">
        <v>3</v>
      </c>
      <c r="N336" s="5" t="s">
        <v>3</v>
      </c>
      <c r="O336" s="5">
        <v>2</v>
      </c>
      <c r="P336" s="5">
        <f>ROUND(Source!DH333,O336)</f>
        <v>6403.22</v>
      </c>
      <c r="Q336" s="5"/>
      <c r="R336" s="5"/>
      <c r="S336" s="5"/>
      <c r="T336" s="5"/>
      <c r="U336" s="5"/>
      <c r="V336" s="5"/>
      <c r="W336" s="5">
        <v>966.87</v>
      </c>
      <c r="X336" s="5">
        <v>1</v>
      </c>
      <c r="Y336" s="5">
        <v>966.87</v>
      </c>
      <c r="Z336" s="5">
        <v>6403.22</v>
      </c>
      <c r="AA336" s="5">
        <v>1</v>
      </c>
      <c r="AB336" s="5">
        <v>6403.22</v>
      </c>
    </row>
    <row r="337" spans="1:28" x14ac:dyDescent="0.2">
      <c r="A337" s="5">
        <v>50</v>
      </c>
      <c r="B337" s="5">
        <v>0</v>
      </c>
      <c r="C337" s="5">
        <v>0</v>
      </c>
      <c r="D337" s="5">
        <v>1</v>
      </c>
      <c r="E337" s="5">
        <v>222</v>
      </c>
      <c r="F337" s="5">
        <f>ROUND(Source!AO333,O337)</f>
        <v>0</v>
      </c>
      <c r="G337" s="5" t="s">
        <v>107</v>
      </c>
      <c r="H337" s="5" t="s">
        <v>108</v>
      </c>
      <c r="I337" s="5"/>
      <c r="J337" s="5"/>
      <c r="K337" s="5">
        <v>222</v>
      </c>
      <c r="L337" s="5">
        <v>3</v>
      </c>
      <c r="M337" s="5">
        <v>3</v>
      </c>
      <c r="N337" s="5" t="s">
        <v>3</v>
      </c>
      <c r="O337" s="5">
        <v>2</v>
      </c>
      <c r="P337" s="5">
        <f>ROUND(Source!EG333,O337)</f>
        <v>0</v>
      </c>
      <c r="Q337" s="5"/>
      <c r="R337" s="5"/>
      <c r="S337" s="5"/>
      <c r="T337" s="5"/>
      <c r="U337" s="5"/>
      <c r="V337" s="5"/>
      <c r="W337" s="5">
        <v>0</v>
      </c>
      <c r="X337" s="5">
        <v>1</v>
      </c>
      <c r="Y337" s="5">
        <v>0</v>
      </c>
      <c r="Z337" s="5">
        <v>0</v>
      </c>
      <c r="AA337" s="5">
        <v>1</v>
      </c>
      <c r="AB337" s="5">
        <v>0</v>
      </c>
    </row>
    <row r="338" spans="1:28" x14ac:dyDescent="0.2">
      <c r="A338" s="5">
        <v>50</v>
      </c>
      <c r="B338" s="5">
        <v>0</v>
      </c>
      <c r="C338" s="5">
        <v>0</v>
      </c>
      <c r="D338" s="5">
        <v>1</v>
      </c>
      <c r="E338" s="5">
        <v>225</v>
      </c>
      <c r="F338" s="5">
        <f>ROUND(Source!AV333,O338)</f>
        <v>966.87</v>
      </c>
      <c r="G338" s="5" t="s">
        <v>109</v>
      </c>
      <c r="H338" s="5" t="s">
        <v>110</v>
      </c>
      <c r="I338" s="5"/>
      <c r="J338" s="5"/>
      <c r="K338" s="5">
        <v>225</v>
      </c>
      <c r="L338" s="5">
        <v>4</v>
      </c>
      <c r="M338" s="5">
        <v>3</v>
      </c>
      <c r="N338" s="5" t="s">
        <v>3</v>
      </c>
      <c r="O338" s="5">
        <v>2</v>
      </c>
      <c r="P338" s="5">
        <f>ROUND(Source!EN333,O338)</f>
        <v>6403.22</v>
      </c>
      <c r="Q338" s="5"/>
      <c r="R338" s="5"/>
      <c r="S338" s="5"/>
      <c r="T338" s="5"/>
      <c r="U338" s="5"/>
      <c r="V338" s="5"/>
      <c r="W338" s="5">
        <v>966.87</v>
      </c>
      <c r="X338" s="5">
        <v>1</v>
      </c>
      <c r="Y338" s="5">
        <v>966.87</v>
      </c>
      <c r="Z338" s="5">
        <v>6403.22</v>
      </c>
      <c r="AA338" s="5">
        <v>1</v>
      </c>
      <c r="AB338" s="5">
        <v>6403.22</v>
      </c>
    </row>
    <row r="339" spans="1:28" x14ac:dyDescent="0.2">
      <c r="A339" s="5">
        <v>50</v>
      </c>
      <c r="B339" s="5">
        <v>0</v>
      </c>
      <c r="C339" s="5">
        <v>0</v>
      </c>
      <c r="D339" s="5">
        <v>1</v>
      </c>
      <c r="E339" s="5">
        <v>226</v>
      </c>
      <c r="F339" s="5">
        <f>ROUND(Source!AW333,O339)</f>
        <v>966.87</v>
      </c>
      <c r="G339" s="5" t="s">
        <v>111</v>
      </c>
      <c r="H339" s="5" t="s">
        <v>112</v>
      </c>
      <c r="I339" s="5"/>
      <c r="J339" s="5"/>
      <c r="K339" s="5">
        <v>226</v>
      </c>
      <c r="L339" s="5">
        <v>5</v>
      </c>
      <c r="M339" s="5">
        <v>3</v>
      </c>
      <c r="N339" s="5" t="s">
        <v>3</v>
      </c>
      <c r="O339" s="5">
        <v>2</v>
      </c>
      <c r="P339" s="5">
        <f>ROUND(Source!EO333,O339)</f>
        <v>6403.22</v>
      </c>
      <c r="Q339" s="5"/>
      <c r="R339" s="5"/>
      <c r="S339" s="5"/>
      <c r="T339" s="5"/>
      <c r="U339" s="5"/>
      <c r="V339" s="5"/>
      <c r="W339" s="5">
        <v>966.87</v>
      </c>
      <c r="X339" s="5">
        <v>1</v>
      </c>
      <c r="Y339" s="5">
        <v>966.87</v>
      </c>
      <c r="Z339" s="5">
        <v>6403.22</v>
      </c>
      <c r="AA339" s="5">
        <v>1</v>
      </c>
      <c r="AB339" s="5">
        <v>6403.22</v>
      </c>
    </row>
    <row r="340" spans="1:28" x14ac:dyDescent="0.2">
      <c r="A340" s="5">
        <v>50</v>
      </c>
      <c r="B340" s="5">
        <v>0</v>
      </c>
      <c r="C340" s="5">
        <v>0</v>
      </c>
      <c r="D340" s="5">
        <v>1</v>
      </c>
      <c r="E340" s="5">
        <v>227</v>
      </c>
      <c r="F340" s="5">
        <f>ROUND(Source!AX333,O340)</f>
        <v>0</v>
      </c>
      <c r="G340" s="5" t="s">
        <v>113</v>
      </c>
      <c r="H340" s="5" t="s">
        <v>114</v>
      </c>
      <c r="I340" s="5"/>
      <c r="J340" s="5"/>
      <c r="K340" s="5">
        <v>227</v>
      </c>
      <c r="L340" s="5">
        <v>6</v>
      </c>
      <c r="M340" s="5">
        <v>3</v>
      </c>
      <c r="N340" s="5" t="s">
        <v>3</v>
      </c>
      <c r="O340" s="5">
        <v>2</v>
      </c>
      <c r="P340" s="5">
        <f>ROUND(Source!EP333,O340)</f>
        <v>0</v>
      </c>
      <c r="Q340" s="5"/>
      <c r="R340" s="5"/>
      <c r="S340" s="5"/>
      <c r="T340" s="5"/>
      <c r="U340" s="5"/>
      <c r="V340" s="5"/>
      <c r="W340" s="5">
        <v>0</v>
      </c>
      <c r="X340" s="5">
        <v>1</v>
      </c>
      <c r="Y340" s="5">
        <v>0</v>
      </c>
      <c r="Z340" s="5">
        <v>0</v>
      </c>
      <c r="AA340" s="5">
        <v>1</v>
      </c>
      <c r="AB340" s="5">
        <v>0</v>
      </c>
    </row>
    <row r="341" spans="1:28" x14ac:dyDescent="0.2">
      <c r="A341" s="5">
        <v>50</v>
      </c>
      <c r="B341" s="5">
        <v>0</v>
      </c>
      <c r="C341" s="5">
        <v>0</v>
      </c>
      <c r="D341" s="5">
        <v>1</v>
      </c>
      <c r="E341" s="5">
        <v>228</v>
      </c>
      <c r="F341" s="5">
        <f>ROUND(Source!AY333,O341)</f>
        <v>966.87</v>
      </c>
      <c r="G341" s="5" t="s">
        <v>115</v>
      </c>
      <c r="H341" s="5" t="s">
        <v>116</v>
      </c>
      <c r="I341" s="5"/>
      <c r="J341" s="5"/>
      <c r="K341" s="5">
        <v>228</v>
      </c>
      <c r="L341" s="5">
        <v>7</v>
      </c>
      <c r="M341" s="5">
        <v>3</v>
      </c>
      <c r="N341" s="5" t="s">
        <v>3</v>
      </c>
      <c r="O341" s="5">
        <v>2</v>
      </c>
      <c r="P341" s="5">
        <f>ROUND(Source!EQ333,O341)</f>
        <v>6403.22</v>
      </c>
      <c r="Q341" s="5"/>
      <c r="R341" s="5"/>
      <c r="S341" s="5"/>
      <c r="T341" s="5"/>
      <c r="U341" s="5"/>
      <c r="V341" s="5"/>
      <c r="W341" s="5">
        <v>966.87</v>
      </c>
      <c r="X341" s="5">
        <v>1</v>
      </c>
      <c r="Y341" s="5">
        <v>966.87</v>
      </c>
      <c r="Z341" s="5">
        <v>6403.22</v>
      </c>
      <c r="AA341" s="5">
        <v>1</v>
      </c>
      <c r="AB341" s="5">
        <v>6403.22</v>
      </c>
    </row>
    <row r="342" spans="1:28" x14ac:dyDescent="0.2">
      <c r="A342" s="5">
        <v>50</v>
      </c>
      <c r="B342" s="5">
        <v>0</v>
      </c>
      <c r="C342" s="5">
        <v>0</v>
      </c>
      <c r="D342" s="5">
        <v>1</v>
      </c>
      <c r="E342" s="5">
        <v>216</v>
      </c>
      <c r="F342" s="5">
        <f>ROUND(Source!AP333,O342)</f>
        <v>0</v>
      </c>
      <c r="G342" s="5" t="s">
        <v>117</v>
      </c>
      <c r="H342" s="5" t="s">
        <v>118</v>
      </c>
      <c r="I342" s="5"/>
      <c r="J342" s="5"/>
      <c r="K342" s="5">
        <v>216</v>
      </c>
      <c r="L342" s="5">
        <v>8</v>
      </c>
      <c r="M342" s="5">
        <v>3</v>
      </c>
      <c r="N342" s="5" t="s">
        <v>3</v>
      </c>
      <c r="O342" s="5">
        <v>2</v>
      </c>
      <c r="P342" s="5">
        <f>ROUND(Source!EH333,O342)</f>
        <v>0</v>
      </c>
      <c r="Q342" s="5"/>
      <c r="R342" s="5"/>
      <c r="S342" s="5"/>
      <c r="T342" s="5"/>
      <c r="U342" s="5"/>
      <c r="V342" s="5"/>
      <c r="W342" s="5">
        <v>0</v>
      </c>
      <c r="X342" s="5">
        <v>1</v>
      </c>
      <c r="Y342" s="5">
        <v>0</v>
      </c>
      <c r="Z342" s="5">
        <v>0</v>
      </c>
      <c r="AA342" s="5">
        <v>1</v>
      </c>
      <c r="AB342" s="5">
        <v>0</v>
      </c>
    </row>
    <row r="343" spans="1:28" x14ac:dyDescent="0.2">
      <c r="A343" s="5">
        <v>50</v>
      </c>
      <c r="B343" s="5">
        <v>0</v>
      </c>
      <c r="C343" s="5">
        <v>0</v>
      </c>
      <c r="D343" s="5">
        <v>1</v>
      </c>
      <c r="E343" s="5">
        <v>223</v>
      </c>
      <c r="F343" s="5">
        <f>ROUND(Source!AQ333,O343)</f>
        <v>0</v>
      </c>
      <c r="G343" s="5" t="s">
        <v>119</v>
      </c>
      <c r="H343" s="5" t="s">
        <v>120</v>
      </c>
      <c r="I343" s="5"/>
      <c r="J343" s="5"/>
      <c r="K343" s="5">
        <v>223</v>
      </c>
      <c r="L343" s="5">
        <v>9</v>
      </c>
      <c r="M343" s="5">
        <v>3</v>
      </c>
      <c r="N343" s="5" t="s">
        <v>3</v>
      </c>
      <c r="O343" s="5">
        <v>2</v>
      </c>
      <c r="P343" s="5">
        <f>ROUND(Source!EI333,O343)</f>
        <v>0</v>
      </c>
      <c r="Q343" s="5"/>
      <c r="R343" s="5"/>
      <c r="S343" s="5"/>
      <c r="T343" s="5"/>
      <c r="U343" s="5"/>
      <c r="V343" s="5"/>
      <c r="W343" s="5">
        <v>0</v>
      </c>
      <c r="X343" s="5">
        <v>1</v>
      </c>
      <c r="Y343" s="5">
        <v>0</v>
      </c>
      <c r="Z343" s="5">
        <v>0</v>
      </c>
      <c r="AA343" s="5">
        <v>1</v>
      </c>
      <c r="AB343" s="5">
        <v>0</v>
      </c>
    </row>
    <row r="344" spans="1:28" x14ac:dyDescent="0.2">
      <c r="A344" s="5">
        <v>50</v>
      </c>
      <c r="B344" s="5">
        <v>0</v>
      </c>
      <c r="C344" s="5">
        <v>0</v>
      </c>
      <c r="D344" s="5">
        <v>1</v>
      </c>
      <c r="E344" s="5">
        <v>229</v>
      </c>
      <c r="F344" s="5">
        <f>ROUND(Source!AZ333,O344)</f>
        <v>0</v>
      </c>
      <c r="G344" s="5" t="s">
        <v>121</v>
      </c>
      <c r="H344" s="5" t="s">
        <v>122</v>
      </c>
      <c r="I344" s="5"/>
      <c r="J344" s="5"/>
      <c r="K344" s="5">
        <v>229</v>
      </c>
      <c r="L344" s="5">
        <v>10</v>
      </c>
      <c r="M344" s="5">
        <v>3</v>
      </c>
      <c r="N344" s="5" t="s">
        <v>3</v>
      </c>
      <c r="O344" s="5">
        <v>2</v>
      </c>
      <c r="P344" s="5">
        <f>ROUND(Source!ER333,O344)</f>
        <v>0</v>
      </c>
      <c r="Q344" s="5"/>
      <c r="R344" s="5"/>
      <c r="S344" s="5"/>
      <c r="T344" s="5"/>
      <c r="U344" s="5"/>
      <c r="V344" s="5"/>
      <c r="W344" s="5">
        <v>0</v>
      </c>
      <c r="X344" s="5">
        <v>1</v>
      </c>
      <c r="Y344" s="5">
        <v>0</v>
      </c>
      <c r="Z344" s="5">
        <v>0</v>
      </c>
      <c r="AA344" s="5">
        <v>1</v>
      </c>
      <c r="AB344" s="5">
        <v>0</v>
      </c>
    </row>
    <row r="345" spans="1:28" x14ac:dyDescent="0.2">
      <c r="A345" s="5">
        <v>50</v>
      </c>
      <c r="B345" s="5">
        <v>0</v>
      </c>
      <c r="C345" s="5">
        <v>0</v>
      </c>
      <c r="D345" s="5">
        <v>1</v>
      </c>
      <c r="E345" s="5">
        <v>203</v>
      </c>
      <c r="F345" s="5">
        <f>ROUND(Source!Q333,O345)</f>
        <v>2.0099999999999998</v>
      </c>
      <c r="G345" s="5" t="s">
        <v>123</v>
      </c>
      <c r="H345" s="5" t="s">
        <v>124</v>
      </c>
      <c r="I345" s="5"/>
      <c r="J345" s="5"/>
      <c r="K345" s="5">
        <v>203</v>
      </c>
      <c r="L345" s="5">
        <v>11</v>
      </c>
      <c r="M345" s="5">
        <v>3</v>
      </c>
      <c r="N345" s="5" t="s">
        <v>3</v>
      </c>
      <c r="O345" s="5">
        <v>2</v>
      </c>
      <c r="P345" s="5">
        <f>ROUND(Source!DI333,O345)</f>
        <v>26.55</v>
      </c>
      <c r="Q345" s="5"/>
      <c r="R345" s="5"/>
      <c r="S345" s="5"/>
      <c r="T345" s="5"/>
      <c r="U345" s="5"/>
      <c r="V345" s="5"/>
      <c r="W345" s="5">
        <v>2.0099999999999998</v>
      </c>
      <c r="X345" s="5">
        <v>1</v>
      </c>
      <c r="Y345" s="5">
        <v>2.0099999999999998</v>
      </c>
      <c r="Z345" s="5">
        <v>26.55</v>
      </c>
      <c r="AA345" s="5">
        <v>1</v>
      </c>
      <c r="AB345" s="5">
        <v>26.55</v>
      </c>
    </row>
    <row r="346" spans="1:28" x14ac:dyDescent="0.2">
      <c r="A346" s="5">
        <v>50</v>
      </c>
      <c r="B346" s="5">
        <v>0</v>
      </c>
      <c r="C346" s="5">
        <v>0</v>
      </c>
      <c r="D346" s="5">
        <v>1</v>
      </c>
      <c r="E346" s="5">
        <v>231</v>
      </c>
      <c r="F346" s="5">
        <f>ROUND(Source!BB333,O346)</f>
        <v>0</v>
      </c>
      <c r="G346" s="5" t="s">
        <v>125</v>
      </c>
      <c r="H346" s="5" t="s">
        <v>126</v>
      </c>
      <c r="I346" s="5"/>
      <c r="J346" s="5"/>
      <c r="K346" s="5">
        <v>231</v>
      </c>
      <c r="L346" s="5">
        <v>12</v>
      </c>
      <c r="M346" s="5">
        <v>3</v>
      </c>
      <c r="N346" s="5" t="s">
        <v>3</v>
      </c>
      <c r="O346" s="5">
        <v>2</v>
      </c>
      <c r="P346" s="5">
        <f>ROUND(Source!ET333,O346)</f>
        <v>0</v>
      </c>
      <c r="Q346" s="5"/>
      <c r="R346" s="5"/>
      <c r="S346" s="5"/>
      <c r="T346" s="5"/>
      <c r="U346" s="5"/>
      <c r="V346" s="5"/>
      <c r="W346" s="5">
        <v>0</v>
      </c>
      <c r="X346" s="5">
        <v>1</v>
      </c>
      <c r="Y346" s="5">
        <v>0</v>
      </c>
      <c r="Z346" s="5">
        <v>0</v>
      </c>
      <c r="AA346" s="5">
        <v>1</v>
      </c>
      <c r="AB346" s="5">
        <v>0</v>
      </c>
    </row>
    <row r="347" spans="1:28" x14ac:dyDescent="0.2">
      <c r="A347" s="5">
        <v>50</v>
      </c>
      <c r="B347" s="5">
        <v>0</v>
      </c>
      <c r="C347" s="5">
        <v>0</v>
      </c>
      <c r="D347" s="5">
        <v>1</v>
      </c>
      <c r="E347" s="5">
        <v>204</v>
      </c>
      <c r="F347" s="5">
        <f>ROUND(Source!R333,O347)</f>
        <v>0.25</v>
      </c>
      <c r="G347" s="5" t="s">
        <v>127</v>
      </c>
      <c r="H347" s="5" t="s">
        <v>128</v>
      </c>
      <c r="I347" s="5"/>
      <c r="J347" s="5"/>
      <c r="K347" s="5">
        <v>204</v>
      </c>
      <c r="L347" s="5">
        <v>13</v>
      </c>
      <c r="M347" s="5">
        <v>3</v>
      </c>
      <c r="N347" s="5" t="s">
        <v>3</v>
      </c>
      <c r="O347" s="5">
        <v>2</v>
      </c>
      <c r="P347" s="5">
        <f>ROUND(Source!DJ333,O347)</f>
        <v>8.6300000000000008</v>
      </c>
      <c r="Q347" s="5"/>
      <c r="R347" s="5"/>
      <c r="S347" s="5"/>
      <c r="T347" s="5"/>
      <c r="U347" s="5"/>
      <c r="V347" s="5"/>
      <c r="W347" s="5">
        <v>0.25</v>
      </c>
      <c r="X347" s="5">
        <v>1</v>
      </c>
      <c r="Y347" s="5">
        <v>0.25</v>
      </c>
      <c r="Z347" s="5">
        <v>8.6300000000000008</v>
      </c>
      <c r="AA347" s="5">
        <v>1</v>
      </c>
      <c r="AB347" s="5">
        <v>8.6300000000000008</v>
      </c>
    </row>
    <row r="348" spans="1:28" x14ac:dyDescent="0.2">
      <c r="A348" s="5">
        <v>50</v>
      </c>
      <c r="B348" s="5">
        <v>0</v>
      </c>
      <c r="C348" s="5">
        <v>0</v>
      </c>
      <c r="D348" s="5">
        <v>1</v>
      </c>
      <c r="E348" s="5">
        <v>205</v>
      </c>
      <c r="F348" s="5">
        <f>ROUND(Source!S333,O348)</f>
        <v>184.51</v>
      </c>
      <c r="G348" s="5" t="s">
        <v>129</v>
      </c>
      <c r="H348" s="5" t="s">
        <v>130</v>
      </c>
      <c r="I348" s="5"/>
      <c r="J348" s="5"/>
      <c r="K348" s="5">
        <v>205</v>
      </c>
      <c r="L348" s="5">
        <v>14</v>
      </c>
      <c r="M348" s="5">
        <v>3</v>
      </c>
      <c r="N348" s="5" t="s">
        <v>3</v>
      </c>
      <c r="O348" s="5">
        <v>2</v>
      </c>
      <c r="P348" s="5">
        <f>ROUND(Source!DK333,O348)</f>
        <v>6367.44</v>
      </c>
      <c r="Q348" s="5"/>
      <c r="R348" s="5"/>
      <c r="S348" s="5"/>
      <c r="T348" s="5"/>
      <c r="U348" s="5"/>
      <c r="V348" s="5"/>
      <c r="W348" s="5">
        <v>184.51</v>
      </c>
      <c r="X348" s="5">
        <v>1</v>
      </c>
      <c r="Y348" s="5">
        <v>184.51</v>
      </c>
      <c r="Z348" s="5">
        <v>6367.44</v>
      </c>
      <c r="AA348" s="5">
        <v>1</v>
      </c>
      <c r="AB348" s="5">
        <v>6367.44</v>
      </c>
    </row>
    <row r="349" spans="1:28" x14ac:dyDescent="0.2">
      <c r="A349" s="5">
        <v>50</v>
      </c>
      <c r="B349" s="5">
        <v>0</v>
      </c>
      <c r="C349" s="5">
        <v>0</v>
      </c>
      <c r="D349" s="5">
        <v>1</v>
      </c>
      <c r="E349" s="5">
        <v>232</v>
      </c>
      <c r="F349" s="5">
        <f>ROUND(Source!BC333,O349)</f>
        <v>0</v>
      </c>
      <c r="G349" s="5" t="s">
        <v>131</v>
      </c>
      <c r="H349" s="5" t="s">
        <v>132</v>
      </c>
      <c r="I349" s="5"/>
      <c r="J349" s="5"/>
      <c r="K349" s="5">
        <v>232</v>
      </c>
      <c r="L349" s="5">
        <v>15</v>
      </c>
      <c r="M349" s="5">
        <v>3</v>
      </c>
      <c r="N349" s="5" t="s">
        <v>3</v>
      </c>
      <c r="O349" s="5">
        <v>2</v>
      </c>
      <c r="P349" s="5">
        <f>ROUND(Source!EU333,O349)</f>
        <v>0</v>
      </c>
      <c r="Q349" s="5"/>
      <c r="R349" s="5"/>
      <c r="S349" s="5"/>
      <c r="T349" s="5"/>
      <c r="U349" s="5"/>
      <c r="V349" s="5"/>
      <c r="W349" s="5">
        <v>0</v>
      </c>
      <c r="X349" s="5">
        <v>1</v>
      </c>
      <c r="Y349" s="5">
        <v>0</v>
      </c>
      <c r="Z349" s="5">
        <v>0</v>
      </c>
      <c r="AA349" s="5">
        <v>1</v>
      </c>
      <c r="AB349" s="5">
        <v>0</v>
      </c>
    </row>
    <row r="350" spans="1:28" x14ac:dyDescent="0.2">
      <c r="A350" s="5">
        <v>50</v>
      </c>
      <c r="B350" s="5">
        <v>0</v>
      </c>
      <c r="C350" s="5">
        <v>0</v>
      </c>
      <c r="D350" s="5">
        <v>1</v>
      </c>
      <c r="E350" s="5">
        <v>214</v>
      </c>
      <c r="F350" s="5">
        <f>ROUND(Source!AS333,O350)</f>
        <v>1685.23</v>
      </c>
      <c r="G350" s="5" t="s">
        <v>133</v>
      </c>
      <c r="H350" s="5" t="s">
        <v>134</v>
      </c>
      <c r="I350" s="5"/>
      <c r="J350" s="5"/>
      <c r="K350" s="5">
        <v>214</v>
      </c>
      <c r="L350" s="5">
        <v>16</v>
      </c>
      <c r="M350" s="5">
        <v>3</v>
      </c>
      <c r="N350" s="5" t="s">
        <v>3</v>
      </c>
      <c r="O350" s="5">
        <v>2</v>
      </c>
      <c r="P350" s="5">
        <f>ROUND(Source!EK333,O350)</f>
        <v>22553.19</v>
      </c>
      <c r="Q350" s="5"/>
      <c r="R350" s="5"/>
      <c r="S350" s="5"/>
      <c r="T350" s="5"/>
      <c r="U350" s="5"/>
      <c r="V350" s="5"/>
      <c r="W350" s="5">
        <v>1685.23</v>
      </c>
      <c r="X350" s="5">
        <v>1</v>
      </c>
      <c r="Y350" s="5">
        <v>1685.23</v>
      </c>
      <c r="Z350" s="5">
        <v>22553.19</v>
      </c>
      <c r="AA350" s="5">
        <v>1</v>
      </c>
      <c r="AB350" s="5">
        <v>22553.19</v>
      </c>
    </row>
    <row r="351" spans="1:28" x14ac:dyDescent="0.2">
      <c r="A351" s="5">
        <v>50</v>
      </c>
      <c r="B351" s="5">
        <v>0</v>
      </c>
      <c r="C351" s="5">
        <v>0</v>
      </c>
      <c r="D351" s="5">
        <v>1</v>
      </c>
      <c r="E351" s="5">
        <v>215</v>
      </c>
      <c r="F351" s="5">
        <f>ROUND(Source!AT333,O351)</f>
        <v>0</v>
      </c>
      <c r="G351" s="5" t="s">
        <v>135</v>
      </c>
      <c r="H351" s="5" t="s">
        <v>136</v>
      </c>
      <c r="I351" s="5"/>
      <c r="J351" s="5"/>
      <c r="K351" s="5">
        <v>215</v>
      </c>
      <c r="L351" s="5">
        <v>17</v>
      </c>
      <c r="M351" s="5">
        <v>3</v>
      </c>
      <c r="N351" s="5" t="s">
        <v>3</v>
      </c>
      <c r="O351" s="5">
        <v>2</v>
      </c>
      <c r="P351" s="5">
        <f>ROUND(Source!EL333,O351)</f>
        <v>0</v>
      </c>
      <c r="Q351" s="5"/>
      <c r="R351" s="5"/>
      <c r="S351" s="5"/>
      <c r="T351" s="5"/>
      <c r="U351" s="5"/>
      <c r="V351" s="5"/>
      <c r="W351" s="5">
        <v>0</v>
      </c>
      <c r="X351" s="5">
        <v>1</v>
      </c>
      <c r="Y351" s="5">
        <v>0</v>
      </c>
      <c r="Z351" s="5">
        <v>0</v>
      </c>
      <c r="AA351" s="5">
        <v>1</v>
      </c>
      <c r="AB351" s="5">
        <v>0</v>
      </c>
    </row>
    <row r="352" spans="1:28" x14ac:dyDescent="0.2">
      <c r="A352" s="5">
        <v>50</v>
      </c>
      <c r="B352" s="5">
        <v>0</v>
      </c>
      <c r="C352" s="5">
        <v>0</v>
      </c>
      <c r="D352" s="5">
        <v>1</v>
      </c>
      <c r="E352" s="5">
        <v>217</v>
      </c>
      <c r="F352" s="5">
        <f>ROUND(Source!AU333,O352)</f>
        <v>0</v>
      </c>
      <c r="G352" s="5" t="s">
        <v>137</v>
      </c>
      <c r="H352" s="5" t="s">
        <v>138</v>
      </c>
      <c r="I352" s="5"/>
      <c r="J352" s="5"/>
      <c r="K352" s="5">
        <v>217</v>
      </c>
      <c r="L352" s="5">
        <v>18</v>
      </c>
      <c r="M352" s="5">
        <v>3</v>
      </c>
      <c r="N352" s="5" t="s">
        <v>3</v>
      </c>
      <c r="O352" s="5">
        <v>2</v>
      </c>
      <c r="P352" s="5">
        <f>ROUND(Source!EM333,O352)</f>
        <v>0</v>
      </c>
      <c r="Q352" s="5"/>
      <c r="R352" s="5"/>
      <c r="S352" s="5"/>
      <c r="T352" s="5"/>
      <c r="U352" s="5"/>
      <c r="V352" s="5"/>
      <c r="W352" s="5">
        <v>0</v>
      </c>
      <c r="X352" s="5">
        <v>1</v>
      </c>
      <c r="Y352" s="5">
        <v>0</v>
      </c>
      <c r="Z352" s="5">
        <v>0</v>
      </c>
      <c r="AA352" s="5">
        <v>1</v>
      </c>
      <c r="AB352" s="5">
        <v>0</v>
      </c>
    </row>
    <row r="353" spans="1:255" x14ac:dyDescent="0.2">
      <c r="A353" s="5">
        <v>50</v>
      </c>
      <c r="B353" s="5">
        <v>0</v>
      </c>
      <c r="C353" s="5">
        <v>0</v>
      </c>
      <c r="D353" s="5">
        <v>1</v>
      </c>
      <c r="E353" s="5">
        <v>230</v>
      </c>
      <c r="F353" s="5">
        <f>ROUND(Source!BA333,O353)</f>
        <v>0</v>
      </c>
      <c r="G353" s="5" t="s">
        <v>139</v>
      </c>
      <c r="H353" s="5" t="s">
        <v>140</v>
      </c>
      <c r="I353" s="5"/>
      <c r="J353" s="5"/>
      <c r="K353" s="5">
        <v>230</v>
      </c>
      <c r="L353" s="5">
        <v>19</v>
      </c>
      <c r="M353" s="5">
        <v>3</v>
      </c>
      <c r="N353" s="5" t="s">
        <v>3</v>
      </c>
      <c r="O353" s="5">
        <v>2</v>
      </c>
      <c r="P353" s="5">
        <f>ROUND(Source!ES333,O353)</f>
        <v>0</v>
      </c>
      <c r="Q353" s="5"/>
      <c r="R353" s="5"/>
      <c r="S353" s="5"/>
      <c r="T353" s="5"/>
      <c r="U353" s="5"/>
      <c r="V353" s="5"/>
      <c r="W353" s="5">
        <v>0</v>
      </c>
      <c r="X353" s="5">
        <v>1</v>
      </c>
      <c r="Y353" s="5">
        <v>0</v>
      </c>
      <c r="Z353" s="5">
        <v>0</v>
      </c>
      <c r="AA353" s="5">
        <v>1</v>
      </c>
      <c r="AB353" s="5">
        <v>0</v>
      </c>
    </row>
    <row r="354" spans="1:255" x14ac:dyDescent="0.2">
      <c r="A354" s="5">
        <v>50</v>
      </c>
      <c r="B354" s="5">
        <v>0</v>
      </c>
      <c r="C354" s="5">
        <v>0</v>
      </c>
      <c r="D354" s="5">
        <v>1</v>
      </c>
      <c r="E354" s="5">
        <v>206</v>
      </c>
      <c r="F354" s="5">
        <f>ROUND(Source!T333,O354)</f>
        <v>0</v>
      </c>
      <c r="G354" s="5" t="s">
        <v>141</v>
      </c>
      <c r="H354" s="5" t="s">
        <v>142</v>
      </c>
      <c r="I354" s="5"/>
      <c r="J354" s="5"/>
      <c r="K354" s="5">
        <v>206</v>
      </c>
      <c r="L354" s="5">
        <v>20</v>
      </c>
      <c r="M354" s="5">
        <v>3</v>
      </c>
      <c r="N354" s="5" t="s">
        <v>3</v>
      </c>
      <c r="O354" s="5">
        <v>2</v>
      </c>
      <c r="P354" s="5">
        <f>ROUND(Source!DL333,O354)</f>
        <v>0</v>
      </c>
      <c r="Q354" s="5"/>
      <c r="R354" s="5"/>
      <c r="S354" s="5"/>
      <c r="T354" s="5"/>
      <c r="U354" s="5"/>
      <c r="V354" s="5"/>
      <c r="W354" s="5">
        <v>0</v>
      </c>
      <c r="X354" s="5">
        <v>1</v>
      </c>
      <c r="Y354" s="5">
        <v>0</v>
      </c>
      <c r="Z354" s="5">
        <v>0</v>
      </c>
      <c r="AA354" s="5">
        <v>1</v>
      </c>
      <c r="AB354" s="5">
        <v>0</v>
      </c>
    </row>
    <row r="355" spans="1:255" x14ac:dyDescent="0.2">
      <c r="A355" s="5">
        <v>50</v>
      </c>
      <c r="B355" s="5">
        <v>0</v>
      </c>
      <c r="C355" s="5">
        <v>0</v>
      </c>
      <c r="D355" s="5">
        <v>1</v>
      </c>
      <c r="E355" s="5">
        <v>207</v>
      </c>
      <c r="F355" s="5">
        <f>Source!U333</f>
        <v>17.500555800000001</v>
      </c>
      <c r="G355" s="5" t="s">
        <v>143</v>
      </c>
      <c r="H355" s="5" t="s">
        <v>144</v>
      </c>
      <c r="I355" s="5"/>
      <c r="J355" s="5"/>
      <c r="K355" s="5">
        <v>207</v>
      </c>
      <c r="L355" s="5">
        <v>21</v>
      </c>
      <c r="M355" s="5">
        <v>3</v>
      </c>
      <c r="N355" s="5" t="s">
        <v>3</v>
      </c>
      <c r="O355" s="5">
        <v>-1</v>
      </c>
      <c r="P355" s="5">
        <f>Source!DM333</f>
        <v>17.500555800000001</v>
      </c>
      <c r="Q355" s="5"/>
      <c r="R355" s="5"/>
      <c r="S355" s="5"/>
      <c r="T355" s="5"/>
      <c r="U355" s="5"/>
      <c r="V355" s="5"/>
      <c r="W355" s="5">
        <v>17.500555800000001</v>
      </c>
      <c r="X355" s="5">
        <v>1</v>
      </c>
      <c r="Y355" s="5">
        <v>17.500555800000001</v>
      </c>
      <c r="Z355" s="5">
        <v>17.500555800000001</v>
      </c>
      <c r="AA355" s="5">
        <v>1</v>
      </c>
      <c r="AB355" s="5">
        <v>17.500555800000001</v>
      </c>
    </row>
    <row r="356" spans="1:255" x14ac:dyDescent="0.2">
      <c r="A356" s="5">
        <v>50</v>
      </c>
      <c r="B356" s="5">
        <v>0</v>
      </c>
      <c r="C356" s="5">
        <v>0</v>
      </c>
      <c r="D356" s="5">
        <v>1</v>
      </c>
      <c r="E356" s="5">
        <v>208</v>
      </c>
      <c r="F356" s="5">
        <f>Source!V333</f>
        <v>0</v>
      </c>
      <c r="G356" s="5" t="s">
        <v>145</v>
      </c>
      <c r="H356" s="5" t="s">
        <v>146</v>
      </c>
      <c r="I356" s="5"/>
      <c r="J356" s="5"/>
      <c r="K356" s="5">
        <v>208</v>
      </c>
      <c r="L356" s="5">
        <v>22</v>
      </c>
      <c r="M356" s="5">
        <v>3</v>
      </c>
      <c r="N356" s="5" t="s">
        <v>3</v>
      </c>
      <c r="O356" s="5">
        <v>-1</v>
      </c>
      <c r="P356" s="5">
        <f>Source!DN333</f>
        <v>0</v>
      </c>
      <c r="Q356" s="5"/>
      <c r="R356" s="5"/>
      <c r="S356" s="5"/>
      <c r="T356" s="5"/>
      <c r="U356" s="5"/>
      <c r="V356" s="5"/>
      <c r="W356" s="5">
        <v>0</v>
      </c>
      <c r="X356" s="5">
        <v>1</v>
      </c>
      <c r="Y356" s="5">
        <v>0</v>
      </c>
      <c r="Z356" s="5">
        <v>0</v>
      </c>
      <c r="AA356" s="5">
        <v>1</v>
      </c>
      <c r="AB356" s="5">
        <v>0</v>
      </c>
    </row>
    <row r="357" spans="1:255" x14ac:dyDescent="0.2">
      <c r="A357" s="5">
        <v>50</v>
      </c>
      <c r="B357" s="5">
        <v>0</v>
      </c>
      <c r="C357" s="5">
        <v>0</v>
      </c>
      <c r="D357" s="5">
        <v>1</v>
      </c>
      <c r="E357" s="5">
        <v>209</v>
      </c>
      <c r="F357" s="5">
        <f>ROUND(Source!W333,O357)</f>
        <v>0</v>
      </c>
      <c r="G357" s="5" t="s">
        <v>147</v>
      </c>
      <c r="H357" s="5" t="s">
        <v>148</v>
      </c>
      <c r="I357" s="5"/>
      <c r="J357" s="5"/>
      <c r="K357" s="5">
        <v>209</v>
      </c>
      <c r="L357" s="5">
        <v>23</v>
      </c>
      <c r="M357" s="5">
        <v>3</v>
      </c>
      <c r="N357" s="5" t="s">
        <v>3</v>
      </c>
      <c r="O357" s="5">
        <v>2</v>
      </c>
      <c r="P357" s="5">
        <f>ROUND(Source!DO333,O357)</f>
        <v>0</v>
      </c>
      <c r="Q357" s="5"/>
      <c r="R357" s="5"/>
      <c r="S357" s="5"/>
      <c r="T357" s="5"/>
      <c r="U357" s="5"/>
      <c r="V357" s="5"/>
      <c r="W357" s="5">
        <v>0</v>
      </c>
      <c r="X357" s="5">
        <v>1</v>
      </c>
      <c r="Y357" s="5">
        <v>0</v>
      </c>
      <c r="Z357" s="5">
        <v>0</v>
      </c>
      <c r="AA357" s="5">
        <v>1</v>
      </c>
      <c r="AB357" s="5">
        <v>0</v>
      </c>
    </row>
    <row r="358" spans="1:255" x14ac:dyDescent="0.2">
      <c r="A358" s="5">
        <v>50</v>
      </c>
      <c r="B358" s="5">
        <v>0</v>
      </c>
      <c r="C358" s="5">
        <v>0</v>
      </c>
      <c r="D358" s="5">
        <v>1</v>
      </c>
      <c r="E358" s="5">
        <v>233</v>
      </c>
      <c r="F358" s="5">
        <f>ROUND(Source!BD333,O358)</f>
        <v>0</v>
      </c>
      <c r="G358" s="5" t="s">
        <v>149</v>
      </c>
      <c r="H358" s="5" t="s">
        <v>150</v>
      </c>
      <c r="I358" s="5"/>
      <c r="J358" s="5"/>
      <c r="K358" s="5">
        <v>233</v>
      </c>
      <c r="L358" s="5">
        <v>24</v>
      </c>
      <c r="M358" s="5">
        <v>3</v>
      </c>
      <c r="N358" s="5" t="s">
        <v>3</v>
      </c>
      <c r="O358" s="5">
        <v>2</v>
      </c>
      <c r="P358" s="5">
        <f>ROUND(Source!EV333,O358)</f>
        <v>0</v>
      </c>
      <c r="Q358" s="5"/>
      <c r="R358" s="5"/>
      <c r="S358" s="5"/>
      <c r="T358" s="5"/>
      <c r="U358" s="5"/>
      <c r="V358" s="5"/>
      <c r="W358" s="5">
        <v>0</v>
      </c>
      <c r="X358" s="5">
        <v>1</v>
      </c>
      <c r="Y358" s="5">
        <v>0</v>
      </c>
      <c r="Z358" s="5">
        <v>0</v>
      </c>
      <c r="AA358" s="5">
        <v>1</v>
      </c>
      <c r="AB358" s="5">
        <v>0</v>
      </c>
    </row>
    <row r="359" spans="1:255" x14ac:dyDescent="0.2">
      <c r="A359" s="5">
        <v>50</v>
      </c>
      <c r="B359" s="5">
        <v>0</v>
      </c>
      <c r="C359" s="5">
        <v>0</v>
      </c>
      <c r="D359" s="5">
        <v>1</v>
      </c>
      <c r="E359" s="5">
        <v>210</v>
      </c>
      <c r="F359" s="5">
        <f>ROUND(Source!X333,O359)</f>
        <v>345.04</v>
      </c>
      <c r="G359" s="5" t="s">
        <v>151</v>
      </c>
      <c r="H359" s="5" t="s">
        <v>152</v>
      </c>
      <c r="I359" s="5"/>
      <c r="J359" s="5"/>
      <c r="K359" s="5">
        <v>210</v>
      </c>
      <c r="L359" s="5">
        <v>25</v>
      </c>
      <c r="M359" s="5">
        <v>3</v>
      </c>
      <c r="N359" s="5" t="s">
        <v>3</v>
      </c>
      <c r="O359" s="5">
        <v>2</v>
      </c>
      <c r="P359" s="5">
        <f>ROUND(Source!DP333,O359)</f>
        <v>6685.81</v>
      </c>
      <c r="Q359" s="5"/>
      <c r="R359" s="5"/>
      <c r="S359" s="5"/>
      <c r="T359" s="5"/>
      <c r="U359" s="5"/>
      <c r="V359" s="5"/>
      <c r="W359" s="5">
        <v>345.04</v>
      </c>
      <c r="X359" s="5">
        <v>1</v>
      </c>
      <c r="Y359" s="5">
        <v>345.04</v>
      </c>
      <c r="Z359" s="5">
        <v>6685.81</v>
      </c>
      <c r="AA359" s="5">
        <v>1</v>
      </c>
      <c r="AB359" s="5">
        <v>6685.81</v>
      </c>
    </row>
    <row r="360" spans="1:255" x14ac:dyDescent="0.2">
      <c r="A360" s="5">
        <v>50</v>
      </c>
      <c r="B360" s="5">
        <v>0</v>
      </c>
      <c r="C360" s="5">
        <v>0</v>
      </c>
      <c r="D360" s="5">
        <v>1</v>
      </c>
      <c r="E360" s="5">
        <v>211</v>
      </c>
      <c r="F360" s="5">
        <f>ROUND(Source!Y333,O360)</f>
        <v>186.36</v>
      </c>
      <c r="G360" s="5" t="s">
        <v>153</v>
      </c>
      <c r="H360" s="5" t="s">
        <v>154</v>
      </c>
      <c r="I360" s="5"/>
      <c r="J360" s="5"/>
      <c r="K360" s="5">
        <v>211</v>
      </c>
      <c r="L360" s="5">
        <v>26</v>
      </c>
      <c r="M360" s="5">
        <v>3</v>
      </c>
      <c r="N360" s="5" t="s">
        <v>3</v>
      </c>
      <c r="O360" s="5">
        <v>2</v>
      </c>
      <c r="P360" s="5">
        <f>ROUND(Source!DQ333,O360)</f>
        <v>3056.36</v>
      </c>
      <c r="Q360" s="5"/>
      <c r="R360" s="5"/>
      <c r="S360" s="5"/>
      <c r="T360" s="5"/>
      <c r="U360" s="5"/>
      <c r="V360" s="5"/>
      <c r="W360" s="5">
        <v>186.36</v>
      </c>
      <c r="X360" s="5">
        <v>1</v>
      </c>
      <c r="Y360" s="5">
        <v>186.36</v>
      </c>
      <c r="Z360" s="5">
        <v>3056.36</v>
      </c>
      <c r="AA360" s="5">
        <v>1</v>
      </c>
      <c r="AB360" s="5">
        <v>3056.36</v>
      </c>
    </row>
    <row r="361" spans="1:255" x14ac:dyDescent="0.2">
      <c r="A361" s="5">
        <v>50</v>
      </c>
      <c r="B361" s="5">
        <v>0</v>
      </c>
      <c r="C361" s="5">
        <v>0</v>
      </c>
      <c r="D361" s="5">
        <v>1</v>
      </c>
      <c r="E361" s="5">
        <v>224</v>
      </c>
      <c r="F361" s="5">
        <f>ROUND(Source!AR333,O361)</f>
        <v>1685.23</v>
      </c>
      <c r="G361" s="5" t="s">
        <v>155</v>
      </c>
      <c r="H361" s="5" t="s">
        <v>156</v>
      </c>
      <c r="I361" s="5"/>
      <c r="J361" s="5"/>
      <c r="K361" s="5">
        <v>224</v>
      </c>
      <c r="L361" s="5">
        <v>27</v>
      </c>
      <c r="M361" s="5">
        <v>3</v>
      </c>
      <c r="N361" s="5" t="s">
        <v>3</v>
      </c>
      <c r="O361" s="5">
        <v>2</v>
      </c>
      <c r="P361" s="5">
        <f>ROUND(Source!EJ333,O361)</f>
        <v>22553.19</v>
      </c>
      <c r="Q361" s="5"/>
      <c r="R361" s="5"/>
      <c r="S361" s="5"/>
      <c r="T361" s="5"/>
      <c r="U361" s="5"/>
      <c r="V361" s="5"/>
      <c r="W361" s="5">
        <v>1685.23</v>
      </c>
      <c r="X361" s="5">
        <v>1</v>
      </c>
      <c r="Y361" s="5">
        <v>1685.23</v>
      </c>
      <c r="Z361" s="5">
        <v>22553.19</v>
      </c>
      <c r="AA361" s="5">
        <v>1</v>
      </c>
      <c r="AB361" s="5">
        <v>22553.19</v>
      </c>
    </row>
    <row r="363" spans="1:255" x14ac:dyDescent="0.2">
      <c r="A363" s="1">
        <v>5</v>
      </c>
      <c r="B363" s="1">
        <v>1</v>
      </c>
      <c r="C363" s="1"/>
      <c r="D363" s="1">
        <f>ROW(A394)</f>
        <v>394</v>
      </c>
      <c r="E363" s="1"/>
      <c r="F363" s="1" t="s">
        <v>263</v>
      </c>
      <c r="G363" s="1" t="s">
        <v>412</v>
      </c>
      <c r="H363" s="1" t="s">
        <v>3</v>
      </c>
      <c r="I363" s="1">
        <v>0</v>
      </c>
      <c r="J363" s="1"/>
      <c r="K363" s="1">
        <v>0</v>
      </c>
      <c r="L363" s="1"/>
      <c r="M363" s="1" t="s">
        <v>3</v>
      </c>
      <c r="N363" s="1"/>
      <c r="O363" s="1"/>
      <c r="P363" s="1"/>
      <c r="Q363" s="1"/>
      <c r="R363" s="1"/>
      <c r="S363" s="1">
        <v>0</v>
      </c>
      <c r="T363" s="1">
        <v>0</v>
      </c>
      <c r="U363" s="1" t="s">
        <v>3</v>
      </c>
      <c r="V363" s="1">
        <v>0</v>
      </c>
      <c r="W363" s="1"/>
      <c r="X363" s="1"/>
      <c r="Y363" s="1"/>
      <c r="Z363" s="1"/>
      <c r="AA363" s="1"/>
      <c r="AB363" s="1" t="s">
        <v>3</v>
      </c>
      <c r="AC363" s="1" t="s">
        <v>3</v>
      </c>
      <c r="AD363" s="1" t="s">
        <v>3</v>
      </c>
      <c r="AE363" s="1" t="s">
        <v>3</v>
      </c>
      <c r="AF363" s="1" t="s">
        <v>3</v>
      </c>
      <c r="AG363" s="1" t="s">
        <v>3</v>
      </c>
      <c r="AH363" s="1"/>
      <c r="AI363" s="1"/>
      <c r="AJ363" s="1"/>
      <c r="AK363" s="1"/>
      <c r="AL363" s="1"/>
      <c r="AM363" s="1"/>
      <c r="AN363" s="1"/>
      <c r="AO363" s="1"/>
      <c r="AP363" s="1" t="s">
        <v>3</v>
      </c>
      <c r="AQ363" s="1" t="s">
        <v>3</v>
      </c>
      <c r="AR363" s="1" t="s">
        <v>3</v>
      </c>
      <c r="AS363" s="1"/>
      <c r="AT363" s="1"/>
      <c r="AU363" s="1"/>
      <c r="AV363" s="1"/>
      <c r="AW363" s="1"/>
      <c r="AX363" s="1"/>
      <c r="AY363" s="1"/>
      <c r="AZ363" s="1" t="s">
        <v>3</v>
      </c>
      <c r="BA363" s="1"/>
      <c r="BB363" s="1" t="s">
        <v>3</v>
      </c>
      <c r="BC363" s="1" t="s">
        <v>3</v>
      </c>
      <c r="BD363" s="1" t="s">
        <v>3</v>
      </c>
      <c r="BE363" s="1" t="s">
        <v>3</v>
      </c>
      <c r="BF363" s="1" t="s">
        <v>3</v>
      </c>
      <c r="BG363" s="1" t="s">
        <v>3</v>
      </c>
      <c r="BH363" s="1" t="s">
        <v>3</v>
      </c>
      <c r="BI363" s="1" t="s">
        <v>3</v>
      </c>
      <c r="BJ363" s="1" t="s">
        <v>3</v>
      </c>
      <c r="BK363" s="1" t="s">
        <v>3</v>
      </c>
      <c r="BL363" s="1" t="s">
        <v>3</v>
      </c>
      <c r="BM363" s="1" t="s">
        <v>3</v>
      </c>
      <c r="BN363" s="1" t="s">
        <v>3</v>
      </c>
      <c r="BO363" s="1" t="s">
        <v>3</v>
      </c>
      <c r="BP363" s="1" t="s">
        <v>3</v>
      </c>
      <c r="BQ363" s="1"/>
      <c r="BR363" s="1"/>
      <c r="BS363" s="1"/>
      <c r="BT363" s="1"/>
      <c r="BU363" s="1"/>
      <c r="BV363" s="1"/>
      <c r="BW363" s="1"/>
      <c r="BX363" s="1">
        <v>0</v>
      </c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>
        <v>0</v>
      </c>
    </row>
    <row r="365" spans="1:255" x14ac:dyDescent="0.2">
      <c r="A365" s="3">
        <v>52</v>
      </c>
      <c r="B365" s="3">
        <f t="shared" ref="B365:G365" si="296">B394</f>
        <v>1</v>
      </c>
      <c r="C365" s="3">
        <f t="shared" si="296"/>
        <v>5</v>
      </c>
      <c r="D365" s="3">
        <f t="shared" si="296"/>
        <v>363</v>
      </c>
      <c r="E365" s="3">
        <f t="shared" si="296"/>
        <v>0</v>
      </c>
      <c r="F365" s="3" t="str">
        <f t="shared" si="296"/>
        <v>Новый подраздел</v>
      </c>
      <c r="G365" s="3" t="str">
        <f t="shared" si="296"/>
        <v>Тротуарная плитка</v>
      </c>
      <c r="H365" s="3"/>
      <c r="I365" s="3"/>
      <c r="J365" s="3"/>
      <c r="K365" s="3"/>
      <c r="L365" s="3"/>
      <c r="M365" s="3"/>
      <c r="N365" s="3"/>
      <c r="O365" s="3">
        <f t="shared" ref="O365:AT365" si="297">O394</f>
        <v>0</v>
      </c>
      <c r="P365" s="3">
        <f t="shared" si="297"/>
        <v>0</v>
      </c>
      <c r="Q365" s="3">
        <f t="shared" si="297"/>
        <v>0</v>
      </c>
      <c r="R365" s="3">
        <f t="shared" si="297"/>
        <v>0</v>
      </c>
      <c r="S365" s="3">
        <f t="shared" si="297"/>
        <v>0</v>
      </c>
      <c r="T365" s="3">
        <f t="shared" si="297"/>
        <v>0</v>
      </c>
      <c r="U365" s="3">
        <f t="shared" si="297"/>
        <v>0</v>
      </c>
      <c r="V365" s="3">
        <f t="shared" si="297"/>
        <v>0</v>
      </c>
      <c r="W365" s="3">
        <f t="shared" si="297"/>
        <v>0</v>
      </c>
      <c r="X365" s="3">
        <f t="shared" si="297"/>
        <v>0</v>
      </c>
      <c r="Y365" s="3">
        <f t="shared" si="297"/>
        <v>0</v>
      </c>
      <c r="Z365" s="3">
        <f t="shared" si="297"/>
        <v>0</v>
      </c>
      <c r="AA365" s="3">
        <f t="shared" si="297"/>
        <v>0</v>
      </c>
      <c r="AB365" s="3">
        <f t="shared" si="297"/>
        <v>0</v>
      </c>
      <c r="AC365" s="3">
        <f t="shared" si="297"/>
        <v>0</v>
      </c>
      <c r="AD365" s="3">
        <f t="shared" si="297"/>
        <v>0</v>
      </c>
      <c r="AE365" s="3">
        <f t="shared" si="297"/>
        <v>0</v>
      </c>
      <c r="AF365" s="3">
        <f t="shared" si="297"/>
        <v>0</v>
      </c>
      <c r="AG365" s="3">
        <f t="shared" si="297"/>
        <v>0</v>
      </c>
      <c r="AH365" s="3">
        <f t="shared" si="297"/>
        <v>0</v>
      </c>
      <c r="AI365" s="3">
        <f t="shared" si="297"/>
        <v>0</v>
      </c>
      <c r="AJ365" s="3">
        <f t="shared" si="297"/>
        <v>0</v>
      </c>
      <c r="AK365" s="3">
        <f t="shared" si="297"/>
        <v>0</v>
      </c>
      <c r="AL365" s="3">
        <f t="shared" si="297"/>
        <v>0</v>
      </c>
      <c r="AM365" s="3">
        <f t="shared" si="297"/>
        <v>0</v>
      </c>
      <c r="AN365" s="3">
        <f t="shared" si="297"/>
        <v>0</v>
      </c>
      <c r="AO365" s="3">
        <f t="shared" si="297"/>
        <v>0</v>
      </c>
      <c r="AP365" s="3">
        <f t="shared" si="297"/>
        <v>0</v>
      </c>
      <c r="AQ365" s="3">
        <f t="shared" si="297"/>
        <v>0</v>
      </c>
      <c r="AR365" s="3">
        <f t="shared" si="297"/>
        <v>0</v>
      </c>
      <c r="AS365" s="3">
        <f t="shared" si="297"/>
        <v>0</v>
      </c>
      <c r="AT365" s="3">
        <f t="shared" si="297"/>
        <v>0</v>
      </c>
      <c r="AU365" s="3">
        <f t="shared" ref="AU365:BZ365" si="298">AU394</f>
        <v>0</v>
      </c>
      <c r="AV365" s="3">
        <f t="shared" si="298"/>
        <v>0</v>
      </c>
      <c r="AW365" s="3">
        <f t="shared" si="298"/>
        <v>0</v>
      </c>
      <c r="AX365" s="3">
        <f t="shared" si="298"/>
        <v>0</v>
      </c>
      <c r="AY365" s="3">
        <f t="shared" si="298"/>
        <v>0</v>
      </c>
      <c r="AZ365" s="3">
        <f t="shared" si="298"/>
        <v>0</v>
      </c>
      <c r="BA365" s="3">
        <f t="shared" si="298"/>
        <v>0</v>
      </c>
      <c r="BB365" s="3">
        <f t="shared" si="298"/>
        <v>0</v>
      </c>
      <c r="BC365" s="3">
        <f t="shared" si="298"/>
        <v>0</v>
      </c>
      <c r="BD365" s="3">
        <f t="shared" si="298"/>
        <v>0</v>
      </c>
      <c r="BE365" s="3">
        <f t="shared" si="298"/>
        <v>0</v>
      </c>
      <c r="BF365" s="3">
        <f t="shared" si="298"/>
        <v>0</v>
      </c>
      <c r="BG365" s="3">
        <f t="shared" si="298"/>
        <v>0</v>
      </c>
      <c r="BH365" s="3">
        <f t="shared" si="298"/>
        <v>0</v>
      </c>
      <c r="BI365" s="3">
        <f t="shared" si="298"/>
        <v>0</v>
      </c>
      <c r="BJ365" s="3">
        <f t="shared" si="298"/>
        <v>0</v>
      </c>
      <c r="BK365" s="3">
        <f t="shared" si="298"/>
        <v>0</v>
      </c>
      <c r="BL365" s="3">
        <f t="shared" si="298"/>
        <v>0</v>
      </c>
      <c r="BM365" s="3">
        <f t="shared" si="298"/>
        <v>0</v>
      </c>
      <c r="BN365" s="3">
        <f t="shared" si="298"/>
        <v>0</v>
      </c>
      <c r="BO365" s="3">
        <f t="shared" si="298"/>
        <v>0</v>
      </c>
      <c r="BP365" s="3">
        <f t="shared" si="298"/>
        <v>0</v>
      </c>
      <c r="BQ365" s="3">
        <f t="shared" si="298"/>
        <v>0</v>
      </c>
      <c r="BR365" s="3">
        <f t="shared" si="298"/>
        <v>0</v>
      </c>
      <c r="BS365" s="3">
        <f t="shared" si="298"/>
        <v>0</v>
      </c>
      <c r="BT365" s="3">
        <f t="shared" si="298"/>
        <v>0</v>
      </c>
      <c r="BU365" s="3">
        <f t="shared" si="298"/>
        <v>0</v>
      </c>
      <c r="BV365" s="3">
        <f t="shared" si="298"/>
        <v>0</v>
      </c>
      <c r="BW365" s="3">
        <f t="shared" si="298"/>
        <v>0</v>
      </c>
      <c r="BX365" s="3">
        <f t="shared" si="298"/>
        <v>0</v>
      </c>
      <c r="BY365" s="3">
        <f t="shared" si="298"/>
        <v>0</v>
      </c>
      <c r="BZ365" s="3">
        <f t="shared" si="298"/>
        <v>0</v>
      </c>
      <c r="CA365" s="3">
        <f t="shared" ref="CA365:DF365" si="299">CA394</f>
        <v>0</v>
      </c>
      <c r="CB365" s="3">
        <f t="shared" si="299"/>
        <v>0</v>
      </c>
      <c r="CC365" s="3">
        <f t="shared" si="299"/>
        <v>0</v>
      </c>
      <c r="CD365" s="3">
        <f t="shared" si="299"/>
        <v>0</v>
      </c>
      <c r="CE365" s="3">
        <f t="shared" si="299"/>
        <v>0</v>
      </c>
      <c r="CF365" s="3">
        <f t="shared" si="299"/>
        <v>0</v>
      </c>
      <c r="CG365" s="3">
        <f t="shared" si="299"/>
        <v>0</v>
      </c>
      <c r="CH365" s="3">
        <f t="shared" si="299"/>
        <v>0</v>
      </c>
      <c r="CI365" s="3">
        <f t="shared" si="299"/>
        <v>0</v>
      </c>
      <c r="CJ365" s="3">
        <f t="shared" si="299"/>
        <v>0</v>
      </c>
      <c r="CK365" s="3">
        <f t="shared" si="299"/>
        <v>0</v>
      </c>
      <c r="CL365" s="3">
        <f t="shared" si="299"/>
        <v>0</v>
      </c>
      <c r="CM365" s="3">
        <f t="shared" si="299"/>
        <v>0</v>
      </c>
      <c r="CN365" s="3">
        <f t="shared" si="299"/>
        <v>0</v>
      </c>
      <c r="CO365" s="3">
        <f t="shared" si="299"/>
        <v>0</v>
      </c>
      <c r="CP365" s="3">
        <f t="shared" si="299"/>
        <v>0</v>
      </c>
      <c r="CQ365" s="3">
        <f t="shared" si="299"/>
        <v>0</v>
      </c>
      <c r="CR365" s="3">
        <f t="shared" si="299"/>
        <v>0</v>
      </c>
      <c r="CS365" s="3">
        <f t="shared" si="299"/>
        <v>0</v>
      </c>
      <c r="CT365" s="3">
        <f t="shared" si="299"/>
        <v>0</v>
      </c>
      <c r="CU365" s="3">
        <f t="shared" si="299"/>
        <v>0</v>
      </c>
      <c r="CV365" s="3">
        <f t="shared" si="299"/>
        <v>0</v>
      </c>
      <c r="CW365" s="3">
        <f t="shared" si="299"/>
        <v>0</v>
      </c>
      <c r="CX365" s="3">
        <f t="shared" si="299"/>
        <v>0</v>
      </c>
      <c r="CY365" s="3">
        <f t="shared" si="299"/>
        <v>0</v>
      </c>
      <c r="CZ365" s="3">
        <f t="shared" si="299"/>
        <v>0</v>
      </c>
      <c r="DA365" s="3">
        <f t="shared" si="299"/>
        <v>0</v>
      </c>
      <c r="DB365" s="3">
        <f t="shared" si="299"/>
        <v>0</v>
      </c>
      <c r="DC365" s="3">
        <f t="shared" si="299"/>
        <v>0</v>
      </c>
      <c r="DD365" s="3">
        <f t="shared" si="299"/>
        <v>0</v>
      </c>
      <c r="DE365" s="3">
        <f t="shared" si="299"/>
        <v>0</v>
      </c>
      <c r="DF365" s="3">
        <f t="shared" si="299"/>
        <v>0</v>
      </c>
      <c r="DG365" s="4">
        <f t="shared" ref="DG365:EL365" si="300">DG394</f>
        <v>0</v>
      </c>
      <c r="DH365" s="4">
        <f t="shared" si="300"/>
        <v>0</v>
      </c>
      <c r="DI365" s="4">
        <f t="shared" si="300"/>
        <v>0</v>
      </c>
      <c r="DJ365" s="4">
        <f t="shared" si="300"/>
        <v>0</v>
      </c>
      <c r="DK365" s="4">
        <f t="shared" si="300"/>
        <v>0</v>
      </c>
      <c r="DL365" s="4">
        <f t="shared" si="300"/>
        <v>0</v>
      </c>
      <c r="DM365" s="4">
        <f t="shared" si="300"/>
        <v>0</v>
      </c>
      <c r="DN365" s="4">
        <f t="shared" si="300"/>
        <v>0</v>
      </c>
      <c r="DO365" s="4">
        <f t="shared" si="300"/>
        <v>0</v>
      </c>
      <c r="DP365" s="4">
        <f t="shared" si="300"/>
        <v>0</v>
      </c>
      <c r="DQ365" s="4">
        <f t="shared" si="300"/>
        <v>0</v>
      </c>
      <c r="DR365" s="4">
        <f t="shared" si="300"/>
        <v>0</v>
      </c>
      <c r="DS365" s="4">
        <f t="shared" si="300"/>
        <v>0</v>
      </c>
      <c r="DT365" s="4">
        <f t="shared" si="300"/>
        <v>0</v>
      </c>
      <c r="DU365" s="4">
        <f t="shared" si="300"/>
        <v>0</v>
      </c>
      <c r="DV365" s="4">
        <f t="shared" si="300"/>
        <v>0</v>
      </c>
      <c r="DW365" s="4">
        <f t="shared" si="300"/>
        <v>0</v>
      </c>
      <c r="DX365" s="4">
        <f t="shared" si="300"/>
        <v>0</v>
      </c>
      <c r="DY365" s="4">
        <f t="shared" si="300"/>
        <v>0</v>
      </c>
      <c r="DZ365" s="4">
        <f t="shared" si="300"/>
        <v>0</v>
      </c>
      <c r="EA365" s="4">
        <f t="shared" si="300"/>
        <v>0</v>
      </c>
      <c r="EB365" s="4">
        <f t="shared" si="300"/>
        <v>0</v>
      </c>
      <c r="EC365" s="4">
        <f t="shared" si="300"/>
        <v>0</v>
      </c>
      <c r="ED365" s="4">
        <f t="shared" si="300"/>
        <v>0</v>
      </c>
      <c r="EE365" s="4">
        <f t="shared" si="300"/>
        <v>0</v>
      </c>
      <c r="EF365" s="4">
        <f t="shared" si="300"/>
        <v>0</v>
      </c>
      <c r="EG365" s="4">
        <f t="shared" si="300"/>
        <v>0</v>
      </c>
      <c r="EH365" s="4">
        <f t="shared" si="300"/>
        <v>0</v>
      </c>
      <c r="EI365" s="4">
        <f t="shared" si="300"/>
        <v>0</v>
      </c>
      <c r="EJ365" s="4">
        <f t="shared" si="300"/>
        <v>0</v>
      </c>
      <c r="EK365" s="4">
        <f t="shared" si="300"/>
        <v>0</v>
      </c>
      <c r="EL365" s="4">
        <f t="shared" si="300"/>
        <v>0</v>
      </c>
      <c r="EM365" s="4">
        <f t="shared" ref="EM365:FR365" si="301">EM394</f>
        <v>0</v>
      </c>
      <c r="EN365" s="4">
        <f t="shared" si="301"/>
        <v>0</v>
      </c>
      <c r="EO365" s="4">
        <f t="shared" si="301"/>
        <v>0</v>
      </c>
      <c r="EP365" s="4">
        <f t="shared" si="301"/>
        <v>0</v>
      </c>
      <c r="EQ365" s="4">
        <f t="shared" si="301"/>
        <v>0</v>
      </c>
      <c r="ER365" s="4">
        <f t="shared" si="301"/>
        <v>0</v>
      </c>
      <c r="ES365" s="4">
        <f t="shared" si="301"/>
        <v>0</v>
      </c>
      <c r="ET365" s="4">
        <f t="shared" si="301"/>
        <v>0</v>
      </c>
      <c r="EU365" s="4">
        <f t="shared" si="301"/>
        <v>0</v>
      </c>
      <c r="EV365" s="4">
        <f t="shared" si="301"/>
        <v>0</v>
      </c>
      <c r="EW365" s="4">
        <f t="shared" si="301"/>
        <v>0</v>
      </c>
      <c r="EX365" s="4">
        <f t="shared" si="301"/>
        <v>0</v>
      </c>
      <c r="EY365" s="4">
        <f t="shared" si="301"/>
        <v>0</v>
      </c>
      <c r="EZ365" s="4">
        <f t="shared" si="301"/>
        <v>0</v>
      </c>
      <c r="FA365" s="4">
        <f t="shared" si="301"/>
        <v>0</v>
      </c>
      <c r="FB365" s="4">
        <f t="shared" si="301"/>
        <v>0</v>
      </c>
      <c r="FC365" s="4">
        <f t="shared" si="301"/>
        <v>0</v>
      </c>
      <c r="FD365" s="4">
        <f t="shared" si="301"/>
        <v>0</v>
      </c>
      <c r="FE365" s="4">
        <f t="shared" si="301"/>
        <v>0</v>
      </c>
      <c r="FF365" s="4">
        <f t="shared" si="301"/>
        <v>0</v>
      </c>
      <c r="FG365" s="4">
        <f t="shared" si="301"/>
        <v>0</v>
      </c>
      <c r="FH365" s="4">
        <f t="shared" si="301"/>
        <v>0</v>
      </c>
      <c r="FI365" s="4">
        <f t="shared" si="301"/>
        <v>0</v>
      </c>
      <c r="FJ365" s="4">
        <f t="shared" si="301"/>
        <v>0</v>
      </c>
      <c r="FK365" s="4">
        <f t="shared" si="301"/>
        <v>0</v>
      </c>
      <c r="FL365" s="4">
        <f t="shared" si="301"/>
        <v>0</v>
      </c>
      <c r="FM365" s="4">
        <f t="shared" si="301"/>
        <v>0</v>
      </c>
      <c r="FN365" s="4">
        <f t="shared" si="301"/>
        <v>0</v>
      </c>
      <c r="FO365" s="4">
        <f t="shared" si="301"/>
        <v>0</v>
      </c>
      <c r="FP365" s="4">
        <f t="shared" si="301"/>
        <v>0</v>
      </c>
      <c r="FQ365" s="4">
        <f t="shared" si="301"/>
        <v>0</v>
      </c>
      <c r="FR365" s="4">
        <f t="shared" si="301"/>
        <v>0</v>
      </c>
      <c r="FS365" s="4">
        <f t="shared" ref="FS365:GX365" si="302">FS394</f>
        <v>0</v>
      </c>
      <c r="FT365" s="4">
        <f t="shared" si="302"/>
        <v>0</v>
      </c>
      <c r="FU365" s="4">
        <f t="shared" si="302"/>
        <v>0</v>
      </c>
      <c r="FV365" s="4">
        <f t="shared" si="302"/>
        <v>0</v>
      </c>
      <c r="FW365" s="4">
        <f t="shared" si="302"/>
        <v>0</v>
      </c>
      <c r="FX365" s="4">
        <f t="shared" si="302"/>
        <v>0</v>
      </c>
      <c r="FY365" s="4">
        <f t="shared" si="302"/>
        <v>0</v>
      </c>
      <c r="FZ365" s="4">
        <f t="shared" si="302"/>
        <v>0</v>
      </c>
      <c r="GA365" s="4">
        <f t="shared" si="302"/>
        <v>0</v>
      </c>
      <c r="GB365" s="4">
        <f t="shared" si="302"/>
        <v>0</v>
      </c>
      <c r="GC365" s="4">
        <f t="shared" si="302"/>
        <v>0</v>
      </c>
      <c r="GD365" s="4">
        <f t="shared" si="302"/>
        <v>0</v>
      </c>
      <c r="GE365" s="4">
        <f t="shared" si="302"/>
        <v>0</v>
      </c>
      <c r="GF365" s="4">
        <f t="shared" si="302"/>
        <v>0</v>
      </c>
      <c r="GG365" s="4">
        <f t="shared" si="302"/>
        <v>0</v>
      </c>
      <c r="GH365" s="4">
        <f t="shared" si="302"/>
        <v>0</v>
      </c>
      <c r="GI365" s="4">
        <f t="shared" si="302"/>
        <v>0</v>
      </c>
      <c r="GJ365" s="4">
        <f t="shared" si="302"/>
        <v>0</v>
      </c>
      <c r="GK365" s="4">
        <f t="shared" si="302"/>
        <v>0</v>
      </c>
      <c r="GL365" s="4">
        <f t="shared" si="302"/>
        <v>0</v>
      </c>
      <c r="GM365" s="4">
        <f t="shared" si="302"/>
        <v>0</v>
      </c>
      <c r="GN365" s="4">
        <f t="shared" si="302"/>
        <v>0</v>
      </c>
      <c r="GO365" s="4">
        <f t="shared" si="302"/>
        <v>0</v>
      </c>
      <c r="GP365" s="4">
        <f t="shared" si="302"/>
        <v>0</v>
      </c>
      <c r="GQ365" s="4">
        <f t="shared" si="302"/>
        <v>0</v>
      </c>
      <c r="GR365" s="4">
        <f t="shared" si="302"/>
        <v>0</v>
      </c>
      <c r="GS365" s="4">
        <f t="shared" si="302"/>
        <v>0</v>
      </c>
      <c r="GT365" s="4">
        <f t="shared" si="302"/>
        <v>0</v>
      </c>
      <c r="GU365" s="4">
        <f t="shared" si="302"/>
        <v>0</v>
      </c>
      <c r="GV365" s="4">
        <f t="shared" si="302"/>
        <v>0</v>
      </c>
      <c r="GW365" s="4">
        <f t="shared" si="302"/>
        <v>0</v>
      </c>
      <c r="GX365" s="4">
        <f t="shared" si="302"/>
        <v>0</v>
      </c>
    </row>
    <row r="367" spans="1:255" x14ac:dyDescent="0.2">
      <c r="A367" s="2">
        <v>17</v>
      </c>
      <c r="B367" s="2">
        <v>1</v>
      </c>
      <c r="C367" s="2"/>
      <c r="D367" s="2">
        <f>ROW(EtalonRes!A572)</f>
        <v>572</v>
      </c>
      <c r="E367" s="2" t="s">
        <v>413</v>
      </c>
      <c r="F367" s="2" t="s">
        <v>414</v>
      </c>
      <c r="G367" s="2" t="s">
        <v>415</v>
      </c>
      <c r="H367" s="2" t="s">
        <v>386</v>
      </c>
      <c r="I367" s="2">
        <v>0</v>
      </c>
      <c r="J367" s="2">
        <v>0</v>
      </c>
      <c r="K367" s="2">
        <v>0</v>
      </c>
      <c r="L367" s="2"/>
      <c r="M367" s="2"/>
      <c r="N367" s="2"/>
      <c r="O367" s="2">
        <f t="shared" ref="O367:O392" si="303">ROUND(CP367,2)</f>
        <v>0</v>
      </c>
      <c r="P367" s="2">
        <f t="shared" ref="P367:P392" si="304">ROUND((ROUND((AC367*AW367*I367),2)*BC367),2)</f>
        <v>0</v>
      </c>
      <c r="Q367" s="2">
        <f t="shared" ref="Q367:Q376" si="305">(ROUND((ROUND((((ET367*1.05))*AV367*I367),2)*BB367),2)+ROUND((ROUND(((AE367-((EU367*1.05)))*AV367*I367),2)*BS367),2))</f>
        <v>0</v>
      </c>
      <c r="R367" s="2">
        <f t="shared" ref="R367:R392" si="306">ROUND((ROUND((AE367*AV367*I367),2)*BS367),2)</f>
        <v>0</v>
      </c>
      <c r="S367" s="2">
        <f t="shared" ref="S367:S392" si="307">ROUND((ROUND((AF367*AV367*I367),2)*BA367),2)</f>
        <v>0</v>
      </c>
      <c r="T367" s="2">
        <f t="shared" ref="T367:T392" si="308">ROUND(CU367*I367,2)</f>
        <v>0</v>
      </c>
      <c r="U367" s="2">
        <f t="shared" ref="U367:U392" si="309">CV367*I367</f>
        <v>0</v>
      </c>
      <c r="V367" s="2">
        <f t="shared" ref="V367:V392" si="310">CW367*I367</f>
        <v>0</v>
      </c>
      <c r="W367" s="2">
        <f t="shared" ref="W367:W392" si="311">ROUND(CX367*I367,2)</f>
        <v>0</v>
      </c>
      <c r="X367" s="2">
        <f t="shared" ref="X367:X392" si="312">ROUND(CY367,2)</f>
        <v>0</v>
      </c>
      <c r="Y367" s="2">
        <f t="shared" ref="Y367:Y392" si="313">ROUND(CZ367,2)</f>
        <v>0</v>
      </c>
      <c r="Z367" s="2"/>
      <c r="AA367" s="2">
        <v>56622490</v>
      </c>
      <c r="AB367" s="2">
        <f t="shared" ref="AB367:AB392" si="314">ROUND((AC367+AD367+AF367),6)</f>
        <v>319.87200000000001</v>
      </c>
      <c r="AC367" s="2">
        <f t="shared" ref="AC367:AC392" si="315">ROUND((ES367),6)</f>
        <v>0</v>
      </c>
      <c r="AD367" s="2">
        <f t="shared" ref="AD367:AD376" si="316">ROUND(((((ET367*1.05))-((EU367*1.05)))+AE367),6)</f>
        <v>0</v>
      </c>
      <c r="AE367" s="2">
        <f t="shared" ref="AE367:AE376" si="317">ROUND(((EU367*1.05)),6)</f>
        <v>0</v>
      </c>
      <c r="AF367" s="2">
        <f t="shared" ref="AF367:AF376" si="318">ROUND(((EV367*1.05)),6)</f>
        <v>319.87200000000001</v>
      </c>
      <c r="AG367" s="2">
        <f t="shared" ref="AG367:AG392" si="319">ROUND((AP367),6)</f>
        <v>0</v>
      </c>
      <c r="AH367" s="2">
        <f t="shared" ref="AH367:AH376" si="320">((EW367*1.05))</f>
        <v>31.3005</v>
      </c>
      <c r="AI367" s="2">
        <f t="shared" ref="AI367:AI376" si="321">((EX367*1.05))</f>
        <v>0</v>
      </c>
      <c r="AJ367" s="2">
        <f t="shared" ref="AJ367:AJ392" si="322">(AS367)</f>
        <v>0</v>
      </c>
      <c r="AK367" s="2">
        <v>304.64</v>
      </c>
      <c r="AL367" s="2">
        <v>0</v>
      </c>
      <c r="AM367" s="2">
        <v>0</v>
      </c>
      <c r="AN367" s="2">
        <v>0</v>
      </c>
      <c r="AO367" s="2">
        <v>304.64</v>
      </c>
      <c r="AP367" s="2">
        <v>0</v>
      </c>
      <c r="AQ367" s="2">
        <v>29.81</v>
      </c>
      <c r="AR367" s="2">
        <v>0</v>
      </c>
      <c r="AS367" s="2">
        <v>0</v>
      </c>
      <c r="AT367" s="2">
        <v>80</v>
      </c>
      <c r="AU367" s="2">
        <v>55</v>
      </c>
      <c r="AV367" s="2">
        <v>1.0469999999999999</v>
      </c>
      <c r="AW367" s="2">
        <v>1</v>
      </c>
      <c r="AX367" s="2"/>
      <c r="AY367" s="2"/>
      <c r="AZ367" s="2">
        <v>1</v>
      </c>
      <c r="BA367" s="2">
        <v>1</v>
      </c>
      <c r="BB367" s="2">
        <v>1</v>
      </c>
      <c r="BC367" s="2">
        <v>1</v>
      </c>
      <c r="BD367" s="2" t="s">
        <v>3</v>
      </c>
      <c r="BE367" s="2" t="s">
        <v>3</v>
      </c>
      <c r="BF367" s="2" t="s">
        <v>3</v>
      </c>
      <c r="BG367" s="2" t="s">
        <v>3</v>
      </c>
      <c r="BH367" s="2">
        <v>0</v>
      </c>
      <c r="BI367" s="2">
        <v>1</v>
      </c>
      <c r="BJ367" s="2" t="s">
        <v>416</v>
      </c>
      <c r="BK367" s="2"/>
      <c r="BL367" s="2"/>
      <c r="BM367" s="2">
        <v>2224</v>
      </c>
      <c r="BN367" s="2">
        <v>0</v>
      </c>
      <c r="BO367" s="2" t="s">
        <v>3</v>
      </c>
      <c r="BP367" s="2">
        <v>0</v>
      </c>
      <c r="BQ367" s="2">
        <v>60</v>
      </c>
      <c r="BR367" s="2">
        <v>0</v>
      </c>
      <c r="BS367" s="2">
        <v>1</v>
      </c>
      <c r="BT367" s="2">
        <v>1</v>
      </c>
      <c r="BU367" s="2">
        <v>1</v>
      </c>
      <c r="BV367" s="2">
        <v>1</v>
      </c>
      <c r="BW367" s="2">
        <v>1</v>
      </c>
      <c r="BX367" s="2">
        <v>1</v>
      </c>
      <c r="BY367" s="2" t="s">
        <v>3</v>
      </c>
      <c r="BZ367" s="2">
        <v>80</v>
      </c>
      <c r="CA367" s="2">
        <v>55</v>
      </c>
      <c r="CB367" s="2" t="s">
        <v>3</v>
      </c>
      <c r="CC367" s="2"/>
      <c r="CD367" s="2"/>
      <c r="CE367" s="2">
        <v>30</v>
      </c>
      <c r="CF367" s="2">
        <v>0</v>
      </c>
      <c r="CG367" s="2">
        <v>0</v>
      </c>
      <c r="CH367" s="2"/>
      <c r="CI367" s="2"/>
      <c r="CJ367" s="2"/>
      <c r="CK367" s="2"/>
      <c r="CL367" s="2"/>
      <c r="CM367" s="2">
        <v>0</v>
      </c>
      <c r="CN367" s="2" t="s">
        <v>708</v>
      </c>
      <c r="CO367" s="2">
        <v>0</v>
      </c>
      <c r="CP367" s="2">
        <f t="shared" ref="CP367:CP392" si="323">(P367+Q367+S367)</f>
        <v>0</v>
      </c>
      <c r="CQ367" s="2">
        <f t="shared" ref="CQ367:CQ392" si="324">ROUND((ROUND((AC367*AW367*1),2)*BC367),2)</f>
        <v>0</v>
      </c>
      <c r="CR367" s="2">
        <f t="shared" ref="CR367:CR376" si="325">(ROUND((ROUND((((ET367*1.05))*AV367*1),2)*BB367),2)+ROUND((ROUND(((AE367-((EU367*1.05)))*AV367*1),2)*BS367),2))</f>
        <v>0</v>
      </c>
      <c r="CS367" s="2">
        <f t="shared" ref="CS367:CS392" si="326">ROUND((ROUND((AE367*AV367*1),2)*BS367),2)</f>
        <v>0</v>
      </c>
      <c r="CT367" s="2">
        <f t="shared" ref="CT367:CT392" si="327">ROUND((ROUND((AF367*AV367*1),2)*BA367),2)</f>
        <v>334.91</v>
      </c>
      <c r="CU367" s="2">
        <f t="shared" ref="CU367:CU392" si="328">AG367</f>
        <v>0</v>
      </c>
      <c r="CV367" s="2">
        <f t="shared" ref="CV367:CV392" si="329">(AH367*AV367)</f>
        <v>32.771623499999997</v>
      </c>
      <c r="CW367" s="2">
        <f t="shared" ref="CW367:CW392" si="330">AI367</f>
        <v>0</v>
      </c>
      <c r="CX367" s="2">
        <f t="shared" ref="CX367:CX392" si="331">AJ367</f>
        <v>0</v>
      </c>
      <c r="CY367" s="2">
        <f>((S367*BZ367)/100)</f>
        <v>0</v>
      </c>
      <c r="CZ367" s="2">
        <f>((S367*CA367)/100)</f>
        <v>0</v>
      </c>
      <c r="DA367" s="2"/>
      <c r="DB367" s="2">
        <v>127</v>
      </c>
      <c r="DC367" s="2" t="s">
        <v>3</v>
      </c>
      <c r="DD367" s="2" t="s">
        <v>3</v>
      </c>
      <c r="DE367" s="2" t="s">
        <v>22</v>
      </c>
      <c r="DF367" s="2" t="s">
        <v>22</v>
      </c>
      <c r="DG367" s="2" t="s">
        <v>22</v>
      </c>
      <c r="DH367" s="2" t="s">
        <v>3</v>
      </c>
      <c r="DI367" s="2" t="s">
        <v>22</v>
      </c>
      <c r="DJ367" s="2" t="s">
        <v>22</v>
      </c>
      <c r="DK367" s="2" t="s">
        <v>3</v>
      </c>
      <c r="DL367" s="2" t="s">
        <v>3</v>
      </c>
      <c r="DM367" s="2" t="s">
        <v>3</v>
      </c>
      <c r="DN367" s="2">
        <v>0</v>
      </c>
      <c r="DO367" s="2">
        <v>0</v>
      </c>
      <c r="DP367" s="2">
        <v>1</v>
      </c>
      <c r="DQ367" s="2">
        <v>1</v>
      </c>
      <c r="DR367" s="2"/>
      <c r="DS367" s="2"/>
      <c r="DT367" s="2"/>
      <c r="DU367" s="2">
        <v>1005</v>
      </c>
      <c r="DV367" s="2" t="s">
        <v>386</v>
      </c>
      <c r="DW367" s="2" t="s">
        <v>386</v>
      </c>
      <c r="DX367" s="2">
        <v>100</v>
      </c>
      <c r="DY367" s="2"/>
      <c r="DZ367" s="2" t="s">
        <v>3</v>
      </c>
      <c r="EA367" s="2" t="s">
        <v>3</v>
      </c>
      <c r="EB367" s="2" t="s">
        <v>3</v>
      </c>
      <c r="EC367" s="2" t="s">
        <v>3</v>
      </c>
      <c r="ED367" s="2"/>
      <c r="EE367" s="2">
        <v>51698305</v>
      </c>
      <c r="EF367" s="2">
        <v>60</v>
      </c>
      <c r="EG367" s="2" t="s">
        <v>270</v>
      </c>
      <c r="EH367" s="2">
        <v>0</v>
      </c>
      <c r="EI367" s="2" t="s">
        <v>3</v>
      </c>
      <c r="EJ367" s="2">
        <v>1</v>
      </c>
      <c r="EK367" s="2">
        <v>2224</v>
      </c>
      <c r="EL367" s="2" t="s">
        <v>417</v>
      </c>
      <c r="EM367" s="2" t="s">
        <v>418</v>
      </c>
      <c r="EN367" s="2"/>
      <c r="EO367" s="2" t="s">
        <v>26</v>
      </c>
      <c r="EP367" s="2"/>
      <c r="EQ367" s="2">
        <v>131072</v>
      </c>
      <c r="ER367" s="2">
        <v>304.64</v>
      </c>
      <c r="ES367" s="2">
        <v>0</v>
      </c>
      <c r="ET367" s="2">
        <v>0</v>
      </c>
      <c r="EU367" s="2">
        <v>0</v>
      </c>
      <c r="EV367" s="2">
        <v>304.64</v>
      </c>
      <c r="EW367" s="2">
        <v>29.81</v>
      </c>
      <c r="EX367" s="2">
        <v>0</v>
      </c>
      <c r="EY367" s="2">
        <v>0</v>
      </c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>
        <v>0</v>
      </c>
      <c r="FR367" s="2">
        <v>0</v>
      </c>
      <c r="FS367" s="2">
        <v>0</v>
      </c>
      <c r="FT367" s="2"/>
      <c r="FU367" s="2"/>
      <c r="FV367" s="2"/>
      <c r="FW367" s="2"/>
      <c r="FX367" s="2">
        <v>80</v>
      </c>
      <c r="FY367" s="2">
        <v>55</v>
      </c>
      <c r="FZ367" s="2"/>
      <c r="GA367" s="2" t="s">
        <v>3</v>
      </c>
      <c r="GB367" s="2"/>
      <c r="GC367" s="2"/>
      <c r="GD367" s="2">
        <v>0</v>
      </c>
      <c r="GE367" s="2"/>
      <c r="GF367" s="2">
        <v>-1228841174</v>
      </c>
      <c r="GG367" s="2">
        <v>2</v>
      </c>
      <c r="GH367" s="2">
        <v>1</v>
      </c>
      <c r="GI367" s="2">
        <v>-2</v>
      </c>
      <c r="GJ367" s="2">
        <v>0</v>
      </c>
      <c r="GK367" s="2">
        <f>ROUND(R367*(R12)/100,2)</f>
        <v>0</v>
      </c>
      <c r="GL367" s="2">
        <f t="shared" ref="GL367:GL392" si="332">ROUND(IF(AND(BH367=3,BI367=3,FS367&lt;&gt;0),P367,0),2)</f>
        <v>0</v>
      </c>
      <c r="GM367" s="2">
        <f t="shared" ref="GM367:GM392" si="333">ROUND(O367+X367+Y367+GK367,2)+GX367</f>
        <v>0</v>
      </c>
      <c r="GN367" s="2">
        <f t="shared" ref="GN367:GN392" si="334">IF(OR(BI367=0,BI367=1),GM367-GX367,0)</f>
        <v>0</v>
      </c>
      <c r="GO367" s="2">
        <f t="shared" ref="GO367:GO392" si="335">IF(BI367=2,GM367-GX367,0)</f>
        <v>0</v>
      </c>
      <c r="GP367" s="2">
        <f t="shared" ref="GP367:GP392" si="336">IF(BI367=4,GM367-GX367,0)</f>
        <v>0</v>
      </c>
      <c r="GQ367" s="2"/>
      <c r="GR367" s="2">
        <v>0</v>
      </c>
      <c r="GS367" s="2">
        <v>0</v>
      </c>
      <c r="GT367" s="2">
        <v>0</v>
      </c>
      <c r="GU367" s="2" t="s">
        <v>3</v>
      </c>
      <c r="GV367" s="2">
        <f t="shared" ref="GV367:GV392" si="337">ROUND((GT367),6)</f>
        <v>0</v>
      </c>
      <c r="GW367" s="2">
        <v>1</v>
      </c>
      <c r="GX367" s="2">
        <f t="shared" ref="GX367:GX392" si="338">ROUND(HC367*I367,2)</f>
        <v>0</v>
      </c>
      <c r="GY367" s="2"/>
      <c r="GZ367" s="2"/>
      <c r="HA367" s="2">
        <v>0</v>
      </c>
      <c r="HB367" s="2">
        <v>0</v>
      </c>
      <c r="HC367" s="2">
        <f t="shared" ref="HC367:HC392" si="339">GV367*GW367</f>
        <v>0</v>
      </c>
      <c r="HD367" s="2"/>
      <c r="HE367" s="2" t="s">
        <v>3</v>
      </c>
      <c r="HF367" s="2" t="s">
        <v>3</v>
      </c>
      <c r="HG367" s="2"/>
      <c r="HH367" s="2"/>
      <c r="HI367" s="2"/>
      <c r="HJ367" s="2"/>
      <c r="HK367" s="2"/>
      <c r="HL367" s="2"/>
      <c r="HM367" s="2" t="s">
        <v>3</v>
      </c>
      <c r="HN367" s="2" t="s">
        <v>3</v>
      </c>
      <c r="HO367" s="2" t="s">
        <v>3</v>
      </c>
      <c r="HP367" s="2" t="s">
        <v>3</v>
      </c>
      <c r="HQ367" s="2" t="s">
        <v>3</v>
      </c>
      <c r="HR367" s="2"/>
      <c r="HS367" s="2">
        <v>0</v>
      </c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>
        <v>0</v>
      </c>
      <c r="IL367" s="2"/>
      <c r="IM367" s="2"/>
      <c r="IN367" s="2"/>
      <c r="IO367" s="2"/>
      <c r="IP367" s="2"/>
      <c r="IQ367" s="2"/>
      <c r="IR367" s="2"/>
      <c r="IS367" s="2"/>
      <c r="IT367" s="2"/>
      <c r="IU367" s="2"/>
    </row>
    <row r="368" spans="1:255" x14ac:dyDescent="0.2">
      <c r="A368">
        <v>17</v>
      </c>
      <c r="B368">
        <v>1</v>
      </c>
      <c r="D368">
        <f>ROW(EtalonRes!A574)</f>
        <v>574</v>
      </c>
      <c r="E368" t="s">
        <v>413</v>
      </c>
      <c r="F368" t="s">
        <v>414</v>
      </c>
      <c r="G368" t="s">
        <v>415</v>
      </c>
      <c r="H368" t="s">
        <v>386</v>
      </c>
      <c r="I368">
        <v>0</v>
      </c>
      <c r="J368">
        <v>0</v>
      </c>
      <c r="K368">
        <v>0</v>
      </c>
      <c r="O368">
        <f t="shared" si="303"/>
        <v>0</v>
      </c>
      <c r="P368">
        <f t="shared" si="304"/>
        <v>0</v>
      </c>
      <c r="Q368">
        <f t="shared" si="305"/>
        <v>0</v>
      </c>
      <c r="R368">
        <f t="shared" si="306"/>
        <v>0</v>
      </c>
      <c r="S368">
        <f t="shared" si="307"/>
        <v>0</v>
      </c>
      <c r="T368">
        <f t="shared" si="308"/>
        <v>0</v>
      </c>
      <c r="U368">
        <f t="shared" si="309"/>
        <v>0</v>
      </c>
      <c r="V368">
        <f t="shared" si="310"/>
        <v>0</v>
      </c>
      <c r="W368">
        <f t="shared" si="311"/>
        <v>0</v>
      </c>
      <c r="X368">
        <f t="shared" si="312"/>
        <v>0</v>
      </c>
      <c r="Y368">
        <f t="shared" si="313"/>
        <v>0</v>
      </c>
      <c r="AA368">
        <v>56610029</v>
      </c>
      <c r="AB368">
        <f t="shared" si="314"/>
        <v>319.87200000000001</v>
      </c>
      <c r="AC368">
        <f t="shared" si="315"/>
        <v>0</v>
      </c>
      <c r="AD368">
        <f t="shared" si="316"/>
        <v>0</v>
      </c>
      <c r="AE368">
        <f t="shared" si="317"/>
        <v>0</v>
      </c>
      <c r="AF368">
        <f t="shared" si="318"/>
        <v>319.87200000000001</v>
      </c>
      <c r="AG368">
        <f t="shared" si="319"/>
        <v>0</v>
      </c>
      <c r="AH368">
        <f t="shared" si="320"/>
        <v>31.3005</v>
      </c>
      <c r="AI368">
        <f t="shared" si="321"/>
        <v>0</v>
      </c>
      <c r="AJ368">
        <f t="shared" si="322"/>
        <v>0</v>
      </c>
      <c r="AK368">
        <v>304.64</v>
      </c>
      <c r="AL368">
        <v>0</v>
      </c>
      <c r="AM368">
        <v>0</v>
      </c>
      <c r="AN368">
        <v>0</v>
      </c>
      <c r="AO368">
        <v>304.64</v>
      </c>
      <c r="AP368">
        <v>0</v>
      </c>
      <c r="AQ368">
        <v>29.81</v>
      </c>
      <c r="AR368">
        <v>0</v>
      </c>
      <c r="AS368">
        <v>0</v>
      </c>
      <c r="AT368">
        <v>70</v>
      </c>
      <c r="AU368">
        <v>41</v>
      </c>
      <c r="AV368">
        <v>1.0469999999999999</v>
      </c>
      <c r="AW368">
        <v>1</v>
      </c>
      <c r="AZ368">
        <v>1</v>
      </c>
      <c r="BA368">
        <v>34.51</v>
      </c>
      <c r="BB368">
        <v>1</v>
      </c>
      <c r="BC368">
        <v>1</v>
      </c>
      <c r="BD368" t="s">
        <v>3</v>
      </c>
      <c r="BE368" t="s">
        <v>3</v>
      </c>
      <c r="BF368" t="s">
        <v>3</v>
      </c>
      <c r="BG368" t="s">
        <v>3</v>
      </c>
      <c r="BH368">
        <v>0</v>
      </c>
      <c r="BI368">
        <v>1</v>
      </c>
      <c r="BJ368" t="s">
        <v>416</v>
      </c>
      <c r="BM368">
        <v>2224</v>
      </c>
      <c r="BN368">
        <v>0</v>
      </c>
      <c r="BO368" t="s">
        <v>414</v>
      </c>
      <c r="BP368">
        <v>1</v>
      </c>
      <c r="BQ368">
        <v>60</v>
      </c>
      <c r="BR368">
        <v>0</v>
      </c>
      <c r="BS368">
        <v>34.51</v>
      </c>
      <c r="BT368">
        <v>1</v>
      </c>
      <c r="BU368">
        <v>1</v>
      </c>
      <c r="BV368">
        <v>1</v>
      </c>
      <c r="BW368">
        <v>1</v>
      </c>
      <c r="BX368">
        <v>1</v>
      </c>
      <c r="BY368" t="s">
        <v>3</v>
      </c>
      <c r="BZ368">
        <v>70</v>
      </c>
      <c r="CA368">
        <v>41</v>
      </c>
      <c r="CB368" t="s">
        <v>3</v>
      </c>
      <c r="CE368">
        <v>30</v>
      </c>
      <c r="CF368">
        <v>0</v>
      </c>
      <c r="CG368">
        <v>0</v>
      </c>
      <c r="CM368">
        <v>0</v>
      </c>
      <c r="CN368" t="s">
        <v>708</v>
      </c>
      <c r="CO368">
        <v>0</v>
      </c>
      <c r="CP368">
        <f t="shared" si="323"/>
        <v>0</v>
      </c>
      <c r="CQ368">
        <f t="shared" si="324"/>
        <v>0</v>
      </c>
      <c r="CR368">
        <f t="shared" si="325"/>
        <v>0</v>
      </c>
      <c r="CS368">
        <f t="shared" si="326"/>
        <v>0</v>
      </c>
      <c r="CT368">
        <f t="shared" si="327"/>
        <v>11557.74</v>
      </c>
      <c r="CU368">
        <f t="shared" si="328"/>
        <v>0</v>
      </c>
      <c r="CV368">
        <f t="shared" si="329"/>
        <v>32.771623499999997</v>
      </c>
      <c r="CW368">
        <f t="shared" si="330"/>
        <v>0</v>
      </c>
      <c r="CX368">
        <f t="shared" si="331"/>
        <v>0</v>
      </c>
      <c r="CY368">
        <f>S368*(BZ368/100)</f>
        <v>0</v>
      </c>
      <c r="CZ368">
        <f>S368*(CA368/100)</f>
        <v>0</v>
      </c>
      <c r="DB368">
        <v>128</v>
      </c>
      <c r="DC368" t="s">
        <v>3</v>
      </c>
      <c r="DD368" t="s">
        <v>3</v>
      </c>
      <c r="DE368" t="s">
        <v>22</v>
      </c>
      <c r="DF368" t="s">
        <v>22</v>
      </c>
      <c r="DG368" t="s">
        <v>22</v>
      </c>
      <c r="DH368" t="s">
        <v>3</v>
      </c>
      <c r="DI368" t="s">
        <v>22</v>
      </c>
      <c r="DJ368" t="s">
        <v>22</v>
      </c>
      <c r="DK368" t="s">
        <v>3</v>
      </c>
      <c r="DL368" t="s">
        <v>3</v>
      </c>
      <c r="DM368" t="s">
        <v>3</v>
      </c>
      <c r="DN368">
        <v>80</v>
      </c>
      <c r="DO368">
        <v>55</v>
      </c>
      <c r="DP368">
        <v>1.0469999999999999</v>
      </c>
      <c r="DQ368">
        <v>1</v>
      </c>
      <c r="DU368">
        <v>1005</v>
      </c>
      <c r="DV368" t="s">
        <v>386</v>
      </c>
      <c r="DW368" t="s">
        <v>386</v>
      </c>
      <c r="DX368">
        <v>100</v>
      </c>
      <c r="DZ368" t="s">
        <v>3</v>
      </c>
      <c r="EA368" t="s">
        <v>3</v>
      </c>
      <c r="EB368" t="s">
        <v>3</v>
      </c>
      <c r="EC368" t="s">
        <v>3</v>
      </c>
      <c r="EE368">
        <v>51698305</v>
      </c>
      <c r="EF368">
        <v>60</v>
      </c>
      <c r="EG368" t="s">
        <v>270</v>
      </c>
      <c r="EH368">
        <v>0</v>
      </c>
      <c r="EI368" t="s">
        <v>3</v>
      </c>
      <c r="EJ368">
        <v>1</v>
      </c>
      <c r="EK368">
        <v>2224</v>
      </c>
      <c r="EL368" t="s">
        <v>417</v>
      </c>
      <c r="EM368" t="s">
        <v>418</v>
      </c>
      <c r="EO368" t="s">
        <v>26</v>
      </c>
      <c r="EQ368">
        <v>131072</v>
      </c>
      <c r="ER368">
        <v>304.64</v>
      </c>
      <c r="ES368">
        <v>0</v>
      </c>
      <c r="ET368">
        <v>0</v>
      </c>
      <c r="EU368">
        <v>0</v>
      </c>
      <c r="EV368">
        <v>304.64</v>
      </c>
      <c r="EW368">
        <v>29.81</v>
      </c>
      <c r="EX368">
        <v>0</v>
      </c>
      <c r="EY368">
        <v>0</v>
      </c>
      <c r="FQ368">
        <v>0</v>
      </c>
      <c r="FR368">
        <v>0</v>
      </c>
      <c r="FS368">
        <v>0</v>
      </c>
      <c r="FX368">
        <v>80</v>
      </c>
      <c r="FY368">
        <v>55</v>
      </c>
      <c r="GA368" t="s">
        <v>3</v>
      </c>
      <c r="GD368">
        <v>0</v>
      </c>
      <c r="GF368">
        <v>-1228841174</v>
      </c>
      <c r="GG368">
        <v>2</v>
      </c>
      <c r="GH368">
        <v>1</v>
      </c>
      <c r="GI368">
        <v>2</v>
      </c>
      <c r="GJ368">
        <v>0</v>
      </c>
      <c r="GK368">
        <f>ROUND(R368*(S12)/100,2)</f>
        <v>0</v>
      </c>
      <c r="GL368">
        <f t="shared" si="332"/>
        <v>0</v>
      </c>
      <c r="GM368">
        <f t="shared" si="333"/>
        <v>0</v>
      </c>
      <c r="GN368">
        <f t="shared" si="334"/>
        <v>0</v>
      </c>
      <c r="GO368">
        <f t="shared" si="335"/>
        <v>0</v>
      </c>
      <c r="GP368">
        <f t="shared" si="336"/>
        <v>0</v>
      </c>
      <c r="GR368">
        <v>0</v>
      </c>
      <c r="GS368">
        <v>3</v>
      </c>
      <c r="GT368">
        <v>0</v>
      </c>
      <c r="GU368" t="s">
        <v>3</v>
      </c>
      <c r="GV368">
        <f t="shared" si="337"/>
        <v>0</v>
      </c>
      <c r="GW368">
        <v>1</v>
      </c>
      <c r="GX368">
        <f t="shared" si="338"/>
        <v>0</v>
      </c>
      <c r="HA368">
        <v>0</v>
      </c>
      <c r="HB368">
        <v>0</v>
      </c>
      <c r="HC368">
        <f t="shared" si="339"/>
        <v>0</v>
      </c>
      <c r="HE368" t="s">
        <v>3</v>
      </c>
      <c r="HF368" t="s">
        <v>3</v>
      </c>
      <c r="HM368" t="s">
        <v>3</v>
      </c>
      <c r="HN368" t="s">
        <v>3</v>
      </c>
      <c r="HO368" t="s">
        <v>3</v>
      </c>
      <c r="HP368" t="s">
        <v>3</v>
      </c>
      <c r="HQ368" t="s">
        <v>3</v>
      </c>
      <c r="HS368">
        <v>0</v>
      </c>
      <c r="IK368">
        <v>0</v>
      </c>
    </row>
    <row r="369" spans="1:255" x14ac:dyDescent="0.2">
      <c r="A369" s="2">
        <v>17</v>
      </c>
      <c r="B369" s="2">
        <v>1</v>
      </c>
      <c r="C369" s="2"/>
      <c r="D369" s="2">
        <f>ROW(EtalonRes!A578)</f>
        <v>578</v>
      </c>
      <c r="E369" s="2" t="s">
        <v>419</v>
      </c>
      <c r="F369" s="2" t="s">
        <v>337</v>
      </c>
      <c r="G369" s="2" t="s">
        <v>338</v>
      </c>
      <c r="H369" s="2" t="s">
        <v>268</v>
      </c>
      <c r="I369" s="2">
        <v>0</v>
      </c>
      <c r="J369" s="2">
        <v>0</v>
      </c>
      <c r="K369" s="2">
        <v>0</v>
      </c>
      <c r="L369" s="2"/>
      <c r="M369" s="2"/>
      <c r="N369" s="2"/>
      <c r="O369" s="2">
        <f t="shared" si="303"/>
        <v>0</v>
      </c>
      <c r="P369" s="2">
        <f t="shared" si="304"/>
        <v>0</v>
      </c>
      <c r="Q369" s="2">
        <f t="shared" si="305"/>
        <v>0</v>
      </c>
      <c r="R369" s="2">
        <f t="shared" si="306"/>
        <v>0</v>
      </c>
      <c r="S369" s="2">
        <f t="shared" si="307"/>
        <v>0</v>
      </c>
      <c r="T369" s="2">
        <f t="shared" si="308"/>
        <v>0</v>
      </c>
      <c r="U369" s="2">
        <f t="shared" si="309"/>
        <v>0</v>
      </c>
      <c r="V369" s="2">
        <f t="shared" si="310"/>
        <v>0</v>
      </c>
      <c r="W369" s="2">
        <f t="shared" si="311"/>
        <v>0</v>
      </c>
      <c r="X369" s="2">
        <f t="shared" si="312"/>
        <v>0</v>
      </c>
      <c r="Y369" s="2">
        <f t="shared" si="313"/>
        <v>0</v>
      </c>
      <c r="Z369" s="2"/>
      <c r="AA369" s="2">
        <v>56622490</v>
      </c>
      <c r="AB369" s="2">
        <f t="shared" si="314"/>
        <v>711.48</v>
      </c>
      <c r="AC369" s="2">
        <f t="shared" si="315"/>
        <v>0</v>
      </c>
      <c r="AD369" s="2">
        <f t="shared" si="316"/>
        <v>595.63350000000003</v>
      </c>
      <c r="AE369" s="2">
        <f t="shared" si="317"/>
        <v>60.469499999999996</v>
      </c>
      <c r="AF369" s="2">
        <f t="shared" si="318"/>
        <v>115.84650000000001</v>
      </c>
      <c r="AG369" s="2">
        <f t="shared" si="319"/>
        <v>0</v>
      </c>
      <c r="AH369" s="2">
        <f t="shared" si="320"/>
        <v>12.285</v>
      </c>
      <c r="AI369" s="2">
        <f t="shared" si="321"/>
        <v>0</v>
      </c>
      <c r="AJ369" s="2">
        <f t="shared" si="322"/>
        <v>0</v>
      </c>
      <c r="AK369" s="2">
        <v>677.6</v>
      </c>
      <c r="AL369" s="2">
        <v>0</v>
      </c>
      <c r="AM369" s="2">
        <v>567.27</v>
      </c>
      <c r="AN369" s="2">
        <v>57.59</v>
      </c>
      <c r="AO369" s="2">
        <v>110.33</v>
      </c>
      <c r="AP369" s="2">
        <v>0</v>
      </c>
      <c r="AQ369" s="2">
        <v>11.7</v>
      </c>
      <c r="AR369" s="2">
        <v>0</v>
      </c>
      <c r="AS369" s="2">
        <v>0</v>
      </c>
      <c r="AT369" s="2">
        <v>80</v>
      </c>
      <c r="AU369" s="2">
        <v>55</v>
      </c>
      <c r="AV369" s="2">
        <v>1.0469999999999999</v>
      </c>
      <c r="AW369" s="2">
        <v>1</v>
      </c>
      <c r="AX369" s="2"/>
      <c r="AY369" s="2"/>
      <c r="AZ369" s="2">
        <v>1</v>
      </c>
      <c r="BA369" s="2">
        <v>1</v>
      </c>
      <c r="BB369" s="2">
        <v>1</v>
      </c>
      <c r="BC369" s="2">
        <v>1</v>
      </c>
      <c r="BD369" s="2" t="s">
        <v>3</v>
      </c>
      <c r="BE369" s="2" t="s">
        <v>3</v>
      </c>
      <c r="BF369" s="2" t="s">
        <v>3</v>
      </c>
      <c r="BG369" s="2" t="s">
        <v>3</v>
      </c>
      <c r="BH369" s="2">
        <v>0</v>
      </c>
      <c r="BI369" s="2">
        <v>1</v>
      </c>
      <c r="BJ369" s="2" t="s">
        <v>339</v>
      </c>
      <c r="BK369" s="2"/>
      <c r="BL369" s="2"/>
      <c r="BM369" s="2">
        <v>674</v>
      </c>
      <c r="BN369" s="2">
        <v>0</v>
      </c>
      <c r="BO369" s="2" t="s">
        <v>3</v>
      </c>
      <c r="BP369" s="2">
        <v>0</v>
      </c>
      <c r="BQ369" s="2">
        <v>60</v>
      </c>
      <c r="BR369" s="2">
        <v>0</v>
      </c>
      <c r="BS369" s="2">
        <v>1</v>
      </c>
      <c r="BT369" s="2">
        <v>1</v>
      </c>
      <c r="BU369" s="2">
        <v>1</v>
      </c>
      <c r="BV369" s="2">
        <v>1</v>
      </c>
      <c r="BW369" s="2">
        <v>1</v>
      </c>
      <c r="BX369" s="2">
        <v>1</v>
      </c>
      <c r="BY369" s="2" t="s">
        <v>3</v>
      </c>
      <c r="BZ369" s="2">
        <v>80</v>
      </c>
      <c r="CA369" s="2">
        <v>55</v>
      </c>
      <c r="CB369" s="2" t="s">
        <v>3</v>
      </c>
      <c r="CC369" s="2"/>
      <c r="CD369" s="2"/>
      <c r="CE369" s="2">
        <v>30</v>
      </c>
      <c r="CF369" s="2">
        <v>0</v>
      </c>
      <c r="CG369" s="2">
        <v>0</v>
      </c>
      <c r="CH369" s="2"/>
      <c r="CI369" s="2"/>
      <c r="CJ369" s="2"/>
      <c r="CK369" s="2"/>
      <c r="CL369" s="2"/>
      <c r="CM369" s="2">
        <v>0</v>
      </c>
      <c r="CN369" s="2" t="s">
        <v>708</v>
      </c>
      <c r="CO369" s="2">
        <v>0</v>
      </c>
      <c r="CP369" s="2">
        <f t="shared" si="323"/>
        <v>0</v>
      </c>
      <c r="CQ369" s="2">
        <f t="shared" si="324"/>
        <v>0</v>
      </c>
      <c r="CR369" s="2">
        <f t="shared" si="325"/>
        <v>623.63</v>
      </c>
      <c r="CS369" s="2">
        <f t="shared" si="326"/>
        <v>63.31</v>
      </c>
      <c r="CT369" s="2">
        <f t="shared" si="327"/>
        <v>121.29</v>
      </c>
      <c r="CU369" s="2">
        <f t="shared" si="328"/>
        <v>0</v>
      </c>
      <c r="CV369" s="2">
        <f t="shared" si="329"/>
        <v>12.862394999999999</v>
      </c>
      <c r="CW369" s="2">
        <f t="shared" si="330"/>
        <v>0</v>
      </c>
      <c r="CX369" s="2">
        <f t="shared" si="331"/>
        <v>0</v>
      </c>
      <c r="CY369" s="2">
        <f>((S369*BZ369)/100)</f>
        <v>0</v>
      </c>
      <c r="CZ369" s="2">
        <f>((S369*CA369)/100)</f>
        <v>0</v>
      </c>
      <c r="DA369" s="2"/>
      <c r="DB369" s="2">
        <v>129</v>
      </c>
      <c r="DC369" s="2" t="s">
        <v>3</v>
      </c>
      <c r="DD369" s="2" t="s">
        <v>3</v>
      </c>
      <c r="DE369" s="2" t="s">
        <v>22</v>
      </c>
      <c r="DF369" s="2" t="s">
        <v>22</v>
      </c>
      <c r="DG369" s="2" t="s">
        <v>22</v>
      </c>
      <c r="DH369" s="2" t="s">
        <v>3</v>
      </c>
      <c r="DI369" s="2" t="s">
        <v>22</v>
      </c>
      <c r="DJ369" s="2" t="s">
        <v>22</v>
      </c>
      <c r="DK369" s="2" t="s">
        <v>3</v>
      </c>
      <c r="DL369" s="2" t="s">
        <v>3</v>
      </c>
      <c r="DM369" s="2" t="s">
        <v>3</v>
      </c>
      <c r="DN369" s="2">
        <v>0</v>
      </c>
      <c r="DO369" s="2">
        <v>0</v>
      </c>
      <c r="DP369" s="2">
        <v>1</v>
      </c>
      <c r="DQ369" s="2">
        <v>1</v>
      </c>
      <c r="DR369" s="2"/>
      <c r="DS369" s="2"/>
      <c r="DT369" s="2"/>
      <c r="DU369" s="2">
        <v>1007</v>
      </c>
      <c r="DV369" s="2" t="s">
        <v>268</v>
      </c>
      <c r="DW369" s="2" t="s">
        <v>268</v>
      </c>
      <c r="DX369" s="2">
        <v>100</v>
      </c>
      <c r="DY369" s="2"/>
      <c r="DZ369" s="2" t="s">
        <v>3</v>
      </c>
      <c r="EA369" s="2" t="s">
        <v>3</v>
      </c>
      <c r="EB369" s="2" t="s">
        <v>3</v>
      </c>
      <c r="EC369" s="2" t="s">
        <v>3</v>
      </c>
      <c r="ED369" s="2"/>
      <c r="EE369" s="2">
        <v>51696713</v>
      </c>
      <c r="EF369" s="2">
        <v>60</v>
      </c>
      <c r="EG369" s="2" t="s">
        <v>270</v>
      </c>
      <c r="EH369" s="2">
        <v>0</v>
      </c>
      <c r="EI369" s="2" t="s">
        <v>3</v>
      </c>
      <c r="EJ369" s="2">
        <v>1</v>
      </c>
      <c r="EK369" s="2">
        <v>674</v>
      </c>
      <c r="EL369" s="2" t="s">
        <v>271</v>
      </c>
      <c r="EM369" s="2" t="s">
        <v>272</v>
      </c>
      <c r="EN369" s="2"/>
      <c r="EO369" s="2" t="s">
        <v>26</v>
      </c>
      <c r="EP369" s="2"/>
      <c r="EQ369" s="2">
        <v>131072</v>
      </c>
      <c r="ER369" s="2">
        <v>677.6</v>
      </c>
      <c r="ES369" s="2">
        <v>0</v>
      </c>
      <c r="ET369" s="2">
        <v>567.27</v>
      </c>
      <c r="EU369" s="2">
        <v>57.59</v>
      </c>
      <c r="EV369" s="2">
        <v>110.33</v>
      </c>
      <c r="EW369" s="2">
        <v>11.7</v>
      </c>
      <c r="EX369" s="2">
        <v>0</v>
      </c>
      <c r="EY369" s="2">
        <v>0</v>
      </c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>
        <v>0</v>
      </c>
      <c r="FR369" s="2">
        <v>0</v>
      </c>
      <c r="FS369" s="2">
        <v>0</v>
      </c>
      <c r="FT369" s="2"/>
      <c r="FU369" s="2"/>
      <c r="FV369" s="2"/>
      <c r="FW369" s="2"/>
      <c r="FX369" s="2">
        <v>80</v>
      </c>
      <c r="FY369" s="2">
        <v>55</v>
      </c>
      <c r="FZ369" s="2"/>
      <c r="GA369" s="2" t="s">
        <v>3</v>
      </c>
      <c r="GB369" s="2"/>
      <c r="GC369" s="2"/>
      <c r="GD369" s="2">
        <v>0</v>
      </c>
      <c r="GE369" s="2"/>
      <c r="GF369" s="2">
        <v>-538425389</v>
      </c>
      <c r="GG369" s="2">
        <v>2</v>
      </c>
      <c r="GH369" s="2">
        <v>1</v>
      </c>
      <c r="GI369" s="2">
        <v>-2</v>
      </c>
      <c r="GJ369" s="2">
        <v>0</v>
      </c>
      <c r="GK369" s="2">
        <f>ROUND(R369*(R12)/100,2)</f>
        <v>0</v>
      </c>
      <c r="GL369" s="2">
        <f t="shared" si="332"/>
        <v>0</v>
      </c>
      <c r="GM369" s="2">
        <f t="shared" si="333"/>
        <v>0</v>
      </c>
      <c r="GN369" s="2">
        <f t="shared" si="334"/>
        <v>0</v>
      </c>
      <c r="GO369" s="2">
        <f t="shared" si="335"/>
        <v>0</v>
      </c>
      <c r="GP369" s="2">
        <f t="shared" si="336"/>
        <v>0</v>
      </c>
      <c r="GQ369" s="2"/>
      <c r="GR369" s="2">
        <v>0</v>
      </c>
      <c r="GS369" s="2">
        <v>0</v>
      </c>
      <c r="GT369" s="2">
        <v>0</v>
      </c>
      <c r="GU369" s="2" t="s">
        <v>3</v>
      </c>
      <c r="GV369" s="2">
        <f t="shared" si="337"/>
        <v>0</v>
      </c>
      <c r="GW369" s="2">
        <v>1</v>
      </c>
      <c r="GX369" s="2">
        <f t="shared" si="338"/>
        <v>0</v>
      </c>
      <c r="GY369" s="2"/>
      <c r="GZ369" s="2"/>
      <c r="HA369" s="2">
        <v>0</v>
      </c>
      <c r="HB369" s="2">
        <v>0</v>
      </c>
      <c r="HC369" s="2">
        <f t="shared" si="339"/>
        <v>0</v>
      </c>
      <c r="HD369" s="2"/>
      <c r="HE369" s="2" t="s">
        <v>3</v>
      </c>
      <c r="HF369" s="2" t="s">
        <v>3</v>
      </c>
      <c r="HG369" s="2"/>
      <c r="HH369" s="2"/>
      <c r="HI369" s="2"/>
      <c r="HJ369" s="2"/>
      <c r="HK369" s="2"/>
      <c r="HL369" s="2"/>
      <c r="HM369" s="2" t="s">
        <v>3</v>
      </c>
      <c r="HN369" s="2" t="s">
        <v>3</v>
      </c>
      <c r="HO369" s="2" t="s">
        <v>3</v>
      </c>
      <c r="HP369" s="2" t="s">
        <v>3</v>
      </c>
      <c r="HQ369" s="2" t="s">
        <v>3</v>
      </c>
      <c r="HR369" s="2"/>
      <c r="HS369" s="2">
        <v>0</v>
      </c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>
        <v>0</v>
      </c>
      <c r="IL369" s="2"/>
      <c r="IM369" s="2"/>
      <c r="IN369" s="2"/>
      <c r="IO369" s="2"/>
      <c r="IP369" s="2"/>
      <c r="IQ369" s="2"/>
      <c r="IR369" s="2"/>
      <c r="IS369" s="2"/>
      <c r="IT369" s="2"/>
      <c r="IU369" s="2"/>
    </row>
    <row r="370" spans="1:255" x14ac:dyDescent="0.2">
      <c r="A370">
        <v>17</v>
      </c>
      <c r="B370">
        <v>1</v>
      </c>
      <c r="D370">
        <f>ROW(EtalonRes!A582)</f>
        <v>582</v>
      </c>
      <c r="E370" t="s">
        <v>419</v>
      </c>
      <c r="F370" t="s">
        <v>337</v>
      </c>
      <c r="G370" t="s">
        <v>338</v>
      </c>
      <c r="H370" t="s">
        <v>268</v>
      </c>
      <c r="I370">
        <v>0</v>
      </c>
      <c r="J370">
        <v>0</v>
      </c>
      <c r="K370">
        <v>0</v>
      </c>
      <c r="O370">
        <f t="shared" si="303"/>
        <v>0</v>
      </c>
      <c r="P370">
        <f t="shared" si="304"/>
        <v>0</v>
      </c>
      <c r="Q370">
        <f t="shared" si="305"/>
        <v>0</v>
      </c>
      <c r="R370">
        <f t="shared" si="306"/>
        <v>0</v>
      </c>
      <c r="S370">
        <f t="shared" si="307"/>
        <v>0</v>
      </c>
      <c r="T370">
        <f t="shared" si="308"/>
        <v>0</v>
      </c>
      <c r="U370">
        <f t="shared" si="309"/>
        <v>0</v>
      </c>
      <c r="V370">
        <f t="shared" si="310"/>
        <v>0</v>
      </c>
      <c r="W370">
        <f t="shared" si="311"/>
        <v>0</v>
      </c>
      <c r="X370">
        <f t="shared" si="312"/>
        <v>0</v>
      </c>
      <c r="Y370">
        <f t="shared" si="313"/>
        <v>0</v>
      </c>
      <c r="AA370">
        <v>56610029</v>
      </c>
      <c r="AB370">
        <f t="shared" si="314"/>
        <v>711.48</v>
      </c>
      <c r="AC370">
        <f t="shared" si="315"/>
        <v>0</v>
      </c>
      <c r="AD370">
        <f t="shared" si="316"/>
        <v>595.63350000000003</v>
      </c>
      <c r="AE370">
        <f t="shared" si="317"/>
        <v>60.469499999999996</v>
      </c>
      <c r="AF370">
        <f t="shared" si="318"/>
        <v>115.84650000000001</v>
      </c>
      <c r="AG370">
        <f t="shared" si="319"/>
        <v>0</v>
      </c>
      <c r="AH370">
        <f t="shared" si="320"/>
        <v>12.285</v>
      </c>
      <c r="AI370">
        <f t="shared" si="321"/>
        <v>0</v>
      </c>
      <c r="AJ370">
        <f t="shared" si="322"/>
        <v>0</v>
      </c>
      <c r="AK370">
        <v>677.6</v>
      </c>
      <c r="AL370">
        <v>0</v>
      </c>
      <c r="AM370">
        <v>567.27</v>
      </c>
      <c r="AN370">
        <v>57.59</v>
      </c>
      <c r="AO370">
        <v>110.33</v>
      </c>
      <c r="AP370">
        <v>0</v>
      </c>
      <c r="AQ370">
        <v>11.7</v>
      </c>
      <c r="AR370">
        <v>0</v>
      </c>
      <c r="AS370">
        <v>0</v>
      </c>
      <c r="AT370">
        <v>70</v>
      </c>
      <c r="AU370">
        <v>41</v>
      </c>
      <c r="AV370">
        <v>1.0469999999999999</v>
      </c>
      <c r="AW370">
        <v>1</v>
      </c>
      <c r="AZ370">
        <v>1</v>
      </c>
      <c r="BA370">
        <v>34.51</v>
      </c>
      <c r="BB370">
        <v>12.23</v>
      </c>
      <c r="BC370">
        <v>1</v>
      </c>
      <c r="BD370" t="s">
        <v>3</v>
      </c>
      <c r="BE370" t="s">
        <v>3</v>
      </c>
      <c r="BF370" t="s">
        <v>3</v>
      </c>
      <c r="BG370" t="s">
        <v>3</v>
      </c>
      <c r="BH370">
        <v>0</v>
      </c>
      <c r="BI370">
        <v>1</v>
      </c>
      <c r="BJ370" t="s">
        <v>339</v>
      </c>
      <c r="BM370">
        <v>674</v>
      </c>
      <c r="BN370">
        <v>0</v>
      </c>
      <c r="BO370" t="s">
        <v>337</v>
      </c>
      <c r="BP370">
        <v>1</v>
      </c>
      <c r="BQ370">
        <v>60</v>
      </c>
      <c r="BR370">
        <v>0</v>
      </c>
      <c r="BS370">
        <v>34.51</v>
      </c>
      <c r="BT370">
        <v>1</v>
      </c>
      <c r="BU370">
        <v>1</v>
      </c>
      <c r="BV370">
        <v>1</v>
      </c>
      <c r="BW370">
        <v>1</v>
      </c>
      <c r="BX370">
        <v>1</v>
      </c>
      <c r="BY370" t="s">
        <v>3</v>
      </c>
      <c r="BZ370">
        <v>70</v>
      </c>
      <c r="CA370">
        <v>41</v>
      </c>
      <c r="CB370" t="s">
        <v>3</v>
      </c>
      <c r="CE370">
        <v>30</v>
      </c>
      <c r="CF370">
        <v>0</v>
      </c>
      <c r="CG370">
        <v>0</v>
      </c>
      <c r="CM370">
        <v>0</v>
      </c>
      <c r="CN370" t="s">
        <v>708</v>
      </c>
      <c r="CO370">
        <v>0</v>
      </c>
      <c r="CP370">
        <f t="shared" si="323"/>
        <v>0</v>
      </c>
      <c r="CQ370">
        <f t="shared" si="324"/>
        <v>0</v>
      </c>
      <c r="CR370">
        <f t="shared" si="325"/>
        <v>7626.99</v>
      </c>
      <c r="CS370">
        <f t="shared" si="326"/>
        <v>2184.83</v>
      </c>
      <c r="CT370">
        <f t="shared" si="327"/>
        <v>4185.72</v>
      </c>
      <c r="CU370">
        <f t="shared" si="328"/>
        <v>0</v>
      </c>
      <c r="CV370">
        <f t="shared" si="329"/>
        <v>12.862394999999999</v>
      </c>
      <c r="CW370">
        <f t="shared" si="330"/>
        <v>0</v>
      </c>
      <c r="CX370">
        <f t="shared" si="331"/>
        <v>0</v>
      </c>
      <c r="CY370">
        <f>S370*(BZ370/100)</f>
        <v>0</v>
      </c>
      <c r="CZ370">
        <f>S370*(CA370/100)</f>
        <v>0</v>
      </c>
      <c r="DB370">
        <v>130</v>
      </c>
      <c r="DC370" t="s">
        <v>3</v>
      </c>
      <c r="DD370" t="s">
        <v>3</v>
      </c>
      <c r="DE370" t="s">
        <v>22</v>
      </c>
      <c r="DF370" t="s">
        <v>22</v>
      </c>
      <c r="DG370" t="s">
        <v>22</v>
      </c>
      <c r="DH370" t="s">
        <v>3</v>
      </c>
      <c r="DI370" t="s">
        <v>22</v>
      </c>
      <c r="DJ370" t="s">
        <v>22</v>
      </c>
      <c r="DK370" t="s">
        <v>3</v>
      </c>
      <c r="DL370" t="s">
        <v>3</v>
      </c>
      <c r="DM370" t="s">
        <v>3</v>
      </c>
      <c r="DN370">
        <v>80</v>
      </c>
      <c r="DO370">
        <v>55</v>
      </c>
      <c r="DP370">
        <v>1.0469999999999999</v>
      </c>
      <c r="DQ370">
        <v>1</v>
      </c>
      <c r="DU370">
        <v>1007</v>
      </c>
      <c r="DV370" t="s">
        <v>268</v>
      </c>
      <c r="DW370" t="s">
        <v>268</v>
      </c>
      <c r="DX370">
        <v>100</v>
      </c>
      <c r="DZ370" t="s">
        <v>3</v>
      </c>
      <c r="EA370" t="s">
        <v>3</v>
      </c>
      <c r="EB370" t="s">
        <v>3</v>
      </c>
      <c r="EC370" t="s">
        <v>3</v>
      </c>
      <c r="EE370">
        <v>51696713</v>
      </c>
      <c r="EF370">
        <v>60</v>
      </c>
      <c r="EG370" t="s">
        <v>270</v>
      </c>
      <c r="EH370">
        <v>0</v>
      </c>
      <c r="EI370" t="s">
        <v>3</v>
      </c>
      <c r="EJ370">
        <v>1</v>
      </c>
      <c r="EK370">
        <v>674</v>
      </c>
      <c r="EL370" t="s">
        <v>271</v>
      </c>
      <c r="EM370" t="s">
        <v>272</v>
      </c>
      <c r="EO370" t="s">
        <v>26</v>
      </c>
      <c r="EQ370">
        <v>131072</v>
      </c>
      <c r="ER370">
        <v>677.6</v>
      </c>
      <c r="ES370">
        <v>0</v>
      </c>
      <c r="ET370">
        <v>567.27</v>
      </c>
      <c r="EU370">
        <v>57.59</v>
      </c>
      <c r="EV370">
        <v>110.33</v>
      </c>
      <c r="EW370">
        <v>11.7</v>
      </c>
      <c r="EX370">
        <v>0</v>
      </c>
      <c r="EY370">
        <v>0</v>
      </c>
      <c r="FQ370">
        <v>0</v>
      </c>
      <c r="FR370">
        <v>0</v>
      </c>
      <c r="FS370">
        <v>0</v>
      </c>
      <c r="FX370">
        <v>80</v>
      </c>
      <c r="FY370">
        <v>55</v>
      </c>
      <c r="GA370" t="s">
        <v>3</v>
      </c>
      <c r="GD370">
        <v>0</v>
      </c>
      <c r="GF370">
        <v>-538425389</v>
      </c>
      <c r="GG370">
        <v>2</v>
      </c>
      <c r="GH370">
        <v>1</v>
      </c>
      <c r="GI370">
        <v>2</v>
      </c>
      <c r="GJ370">
        <v>0</v>
      </c>
      <c r="GK370">
        <f>ROUND(R370*(S12)/100,2)</f>
        <v>0</v>
      </c>
      <c r="GL370">
        <f t="shared" si="332"/>
        <v>0</v>
      </c>
      <c r="GM370">
        <f t="shared" si="333"/>
        <v>0</v>
      </c>
      <c r="GN370">
        <f t="shared" si="334"/>
        <v>0</v>
      </c>
      <c r="GO370">
        <f t="shared" si="335"/>
        <v>0</v>
      </c>
      <c r="GP370">
        <f t="shared" si="336"/>
        <v>0</v>
      </c>
      <c r="GR370">
        <v>0</v>
      </c>
      <c r="GS370">
        <v>3</v>
      </c>
      <c r="GT370">
        <v>0</v>
      </c>
      <c r="GU370" t="s">
        <v>3</v>
      </c>
      <c r="GV370">
        <f t="shared" si="337"/>
        <v>0</v>
      </c>
      <c r="GW370">
        <v>1</v>
      </c>
      <c r="GX370">
        <f t="shared" si="338"/>
        <v>0</v>
      </c>
      <c r="HA370">
        <v>0</v>
      </c>
      <c r="HB370">
        <v>0</v>
      </c>
      <c r="HC370">
        <f t="shared" si="339"/>
        <v>0</v>
      </c>
      <c r="HE370" t="s">
        <v>3</v>
      </c>
      <c r="HF370" t="s">
        <v>3</v>
      </c>
      <c r="HM370" t="s">
        <v>3</v>
      </c>
      <c r="HN370" t="s">
        <v>3</v>
      </c>
      <c r="HO370" t="s">
        <v>3</v>
      </c>
      <c r="HP370" t="s">
        <v>3</v>
      </c>
      <c r="HQ370" t="s">
        <v>3</v>
      </c>
      <c r="HS370">
        <v>0</v>
      </c>
      <c r="IK370">
        <v>0</v>
      </c>
    </row>
    <row r="371" spans="1:255" x14ac:dyDescent="0.2">
      <c r="A371" s="2">
        <v>17</v>
      </c>
      <c r="B371" s="2">
        <v>1</v>
      </c>
      <c r="C371" s="2"/>
      <c r="D371" s="2">
        <f>ROW(EtalonRes!A586)</f>
        <v>586</v>
      </c>
      <c r="E371" s="2" t="s">
        <v>420</v>
      </c>
      <c r="F371" s="2" t="s">
        <v>274</v>
      </c>
      <c r="G371" s="2" t="s">
        <v>275</v>
      </c>
      <c r="H371" s="2" t="s">
        <v>268</v>
      </c>
      <c r="I371" s="2">
        <v>0</v>
      </c>
      <c r="J371" s="2">
        <v>0</v>
      </c>
      <c r="K371" s="2">
        <v>0</v>
      </c>
      <c r="L371" s="2"/>
      <c r="M371" s="2"/>
      <c r="N371" s="2"/>
      <c r="O371" s="2">
        <f t="shared" si="303"/>
        <v>0</v>
      </c>
      <c r="P371" s="2">
        <f t="shared" si="304"/>
        <v>0</v>
      </c>
      <c r="Q371" s="2">
        <f t="shared" si="305"/>
        <v>0</v>
      </c>
      <c r="R371" s="2">
        <f t="shared" si="306"/>
        <v>0</v>
      </c>
      <c r="S371" s="2">
        <f t="shared" si="307"/>
        <v>0</v>
      </c>
      <c r="T371" s="2">
        <f t="shared" si="308"/>
        <v>0</v>
      </c>
      <c r="U371" s="2">
        <f t="shared" si="309"/>
        <v>0</v>
      </c>
      <c r="V371" s="2">
        <f t="shared" si="310"/>
        <v>0</v>
      </c>
      <c r="W371" s="2">
        <f t="shared" si="311"/>
        <v>0</v>
      </c>
      <c r="X371" s="2">
        <f t="shared" si="312"/>
        <v>0</v>
      </c>
      <c r="Y371" s="2">
        <f t="shared" si="313"/>
        <v>0</v>
      </c>
      <c r="Z371" s="2"/>
      <c r="AA371" s="2">
        <v>56622490</v>
      </c>
      <c r="AB371" s="2">
        <f t="shared" si="314"/>
        <v>3128.7165</v>
      </c>
      <c r="AC371" s="2">
        <f t="shared" si="315"/>
        <v>0</v>
      </c>
      <c r="AD371" s="2">
        <f t="shared" si="316"/>
        <v>2472.7919999999999</v>
      </c>
      <c r="AE371" s="2">
        <f t="shared" si="317"/>
        <v>184.83150000000001</v>
      </c>
      <c r="AF371" s="2">
        <f t="shared" si="318"/>
        <v>655.92449999999997</v>
      </c>
      <c r="AG371" s="2">
        <f t="shared" si="319"/>
        <v>0</v>
      </c>
      <c r="AH371" s="2">
        <f t="shared" si="320"/>
        <v>51.975000000000001</v>
      </c>
      <c r="AI371" s="2">
        <f t="shared" si="321"/>
        <v>0</v>
      </c>
      <c r="AJ371" s="2">
        <f t="shared" si="322"/>
        <v>0</v>
      </c>
      <c r="AK371" s="2">
        <v>2979.73</v>
      </c>
      <c r="AL371" s="2">
        <v>0</v>
      </c>
      <c r="AM371" s="2">
        <v>2355.04</v>
      </c>
      <c r="AN371" s="2">
        <v>176.03</v>
      </c>
      <c r="AO371" s="2">
        <v>624.69000000000005</v>
      </c>
      <c r="AP371" s="2">
        <v>0</v>
      </c>
      <c r="AQ371" s="2">
        <v>49.5</v>
      </c>
      <c r="AR371" s="2">
        <v>0</v>
      </c>
      <c r="AS371" s="2">
        <v>0</v>
      </c>
      <c r="AT371" s="2">
        <v>80</v>
      </c>
      <c r="AU371" s="2">
        <v>55</v>
      </c>
      <c r="AV371" s="2">
        <v>1.0469999999999999</v>
      </c>
      <c r="AW371" s="2">
        <v>1</v>
      </c>
      <c r="AX371" s="2"/>
      <c r="AY371" s="2"/>
      <c r="AZ371" s="2">
        <v>1</v>
      </c>
      <c r="BA371" s="2">
        <v>1</v>
      </c>
      <c r="BB371" s="2">
        <v>1</v>
      </c>
      <c r="BC371" s="2">
        <v>1</v>
      </c>
      <c r="BD371" s="2" t="s">
        <v>3</v>
      </c>
      <c r="BE371" s="2" t="s">
        <v>3</v>
      </c>
      <c r="BF371" s="2" t="s">
        <v>3</v>
      </c>
      <c r="BG371" s="2" t="s">
        <v>3</v>
      </c>
      <c r="BH371" s="2">
        <v>0</v>
      </c>
      <c r="BI371" s="2">
        <v>1</v>
      </c>
      <c r="BJ371" s="2" t="s">
        <v>276</v>
      </c>
      <c r="BK371" s="2"/>
      <c r="BL371" s="2"/>
      <c r="BM371" s="2">
        <v>674</v>
      </c>
      <c r="BN371" s="2">
        <v>0</v>
      </c>
      <c r="BO371" s="2" t="s">
        <v>3</v>
      </c>
      <c r="BP371" s="2">
        <v>0</v>
      </c>
      <c r="BQ371" s="2">
        <v>60</v>
      </c>
      <c r="BR371" s="2">
        <v>0</v>
      </c>
      <c r="BS371" s="2">
        <v>1</v>
      </c>
      <c r="BT371" s="2">
        <v>1</v>
      </c>
      <c r="BU371" s="2">
        <v>1</v>
      </c>
      <c r="BV371" s="2">
        <v>1</v>
      </c>
      <c r="BW371" s="2">
        <v>1</v>
      </c>
      <c r="BX371" s="2">
        <v>1</v>
      </c>
      <c r="BY371" s="2" t="s">
        <v>3</v>
      </c>
      <c r="BZ371" s="2">
        <v>80</v>
      </c>
      <c r="CA371" s="2">
        <v>55</v>
      </c>
      <c r="CB371" s="2" t="s">
        <v>3</v>
      </c>
      <c r="CC371" s="2"/>
      <c r="CD371" s="2"/>
      <c r="CE371" s="2">
        <v>30</v>
      </c>
      <c r="CF371" s="2">
        <v>0</v>
      </c>
      <c r="CG371" s="2">
        <v>0</v>
      </c>
      <c r="CH371" s="2"/>
      <c r="CI371" s="2"/>
      <c r="CJ371" s="2"/>
      <c r="CK371" s="2"/>
      <c r="CL371" s="2"/>
      <c r="CM371" s="2">
        <v>0</v>
      </c>
      <c r="CN371" s="2" t="s">
        <v>708</v>
      </c>
      <c r="CO371" s="2">
        <v>0</v>
      </c>
      <c r="CP371" s="2">
        <f t="shared" si="323"/>
        <v>0</v>
      </c>
      <c r="CQ371" s="2">
        <f t="shared" si="324"/>
        <v>0</v>
      </c>
      <c r="CR371" s="2">
        <f t="shared" si="325"/>
        <v>2589.0100000000002</v>
      </c>
      <c r="CS371" s="2">
        <f t="shared" si="326"/>
        <v>193.52</v>
      </c>
      <c r="CT371" s="2">
        <f t="shared" si="327"/>
        <v>686.75</v>
      </c>
      <c r="CU371" s="2">
        <f t="shared" si="328"/>
        <v>0</v>
      </c>
      <c r="CV371" s="2">
        <f t="shared" si="329"/>
        <v>54.417825000000001</v>
      </c>
      <c r="CW371" s="2">
        <f t="shared" si="330"/>
        <v>0</v>
      </c>
      <c r="CX371" s="2">
        <f t="shared" si="331"/>
        <v>0</v>
      </c>
      <c r="CY371" s="2">
        <f>((S371*BZ371)/100)</f>
        <v>0</v>
      </c>
      <c r="CZ371" s="2">
        <f>((S371*CA371)/100)</f>
        <v>0</v>
      </c>
      <c r="DA371" s="2"/>
      <c r="DB371" s="2">
        <v>131</v>
      </c>
      <c r="DC371" s="2" t="s">
        <v>3</v>
      </c>
      <c r="DD371" s="2" t="s">
        <v>3</v>
      </c>
      <c r="DE371" s="2" t="s">
        <v>22</v>
      </c>
      <c r="DF371" s="2" t="s">
        <v>22</v>
      </c>
      <c r="DG371" s="2" t="s">
        <v>22</v>
      </c>
      <c r="DH371" s="2" t="s">
        <v>3</v>
      </c>
      <c r="DI371" s="2" t="s">
        <v>22</v>
      </c>
      <c r="DJ371" s="2" t="s">
        <v>22</v>
      </c>
      <c r="DK371" s="2" t="s">
        <v>3</v>
      </c>
      <c r="DL371" s="2" t="s">
        <v>3</v>
      </c>
      <c r="DM371" s="2" t="s">
        <v>3</v>
      </c>
      <c r="DN371" s="2">
        <v>0</v>
      </c>
      <c r="DO371" s="2">
        <v>0</v>
      </c>
      <c r="DP371" s="2">
        <v>1</v>
      </c>
      <c r="DQ371" s="2">
        <v>1</v>
      </c>
      <c r="DR371" s="2"/>
      <c r="DS371" s="2"/>
      <c r="DT371" s="2"/>
      <c r="DU371" s="2">
        <v>1007</v>
      </c>
      <c r="DV371" s="2" t="s">
        <v>268</v>
      </c>
      <c r="DW371" s="2" t="s">
        <v>268</v>
      </c>
      <c r="DX371" s="2">
        <v>100</v>
      </c>
      <c r="DY371" s="2"/>
      <c r="DZ371" s="2" t="s">
        <v>3</v>
      </c>
      <c r="EA371" s="2" t="s">
        <v>3</v>
      </c>
      <c r="EB371" s="2" t="s">
        <v>3</v>
      </c>
      <c r="EC371" s="2" t="s">
        <v>3</v>
      </c>
      <c r="ED371" s="2"/>
      <c r="EE371" s="2">
        <v>51696713</v>
      </c>
      <c r="EF371" s="2">
        <v>60</v>
      </c>
      <c r="EG371" s="2" t="s">
        <v>270</v>
      </c>
      <c r="EH371" s="2">
        <v>0</v>
      </c>
      <c r="EI371" s="2" t="s">
        <v>3</v>
      </c>
      <c r="EJ371" s="2">
        <v>1</v>
      </c>
      <c r="EK371" s="2">
        <v>674</v>
      </c>
      <c r="EL371" s="2" t="s">
        <v>271</v>
      </c>
      <c r="EM371" s="2" t="s">
        <v>272</v>
      </c>
      <c r="EN371" s="2"/>
      <c r="EO371" s="2" t="s">
        <v>26</v>
      </c>
      <c r="EP371" s="2"/>
      <c r="EQ371" s="2">
        <v>131072</v>
      </c>
      <c r="ER371" s="2">
        <v>2979.73</v>
      </c>
      <c r="ES371" s="2">
        <v>0</v>
      </c>
      <c r="ET371" s="2">
        <v>2355.04</v>
      </c>
      <c r="EU371" s="2">
        <v>176.03</v>
      </c>
      <c r="EV371" s="2">
        <v>624.69000000000005</v>
      </c>
      <c r="EW371" s="2">
        <v>49.5</v>
      </c>
      <c r="EX371" s="2">
        <v>0</v>
      </c>
      <c r="EY371" s="2">
        <v>0</v>
      </c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>
        <v>0</v>
      </c>
      <c r="FR371" s="2">
        <v>0</v>
      </c>
      <c r="FS371" s="2">
        <v>0</v>
      </c>
      <c r="FT371" s="2"/>
      <c r="FU371" s="2"/>
      <c r="FV371" s="2"/>
      <c r="FW371" s="2"/>
      <c r="FX371" s="2">
        <v>80</v>
      </c>
      <c r="FY371" s="2">
        <v>55</v>
      </c>
      <c r="FZ371" s="2"/>
      <c r="GA371" s="2" t="s">
        <v>3</v>
      </c>
      <c r="GB371" s="2"/>
      <c r="GC371" s="2"/>
      <c r="GD371" s="2">
        <v>0</v>
      </c>
      <c r="GE371" s="2"/>
      <c r="GF371" s="2">
        <v>-103070583</v>
      </c>
      <c r="GG371" s="2">
        <v>2</v>
      </c>
      <c r="GH371" s="2">
        <v>1</v>
      </c>
      <c r="GI371" s="2">
        <v>-2</v>
      </c>
      <c r="GJ371" s="2">
        <v>0</v>
      </c>
      <c r="GK371" s="2">
        <f>ROUND(R371*(R12)/100,2)</f>
        <v>0</v>
      </c>
      <c r="GL371" s="2">
        <f t="shared" si="332"/>
        <v>0</v>
      </c>
      <c r="GM371" s="2">
        <f t="shared" si="333"/>
        <v>0</v>
      </c>
      <c r="GN371" s="2">
        <f t="shared" si="334"/>
        <v>0</v>
      </c>
      <c r="GO371" s="2">
        <f t="shared" si="335"/>
        <v>0</v>
      </c>
      <c r="GP371" s="2">
        <f t="shared" si="336"/>
        <v>0</v>
      </c>
      <c r="GQ371" s="2"/>
      <c r="GR371" s="2">
        <v>0</v>
      </c>
      <c r="GS371" s="2">
        <v>0</v>
      </c>
      <c r="GT371" s="2">
        <v>0</v>
      </c>
      <c r="GU371" s="2" t="s">
        <v>3</v>
      </c>
      <c r="GV371" s="2">
        <f t="shared" si="337"/>
        <v>0</v>
      </c>
      <c r="GW371" s="2">
        <v>1</v>
      </c>
      <c r="GX371" s="2">
        <f t="shared" si="338"/>
        <v>0</v>
      </c>
      <c r="GY371" s="2"/>
      <c r="GZ371" s="2"/>
      <c r="HA371" s="2">
        <v>0</v>
      </c>
      <c r="HB371" s="2">
        <v>0</v>
      </c>
      <c r="HC371" s="2">
        <f t="shared" si="339"/>
        <v>0</v>
      </c>
      <c r="HD371" s="2"/>
      <c r="HE371" s="2" t="s">
        <v>3</v>
      </c>
      <c r="HF371" s="2" t="s">
        <v>3</v>
      </c>
      <c r="HG371" s="2"/>
      <c r="HH371" s="2"/>
      <c r="HI371" s="2"/>
      <c r="HJ371" s="2"/>
      <c r="HK371" s="2"/>
      <c r="HL371" s="2"/>
      <c r="HM371" s="2" t="s">
        <v>3</v>
      </c>
      <c r="HN371" s="2" t="s">
        <v>3</v>
      </c>
      <c r="HO371" s="2" t="s">
        <v>3</v>
      </c>
      <c r="HP371" s="2" t="s">
        <v>3</v>
      </c>
      <c r="HQ371" s="2" t="s">
        <v>3</v>
      </c>
      <c r="HR371" s="2"/>
      <c r="HS371" s="2">
        <v>0</v>
      </c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>
        <v>0</v>
      </c>
      <c r="IL371" s="2"/>
      <c r="IM371" s="2"/>
      <c r="IN371" s="2"/>
      <c r="IO371" s="2"/>
      <c r="IP371" s="2"/>
      <c r="IQ371" s="2"/>
      <c r="IR371" s="2"/>
      <c r="IS371" s="2"/>
      <c r="IT371" s="2"/>
      <c r="IU371" s="2"/>
    </row>
    <row r="372" spans="1:255" x14ac:dyDescent="0.2">
      <c r="A372">
        <v>17</v>
      </c>
      <c r="B372">
        <v>1</v>
      </c>
      <c r="D372">
        <f>ROW(EtalonRes!A590)</f>
        <v>590</v>
      </c>
      <c r="E372" t="s">
        <v>420</v>
      </c>
      <c r="F372" t="s">
        <v>274</v>
      </c>
      <c r="G372" t="s">
        <v>275</v>
      </c>
      <c r="H372" t="s">
        <v>268</v>
      </c>
      <c r="I372">
        <v>0</v>
      </c>
      <c r="J372">
        <v>0</v>
      </c>
      <c r="K372">
        <v>0</v>
      </c>
      <c r="O372">
        <f t="shared" si="303"/>
        <v>0</v>
      </c>
      <c r="P372">
        <f t="shared" si="304"/>
        <v>0</v>
      </c>
      <c r="Q372">
        <f t="shared" si="305"/>
        <v>0</v>
      </c>
      <c r="R372">
        <f t="shared" si="306"/>
        <v>0</v>
      </c>
      <c r="S372">
        <f t="shared" si="307"/>
        <v>0</v>
      </c>
      <c r="T372">
        <f t="shared" si="308"/>
        <v>0</v>
      </c>
      <c r="U372">
        <f t="shared" si="309"/>
        <v>0</v>
      </c>
      <c r="V372">
        <f t="shared" si="310"/>
        <v>0</v>
      </c>
      <c r="W372">
        <f t="shared" si="311"/>
        <v>0</v>
      </c>
      <c r="X372">
        <f t="shared" si="312"/>
        <v>0</v>
      </c>
      <c r="Y372">
        <f t="shared" si="313"/>
        <v>0</v>
      </c>
      <c r="AA372">
        <v>56610029</v>
      </c>
      <c r="AB372">
        <f t="shared" si="314"/>
        <v>3128.7165</v>
      </c>
      <c r="AC372">
        <f t="shared" si="315"/>
        <v>0</v>
      </c>
      <c r="AD372">
        <f t="shared" si="316"/>
        <v>2472.7919999999999</v>
      </c>
      <c r="AE372">
        <f t="shared" si="317"/>
        <v>184.83150000000001</v>
      </c>
      <c r="AF372">
        <f t="shared" si="318"/>
        <v>655.92449999999997</v>
      </c>
      <c r="AG372">
        <f t="shared" si="319"/>
        <v>0</v>
      </c>
      <c r="AH372">
        <f t="shared" si="320"/>
        <v>51.975000000000001</v>
      </c>
      <c r="AI372">
        <f t="shared" si="321"/>
        <v>0</v>
      </c>
      <c r="AJ372">
        <f t="shared" si="322"/>
        <v>0</v>
      </c>
      <c r="AK372">
        <v>2979.73</v>
      </c>
      <c r="AL372">
        <v>0</v>
      </c>
      <c r="AM372">
        <v>2355.04</v>
      </c>
      <c r="AN372">
        <v>176.03</v>
      </c>
      <c r="AO372">
        <v>624.69000000000005</v>
      </c>
      <c r="AP372">
        <v>0</v>
      </c>
      <c r="AQ372">
        <v>49.5</v>
      </c>
      <c r="AR372">
        <v>0</v>
      </c>
      <c r="AS372">
        <v>0</v>
      </c>
      <c r="AT372">
        <v>70</v>
      </c>
      <c r="AU372">
        <v>41</v>
      </c>
      <c r="AV372">
        <v>1.0469999999999999</v>
      </c>
      <c r="AW372">
        <v>1</v>
      </c>
      <c r="AZ372">
        <v>1</v>
      </c>
      <c r="BA372">
        <v>34.51</v>
      </c>
      <c r="BB372">
        <v>11.35</v>
      </c>
      <c r="BC372">
        <v>1</v>
      </c>
      <c r="BD372" t="s">
        <v>3</v>
      </c>
      <c r="BE372" t="s">
        <v>3</v>
      </c>
      <c r="BF372" t="s">
        <v>3</v>
      </c>
      <c r="BG372" t="s">
        <v>3</v>
      </c>
      <c r="BH372">
        <v>0</v>
      </c>
      <c r="BI372">
        <v>1</v>
      </c>
      <c r="BJ372" t="s">
        <v>276</v>
      </c>
      <c r="BM372">
        <v>674</v>
      </c>
      <c r="BN372">
        <v>0</v>
      </c>
      <c r="BO372" t="s">
        <v>274</v>
      </c>
      <c r="BP372">
        <v>1</v>
      </c>
      <c r="BQ372">
        <v>60</v>
      </c>
      <c r="BR372">
        <v>0</v>
      </c>
      <c r="BS372">
        <v>34.51</v>
      </c>
      <c r="BT372">
        <v>1</v>
      </c>
      <c r="BU372">
        <v>1</v>
      </c>
      <c r="BV372">
        <v>1</v>
      </c>
      <c r="BW372">
        <v>1</v>
      </c>
      <c r="BX372">
        <v>1</v>
      </c>
      <c r="BY372" t="s">
        <v>3</v>
      </c>
      <c r="BZ372">
        <v>70</v>
      </c>
      <c r="CA372">
        <v>41</v>
      </c>
      <c r="CB372" t="s">
        <v>3</v>
      </c>
      <c r="CE372">
        <v>30</v>
      </c>
      <c r="CF372">
        <v>0</v>
      </c>
      <c r="CG372">
        <v>0</v>
      </c>
      <c r="CM372">
        <v>0</v>
      </c>
      <c r="CN372" t="s">
        <v>708</v>
      </c>
      <c r="CO372">
        <v>0</v>
      </c>
      <c r="CP372">
        <f t="shared" si="323"/>
        <v>0</v>
      </c>
      <c r="CQ372">
        <f t="shared" si="324"/>
        <v>0</v>
      </c>
      <c r="CR372">
        <f t="shared" si="325"/>
        <v>29385.26</v>
      </c>
      <c r="CS372">
        <f t="shared" si="326"/>
        <v>6678.38</v>
      </c>
      <c r="CT372">
        <f t="shared" si="327"/>
        <v>23699.74</v>
      </c>
      <c r="CU372">
        <f t="shared" si="328"/>
        <v>0</v>
      </c>
      <c r="CV372">
        <f t="shared" si="329"/>
        <v>54.417825000000001</v>
      </c>
      <c r="CW372">
        <f t="shared" si="330"/>
        <v>0</v>
      </c>
      <c r="CX372">
        <f t="shared" si="331"/>
        <v>0</v>
      </c>
      <c r="CY372">
        <f>S372*(BZ372/100)</f>
        <v>0</v>
      </c>
      <c r="CZ372">
        <f>S372*(CA372/100)</f>
        <v>0</v>
      </c>
      <c r="DB372">
        <v>132</v>
      </c>
      <c r="DC372" t="s">
        <v>3</v>
      </c>
      <c r="DD372" t="s">
        <v>3</v>
      </c>
      <c r="DE372" t="s">
        <v>22</v>
      </c>
      <c r="DF372" t="s">
        <v>22</v>
      </c>
      <c r="DG372" t="s">
        <v>22</v>
      </c>
      <c r="DH372" t="s">
        <v>3</v>
      </c>
      <c r="DI372" t="s">
        <v>22</v>
      </c>
      <c r="DJ372" t="s">
        <v>22</v>
      </c>
      <c r="DK372" t="s">
        <v>3</v>
      </c>
      <c r="DL372" t="s">
        <v>3</v>
      </c>
      <c r="DM372" t="s">
        <v>3</v>
      </c>
      <c r="DN372">
        <v>80</v>
      </c>
      <c r="DO372">
        <v>55</v>
      </c>
      <c r="DP372">
        <v>1.0469999999999999</v>
      </c>
      <c r="DQ372">
        <v>1</v>
      </c>
      <c r="DU372">
        <v>1007</v>
      </c>
      <c r="DV372" t="s">
        <v>268</v>
      </c>
      <c r="DW372" t="s">
        <v>268</v>
      </c>
      <c r="DX372">
        <v>100</v>
      </c>
      <c r="DZ372" t="s">
        <v>3</v>
      </c>
      <c r="EA372" t="s">
        <v>3</v>
      </c>
      <c r="EB372" t="s">
        <v>3</v>
      </c>
      <c r="EC372" t="s">
        <v>3</v>
      </c>
      <c r="EE372">
        <v>51696713</v>
      </c>
      <c r="EF372">
        <v>60</v>
      </c>
      <c r="EG372" t="s">
        <v>270</v>
      </c>
      <c r="EH372">
        <v>0</v>
      </c>
      <c r="EI372" t="s">
        <v>3</v>
      </c>
      <c r="EJ372">
        <v>1</v>
      </c>
      <c r="EK372">
        <v>674</v>
      </c>
      <c r="EL372" t="s">
        <v>271</v>
      </c>
      <c r="EM372" t="s">
        <v>272</v>
      </c>
      <c r="EO372" t="s">
        <v>26</v>
      </c>
      <c r="EQ372">
        <v>131072</v>
      </c>
      <c r="ER372">
        <v>2979.73</v>
      </c>
      <c r="ES372">
        <v>0</v>
      </c>
      <c r="ET372">
        <v>2355.04</v>
      </c>
      <c r="EU372">
        <v>176.03</v>
      </c>
      <c r="EV372">
        <v>624.69000000000005</v>
      </c>
      <c r="EW372">
        <v>49.5</v>
      </c>
      <c r="EX372">
        <v>0</v>
      </c>
      <c r="EY372">
        <v>0</v>
      </c>
      <c r="FQ372">
        <v>0</v>
      </c>
      <c r="FR372">
        <v>0</v>
      </c>
      <c r="FS372">
        <v>0</v>
      </c>
      <c r="FX372">
        <v>80</v>
      </c>
      <c r="FY372">
        <v>55</v>
      </c>
      <c r="GA372" t="s">
        <v>3</v>
      </c>
      <c r="GD372">
        <v>0</v>
      </c>
      <c r="GF372">
        <v>-103070583</v>
      </c>
      <c r="GG372">
        <v>2</v>
      </c>
      <c r="GH372">
        <v>1</v>
      </c>
      <c r="GI372">
        <v>2</v>
      </c>
      <c r="GJ372">
        <v>0</v>
      </c>
      <c r="GK372">
        <f>ROUND(R372*(S12)/100,2)</f>
        <v>0</v>
      </c>
      <c r="GL372">
        <f t="shared" si="332"/>
        <v>0</v>
      </c>
      <c r="GM372">
        <f t="shared" si="333"/>
        <v>0</v>
      </c>
      <c r="GN372">
        <f t="shared" si="334"/>
        <v>0</v>
      </c>
      <c r="GO372">
        <f t="shared" si="335"/>
        <v>0</v>
      </c>
      <c r="GP372">
        <f t="shared" si="336"/>
        <v>0</v>
      </c>
      <c r="GR372">
        <v>0</v>
      </c>
      <c r="GS372">
        <v>3</v>
      </c>
      <c r="GT372">
        <v>0</v>
      </c>
      <c r="GU372" t="s">
        <v>3</v>
      </c>
      <c r="GV372">
        <f t="shared" si="337"/>
        <v>0</v>
      </c>
      <c r="GW372">
        <v>1</v>
      </c>
      <c r="GX372">
        <f t="shared" si="338"/>
        <v>0</v>
      </c>
      <c r="HA372">
        <v>0</v>
      </c>
      <c r="HB372">
        <v>0</v>
      </c>
      <c r="HC372">
        <f t="shared" si="339"/>
        <v>0</v>
      </c>
      <c r="HE372" t="s">
        <v>3</v>
      </c>
      <c r="HF372" t="s">
        <v>3</v>
      </c>
      <c r="HM372" t="s">
        <v>3</v>
      </c>
      <c r="HN372" t="s">
        <v>3</v>
      </c>
      <c r="HO372" t="s">
        <v>3</v>
      </c>
      <c r="HP372" t="s">
        <v>3</v>
      </c>
      <c r="HQ372" t="s">
        <v>3</v>
      </c>
      <c r="HS372">
        <v>0</v>
      </c>
      <c r="IK372">
        <v>0</v>
      </c>
    </row>
    <row r="373" spans="1:255" x14ac:dyDescent="0.2">
      <c r="A373" s="2">
        <v>17</v>
      </c>
      <c r="B373" s="2">
        <v>1</v>
      </c>
      <c r="C373" s="2"/>
      <c r="D373" s="2">
        <f>ROW(EtalonRes!A591)</f>
        <v>591</v>
      </c>
      <c r="E373" s="2" t="s">
        <v>421</v>
      </c>
      <c r="F373" s="2" t="s">
        <v>278</v>
      </c>
      <c r="G373" s="2" t="s">
        <v>279</v>
      </c>
      <c r="H373" s="2" t="s">
        <v>280</v>
      </c>
      <c r="I373" s="2">
        <f>ROUND(((I369*1.4)+(I371*2.2))*100,9)</f>
        <v>0</v>
      </c>
      <c r="J373" s="2">
        <v>0</v>
      </c>
      <c r="K373" s="2">
        <f>ROUND(((I369*1.4)+(I371*2.2))*100,9)</f>
        <v>0</v>
      </c>
      <c r="L373" s="2"/>
      <c r="M373" s="2"/>
      <c r="N373" s="2"/>
      <c r="O373" s="2">
        <f t="shared" si="303"/>
        <v>0</v>
      </c>
      <c r="P373" s="2">
        <f t="shared" si="304"/>
        <v>0</v>
      </c>
      <c r="Q373" s="2">
        <f t="shared" si="305"/>
        <v>0</v>
      </c>
      <c r="R373" s="2">
        <f t="shared" si="306"/>
        <v>0</v>
      </c>
      <c r="S373" s="2">
        <f t="shared" si="307"/>
        <v>0</v>
      </c>
      <c r="T373" s="2">
        <f t="shared" si="308"/>
        <v>0</v>
      </c>
      <c r="U373" s="2">
        <f t="shared" si="309"/>
        <v>0</v>
      </c>
      <c r="V373" s="2">
        <f t="shared" si="310"/>
        <v>0</v>
      </c>
      <c r="W373" s="2">
        <f t="shared" si="311"/>
        <v>0</v>
      </c>
      <c r="X373" s="2">
        <f t="shared" si="312"/>
        <v>0</v>
      </c>
      <c r="Y373" s="2">
        <f t="shared" si="313"/>
        <v>0</v>
      </c>
      <c r="Z373" s="2"/>
      <c r="AA373" s="2">
        <v>56622490</v>
      </c>
      <c r="AB373" s="2">
        <f t="shared" si="314"/>
        <v>9.3030000000000008</v>
      </c>
      <c r="AC373" s="2">
        <f t="shared" si="315"/>
        <v>0</v>
      </c>
      <c r="AD373" s="2">
        <f t="shared" si="316"/>
        <v>9.3030000000000008</v>
      </c>
      <c r="AE373" s="2">
        <f t="shared" si="317"/>
        <v>1.554</v>
      </c>
      <c r="AF373" s="2">
        <f t="shared" si="318"/>
        <v>0</v>
      </c>
      <c r="AG373" s="2">
        <f t="shared" si="319"/>
        <v>0</v>
      </c>
      <c r="AH373" s="2">
        <f t="shared" si="320"/>
        <v>0</v>
      </c>
      <c r="AI373" s="2">
        <f t="shared" si="321"/>
        <v>0</v>
      </c>
      <c r="AJ373" s="2">
        <f t="shared" si="322"/>
        <v>0</v>
      </c>
      <c r="AK373" s="2">
        <v>8.86</v>
      </c>
      <c r="AL373" s="2">
        <v>0</v>
      </c>
      <c r="AM373" s="2">
        <v>8.86</v>
      </c>
      <c r="AN373" s="2">
        <v>1.48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91</v>
      </c>
      <c r="AU373" s="2">
        <v>70</v>
      </c>
      <c r="AV373" s="2">
        <v>1.0469999999999999</v>
      </c>
      <c r="AW373" s="2">
        <v>1.002</v>
      </c>
      <c r="AX373" s="2"/>
      <c r="AY373" s="2"/>
      <c r="AZ373" s="2">
        <v>1</v>
      </c>
      <c r="BA373" s="2">
        <v>1</v>
      </c>
      <c r="BB373" s="2">
        <v>1</v>
      </c>
      <c r="BC373" s="2">
        <v>1</v>
      </c>
      <c r="BD373" s="2" t="s">
        <v>3</v>
      </c>
      <c r="BE373" s="2" t="s">
        <v>3</v>
      </c>
      <c r="BF373" s="2" t="s">
        <v>3</v>
      </c>
      <c r="BG373" s="2" t="s">
        <v>3</v>
      </c>
      <c r="BH373" s="2">
        <v>0</v>
      </c>
      <c r="BI373" s="2">
        <v>1</v>
      </c>
      <c r="BJ373" s="2" t="s">
        <v>281</v>
      </c>
      <c r="BK373" s="2"/>
      <c r="BL373" s="2"/>
      <c r="BM373" s="2">
        <v>658</v>
      </c>
      <c r="BN373" s="2">
        <v>0</v>
      </c>
      <c r="BO373" s="2" t="s">
        <v>3</v>
      </c>
      <c r="BP373" s="2">
        <v>0</v>
      </c>
      <c r="BQ373" s="2">
        <v>60</v>
      </c>
      <c r="BR373" s="2">
        <v>0</v>
      </c>
      <c r="BS373" s="2">
        <v>1</v>
      </c>
      <c r="BT373" s="2">
        <v>1</v>
      </c>
      <c r="BU373" s="2">
        <v>1</v>
      </c>
      <c r="BV373" s="2">
        <v>1</v>
      </c>
      <c r="BW373" s="2">
        <v>1</v>
      </c>
      <c r="BX373" s="2">
        <v>1</v>
      </c>
      <c r="BY373" s="2" t="s">
        <v>3</v>
      </c>
      <c r="BZ373" s="2">
        <v>91</v>
      </c>
      <c r="CA373" s="2">
        <v>70</v>
      </c>
      <c r="CB373" s="2" t="s">
        <v>3</v>
      </c>
      <c r="CC373" s="2"/>
      <c r="CD373" s="2"/>
      <c r="CE373" s="2">
        <v>30</v>
      </c>
      <c r="CF373" s="2">
        <v>0</v>
      </c>
      <c r="CG373" s="2">
        <v>0</v>
      </c>
      <c r="CH373" s="2"/>
      <c r="CI373" s="2"/>
      <c r="CJ373" s="2"/>
      <c r="CK373" s="2"/>
      <c r="CL373" s="2"/>
      <c r="CM373" s="2">
        <v>0</v>
      </c>
      <c r="CN373" s="2" t="s">
        <v>708</v>
      </c>
      <c r="CO373" s="2">
        <v>0</v>
      </c>
      <c r="CP373" s="2">
        <f t="shared" si="323"/>
        <v>0</v>
      </c>
      <c r="CQ373" s="2">
        <f t="shared" si="324"/>
        <v>0</v>
      </c>
      <c r="CR373" s="2">
        <f t="shared" si="325"/>
        <v>9.74</v>
      </c>
      <c r="CS373" s="2">
        <f t="shared" si="326"/>
        <v>1.63</v>
      </c>
      <c r="CT373" s="2">
        <f t="shared" si="327"/>
        <v>0</v>
      </c>
      <c r="CU373" s="2">
        <f t="shared" si="328"/>
        <v>0</v>
      </c>
      <c r="CV373" s="2">
        <f t="shared" si="329"/>
        <v>0</v>
      </c>
      <c r="CW373" s="2">
        <f t="shared" si="330"/>
        <v>0</v>
      </c>
      <c r="CX373" s="2">
        <f t="shared" si="331"/>
        <v>0</v>
      </c>
      <c r="CY373" s="2">
        <f>((S373*BZ373)/100)</f>
        <v>0</v>
      </c>
      <c r="CZ373" s="2">
        <f>((S373*CA373)/100)</f>
        <v>0</v>
      </c>
      <c r="DA373" s="2"/>
      <c r="DB373" s="2">
        <v>133</v>
      </c>
      <c r="DC373" s="2" t="s">
        <v>3</v>
      </c>
      <c r="DD373" s="2" t="s">
        <v>3</v>
      </c>
      <c r="DE373" s="2" t="s">
        <v>22</v>
      </c>
      <c r="DF373" s="2" t="s">
        <v>22</v>
      </c>
      <c r="DG373" s="2" t="s">
        <v>22</v>
      </c>
      <c r="DH373" s="2" t="s">
        <v>3</v>
      </c>
      <c r="DI373" s="2" t="s">
        <v>22</v>
      </c>
      <c r="DJ373" s="2" t="s">
        <v>22</v>
      </c>
      <c r="DK373" s="2" t="s">
        <v>3</v>
      </c>
      <c r="DL373" s="2" t="s">
        <v>3</v>
      </c>
      <c r="DM373" s="2" t="s">
        <v>3</v>
      </c>
      <c r="DN373" s="2">
        <v>0</v>
      </c>
      <c r="DO373" s="2">
        <v>0</v>
      </c>
      <c r="DP373" s="2">
        <v>1</v>
      </c>
      <c r="DQ373" s="2">
        <v>1</v>
      </c>
      <c r="DR373" s="2"/>
      <c r="DS373" s="2"/>
      <c r="DT373" s="2"/>
      <c r="DU373" s="2">
        <v>1013</v>
      </c>
      <c r="DV373" s="2" t="s">
        <v>280</v>
      </c>
      <c r="DW373" s="2" t="s">
        <v>280</v>
      </c>
      <c r="DX373" s="2">
        <v>1</v>
      </c>
      <c r="DY373" s="2"/>
      <c r="DZ373" s="2" t="s">
        <v>3</v>
      </c>
      <c r="EA373" s="2" t="s">
        <v>3</v>
      </c>
      <c r="EB373" s="2" t="s">
        <v>3</v>
      </c>
      <c r="EC373" s="2" t="s">
        <v>3</v>
      </c>
      <c r="ED373" s="2"/>
      <c r="EE373" s="2">
        <v>51696697</v>
      </c>
      <c r="EF373" s="2">
        <v>60</v>
      </c>
      <c r="EG373" s="2" t="s">
        <v>270</v>
      </c>
      <c r="EH373" s="2">
        <v>0</v>
      </c>
      <c r="EI373" s="2" t="s">
        <v>3</v>
      </c>
      <c r="EJ373" s="2">
        <v>1</v>
      </c>
      <c r="EK373" s="2">
        <v>658</v>
      </c>
      <c r="EL373" s="2" t="s">
        <v>282</v>
      </c>
      <c r="EM373" s="2" t="s">
        <v>283</v>
      </c>
      <c r="EN373" s="2"/>
      <c r="EO373" s="2" t="s">
        <v>26</v>
      </c>
      <c r="EP373" s="2"/>
      <c r="EQ373" s="2">
        <v>131072</v>
      </c>
      <c r="ER373" s="2">
        <v>8.86</v>
      </c>
      <c r="ES373" s="2">
        <v>0</v>
      </c>
      <c r="ET373" s="2">
        <v>8.86</v>
      </c>
      <c r="EU373" s="2">
        <v>1.48</v>
      </c>
      <c r="EV373" s="2">
        <v>0</v>
      </c>
      <c r="EW373" s="2">
        <v>0</v>
      </c>
      <c r="EX373" s="2">
        <v>0</v>
      </c>
      <c r="EY373" s="2">
        <v>0</v>
      </c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>
        <v>0</v>
      </c>
      <c r="FR373" s="2">
        <v>0</v>
      </c>
      <c r="FS373" s="2">
        <v>0</v>
      </c>
      <c r="FT373" s="2"/>
      <c r="FU373" s="2"/>
      <c r="FV373" s="2"/>
      <c r="FW373" s="2"/>
      <c r="FX373" s="2">
        <v>91</v>
      </c>
      <c r="FY373" s="2">
        <v>70</v>
      </c>
      <c r="FZ373" s="2"/>
      <c r="GA373" s="2" t="s">
        <v>3</v>
      </c>
      <c r="GB373" s="2"/>
      <c r="GC373" s="2"/>
      <c r="GD373" s="2">
        <v>0</v>
      </c>
      <c r="GE373" s="2"/>
      <c r="GF373" s="2">
        <v>-714011973</v>
      </c>
      <c r="GG373" s="2">
        <v>2</v>
      </c>
      <c r="GH373" s="2">
        <v>1</v>
      </c>
      <c r="GI373" s="2">
        <v>-2</v>
      </c>
      <c r="GJ373" s="2">
        <v>0</v>
      </c>
      <c r="GK373" s="2">
        <f>ROUND(R373*(R12)/100,2)</f>
        <v>0</v>
      </c>
      <c r="GL373" s="2">
        <f t="shared" si="332"/>
        <v>0</v>
      </c>
      <c r="GM373" s="2">
        <f t="shared" si="333"/>
        <v>0</v>
      </c>
      <c r="GN373" s="2">
        <f t="shared" si="334"/>
        <v>0</v>
      </c>
      <c r="GO373" s="2">
        <f t="shared" si="335"/>
        <v>0</v>
      </c>
      <c r="GP373" s="2">
        <f t="shared" si="336"/>
        <v>0</v>
      </c>
      <c r="GQ373" s="2"/>
      <c r="GR373" s="2">
        <v>0</v>
      </c>
      <c r="GS373" s="2">
        <v>0</v>
      </c>
      <c r="GT373" s="2">
        <v>0</v>
      </c>
      <c r="GU373" s="2" t="s">
        <v>3</v>
      </c>
      <c r="GV373" s="2">
        <f t="shared" si="337"/>
        <v>0</v>
      </c>
      <c r="GW373" s="2">
        <v>1</v>
      </c>
      <c r="GX373" s="2">
        <f t="shared" si="338"/>
        <v>0</v>
      </c>
      <c r="GY373" s="2"/>
      <c r="GZ373" s="2"/>
      <c r="HA373" s="2">
        <v>0</v>
      </c>
      <c r="HB373" s="2">
        <v>0</v>
      </c>
      <c r="HC373" s="2">
        <f t="shared" si="339"/>
        <v>0</v>
      </c>
      <c r="HD373" s="2"/>
      <c r="HE373" s="2" t="s">
        <v>3</v>
      </c>
      <c r="HF373" s="2" t="s">
        <v>3</v>
      </c>
      <c r="HG373" s="2"/>
      <c r="HH373" s="2"/>
      <c r="HI373" s="2"/>
      <c r="HJ373" s="2"/>
      <c r="HK373" s="2"/>
      <c r="HL373" s="2"/>
      <c r="HM373" s="2" t="s">
        <v>3</v>
      </c>
      <c r="HN373" s="2" t="s">
        <v>3</v>
      </c>
      <c r="HO373" s="2" t="s">
        <v>3</v>
      </c>
      <c r="HP373" s="2" t="s">
        <v>3</v>
      </c>
      <c r="HQ373" s="2" t="s">
        <v>3</v>
      </c>
      <c r="HR373" s="2"/>
      <c r="HS373" s="2">
        <v>0</v>
      </c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>
        <v>0</v>
      </c>
      <c r="IL373" s="2"/>
      <c r="IM373" s="2"/>
      <c r="IN373" s="2"/>
      <c r="IO373" s="2"/>
      <c r="IP373" s="2"/>
      <c r="IQ373" s="2"/>
      <c r="IR373" s="2"/>
      <c r="IS373" s="2"/>
      <c r="IT373" s="2"/>
      <c r="IU373" s="2"/>
    </row>
    <row r="374" spans="1:255" x14ac:dyDescent="0.2">
      <c r="A374">
        <v>17</v>
      </c>
      <c r="B374">
        <v>1</v>
      </c>
      <c r="D374">
        <f>ROW(EtalonRes!A592)</f>
        <v>592</v>
      </c>
      <c r="E374" t="s">
        <v>421</v>
      </c>
      <c r="F374" t="s">
        <v>278</v>
      </c>
      <c r="G374" t="s">
        <v>279</v>
      </c>
      <c r="H374" t="s">
        <v>280</v>
      </c>
      <c r="I374">
        <f>ROUND(((I370*1.4)+(I372*2.2))*100,9)</f>
        <v>0</v>
      </c>
      <c r="J374">
        <v>0</v>
      </c>
      <c r="K374">
        <f>ROUND(((I370*1.4)+(I372*2.2))*100,9)</f>
        <v>0</v>
      </c>
      <c r="O374">
        <f t="shared" si="303"/>
        <v>0</v>
      </c>
      <c r="P374">
        <f t="shared" si="304"/>
        <v>0</v>
      </c>
      <c r="Q374">
        <f t="shared" si="305"/>
        <v>0</v>
      </c>
      <c r="R374">
        <f t="shared" si="306"/>
        <v>0</v>
      </c>
      <c r="S374">
        <f t="shared" si="307"/>
        <v>0</v>
      </c>
      <c r="T374">
        <f t="shared" si="308"/>
        <v>0</v>
      </c>
      <c r="U374">
        <f t="shared" si="309"/>
        <v>0</v>
      </c>
      <c r="V374">
        <f t="shared" si="310"/>
        <v>0</v>
      </c>
      <c r="W374">
        <f t="shared" si="311"/>
        <v>0</v>
      </c>
      <c r="X374">
        <f t="shared" si="312"/>
        <v>0</v>
      </c>
      <c r="Y374">
        <f t="shared" si="313"/>
        <v>0</v>
      </c>
      <c r="AA374">
        <v>56610029</v>
      </c>
      <c r="AB374">
        <f t="shared" si="314"/>
        <v>9.3030000000000008</v>
      </c>
      <c r="AC374">
        <f t="shared" si="315"/>
        <v>0</v>
      </c>
      <c r="AD374">
        <f t="shared" si="316"/>
        <v>9.3030000000000008</v>
      </c>
      <c r="AE374">
        <f t="shared" si="317"/>
        <v>1.554</v>
      </c>
      <c r="AF374">
        <f t="shared" si="318"/>
        <v>0</v>
      </c>
      <c r="AG374">
        <f t="shared" si="319"/>
        <v>0</v>
      </c>
      <c r="AH374">
        <f t="shared" si="320"/>
        <v>0</v>
      </c>
      <c r="AI374">
        <f t="shared" si="321"/>
        <v>0</v>
      </c>
      <c r="AJ374">
        <f t="shared" si="322"/>
        <v>0</v>
      </c>
      <c r="AK374">
        <v>8.86</v>
      </c>
      <c r="AL374">
        <v>0</v>
      </c>
      <c r="AM374">
        <v>8.86</v>
      </c>
      <c r="AN374">
        <v>1.48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75</v>
      </c>
      <c r="AU374">
        <v>41</v>
      </c>
      <c r="AV374">
        <v>1.0469999999999999</v>
      </c>
      <c r="AW374">
        <v>1.002</v>
      </c>
      <c r="AZ374">
        <v>1</v>
      </c>
      <c r="BA374">
        <v>34.51</v>
      </c>
      <c r="BB374">
        <v>13.53</v>
      </c>
      <c r="BC374">
        <v>1</v>
      </c>
      <c r="BD374" t="s">
        <v>3</v>
      </c>
      <c r="BE374" t="s">
        <v>3</v>
      </c>
      <c r="BF374" t="s">
        <v>3</v>
      </c>
      <c r="BG374" t="s">
        <v>3</v>
      </c>
      <c r="BH374">
        <v>0</v>
      </c>
      <c r="BI374">
        <v>1</v>
      </c>
      <c r="BJ374" t="s">
        <v>281</v>
      </c>
      <c r="BM374">
        <v>658</v>
      </c>
      <c r="BN374">
        <v>0</v>
      </c>
      <c r="BO374" t="s">
        <v>278</v>
      </c>
      <c r="BP374">
        <v>1</v>
      </c>
      <c r="BQ374">
        <v>60</v>
      </c>
      <c r="BR374">
        <v>0</v>
      </c>
      <c r="BS374">
        <v>34.51</v>
      </c>
      <c r="BT374">
        <v>1</v>
      </c>
      <c r="BU374">
        <v>1</v>
      </c>
      <c r="BV374">
        <v>1</v>
      </c>
      <c r="BW374">
        <v>1</v>
      </c>
      <c r="BX374">
        <v>1</v>
      </c>
      <c r="BY374" t="s">
        <v>3</v>
      </c>
      <c r="BZ374">
        <v>75</v>
      </c>
      <c r="CA374">
        <v>41</v>
      </c>
      <c r="CB374" t="s">
        <v>3</v>
      </c>
      <c r="CE374">
        <v>30</v>
      </c>
      <c r="CF374">
        <v>0</v>
      </c>
      <c r="CG374">
        <v>0</v>
      </c>
      <c r="CM374">
        <v>0</v>
      </c>
      <c r="CN374" t="s">
        <v>708</v>
      </c>
      <c r="CO374">
        <v>0</v>
      </c>
      <c r="CP374">
        <f t="shared" si="323"/>
        <v>0</v>
      </c>
      <c r="CQ374">
        <f t="shared" si="324"/>
        <v>0</v>
      </c>
      <c r="CR374">
        <f t="shared" si="325"/>
        <v>131.78</v>
      </c>
      <c r="CS374">
        <f t="shared" si="326"/>
        <v>56.25</v>
      </c>
      <c r="CT374">
        <f t="shared" si="327"/>
        <v>0</v>
      </c>
      <c r="CU374">
        <f t="shared" si="328"/>
        <v>0</v>
      </c>
      <c r="CV374">
        <f t="shared" si="329"/>
        <v>0</v>
      </c>
      <c r="CW374">
        <f t="shared" si="330"/>
        <v>0</v>
      </c>
      <c r="CX374">
        <f t="shared" si="331"/>
        <v>0</v>
      </c>
      <c r="CY374">
        <f>S374*(BZ374/100)</f>
        <v>0</v>
      </c>
      <c r="CZ374">
        <f>S374*(CA374/100)</f>
        <v>0</v>
      </c>
      <c r="DB374">
        <v>134</v>
      </c>
      <c r="DC374" t="s">
        <v>3</v>
      </c>
      <c r="DD374" t="s">
        <v>3</v>
      </c>
      <c r="DE374" t="s">
        <v>22</v>
      </c>
      <c r="DF374" t="s">
        <v>22</v>
      </c>
      <c r="DG374" t="s">
        <v>22</v>
      </c>
      <c r="DH374" t="s">
        <v>3</v>
      </c>
      <c r="DI374" t="s">
        <v>22</v>
      </c>
      <c r="DJ374" t="s">
        <v>22</v>
      </c>
      <c r="DK374" t="s">
        <v>3</v>
      </c>
      <c r="DL374" t="s">
        <v>3</v>
      </c>
      <c r="DM374" t="s">
        <v>3</v>
      </c>
      <c r="DN374">
        <v>91</v>
      </c>
      <c r="DO374">
        <v>70</v>
      </c>
      <c r="DP374">
        <v>1.0469999999999999</v>
      </c>
      <c r="DQ374">
        <v>1.002</v>
      </c>
      <c r="DU374">
        <v>1013</v>
      </c>
      <c r="DV374" t="s">
        <v>280</v>
      </c>
      <c r="DW374" t="s">
        <v>280</v>
      </c>
      <c r="DX374">
        <v>1</v>
      </c>
      <c r="DZ374" t="s">
        <v>3</v>
      </c>
      <c r="EA374" t="s">
        <v>3</v>
      </c>
      <c r="EB374" t="s">
        <v>3</v>
      </c>
      <c r="EC374" t="s">
        <v>3</v>
      </c>
      <c r="EE374">
        <v>51696697</v>
      </c>
      <c r="EF374">
        <v>60</v>
      </c>
      <c r="EG374" t="s">
        <v>270</v>
      </c>
      <c r="EH374">
        <v>0</v>
      </c>
      <c r="EI374" t="s">
        <v>3</v>
      </c>
      <c r="EJ374">
        <v>1</v>
      </c>
      <c r="EK374">
        <v>658</v>
      </c>
      <c r="EL374" t="s">
        <v>282</v>
      </c>
      <c r="EM374" t="s">
        <v>283</v>
      </c>
      <c r="EO374" t="s">
        <v>26</v>
      </c>
      <c r="EQ374">
        <v>131072</v>
      </c>
      <c r="ER374">
        <v>8.86</v>
      </c>
      <c r="ES374">
        <v>0</v>
      </c>
      <c r="ET374">
        <v>8.86</v>
      </c>
      <c r="EU374">
        <v>1.48</v>
      </c>
      <c r="EV374">
        <v>0</v>
      </c>
      <c r="EW374">
        <v>0</v>
      </c>
      <c r="EX374">
        <v>0</v>
      </c>
      <c r="EY374">
        <v>0</v>
      </c>
      <c r="FQ374">
        <v>0</v>
      </c>
      <c r="FR374">
        <v>0</v>
      </c>
      <c r="FS374">
        <v>0</v>
      </c>
      <c r="FX374">
        <v>91</v>
      </c>
      <c r="FY374">
        <v>70</v>
      </c>
      <c r="GA374" t="s">
        <v>3</v>
      </c>
      <c r="GD374">
        <v>0</v>
      </c>
      <c r="GF374">
        <v>-714011973</v>
      </c>
      <c r="GG374">
        <v>2</v>
      </c>
      <c r="GH374">
        <v>1</v>
      </c>
      <c r="GI374">
        <v>2</v>
      </c>
      <c r="GJ374">
        <v>0</v>
      </c>
      <c r="GK374">
        <f>ROUND(R374*(S12)/100,2)</f>
        <v>0</v>
      </c>
      <c r="GL374">
        <f t="shared" si="332"/>
        <v>0</v>
      </c>
      <c r="GM374">
        <f t="shared" si="333"/>
        <v>0</v>
      </c>
      <c r="GN374">
        <f t="shared" si="334"/>
        <v>0</v>
      </c>
      <c r="GO374">
        <f t="shared" si="335"/>
        <v>0</v>
      </c>
      <c r="GP374">
        <f t="shared" si="336"/>
        <v>0</v>
      </c>
      <c r="GR374">
        <v>0</v>
      </c>
      <c r="GS374">
        <v>3</v>
      </c>
      <c r="GT374">
        <v>0</v>
      </c>
      <c r="GU374" t="s">
        <v>3</v>
      </c>
      <c r="GV374">
        <f t="shared" si="337"/>
        <v>0</v>
      </c>
      <c r="GW374">
        <v>1</v>
      </c>
      <c r="GX374">
        <f t="shared" si="338"/>
        <v>0</v>
      </c>
      <c r="HA374">
        <v>0</v>
      </c>
      <c r="HB374">
        <v>0</v>
      </c>
      <c r="HC374">
        <f t="shared" si="339"/>
        <v>0</v>
      </c>
      <c r="HE374" t="s">
        <v>3</v>
      </c>
      <c r="HF374" t="s">
        <v>3</v>
      </c>
      <c r="HM374" t="s">
        <v>3</v>
      </c>
      <c r="HN374" t="s">
        <v>3</v>
      </c>
      <c r="HO374" t="s">
        <v>3</v>
      </c>
      <c r="HP374" t="s">
        <v>3</v>
      </c>
      <c r="HQ374" t="s">
        <v>3</v>
      </c>
      <c r="HS374">
        <v>0</v>
      </c>
      <c r="IK374">
        <v>0</v>
      </c>
    </row>
    <row r="375" spans="1:255" x14ac:dyDescent="0.2">
      <c r="A375" s="2">
        <v>17</v>
      </c>
      <c r="B375" s="2">
        <v>1</v>
      </c>
      <c r="C375" s="2">
        <f>ROW(SmtRes!A63)</f>
        <v>63</v>
      </c>
      <c r="D375" s="2">
        <f>ROW(EtalonRes!A600)</f>
        <v>600</v>
      </c>
      <c r="E375" s="2" t="s">
        <v>422</v>
      </c>
      <c r="F375" s="2" t="s">
        <v>285</v>
      </c>
      <c r="G375" s="2" t="s">
        <v>423</v>
      </c>
      <c r="H375" s="2" t="s">
        <v>287</v>
      </c>
      <c r="I375" s="2">
        <v>0</v>
      </c>
      <c r="J375" s="2">
        <v>0</v>
      </c>
      <c r="K375" s="2">
        <v>0</v>
      </c>
      <c r="L375" s="2"/>
      <c r="M375" s="2"/>
      <c r="N375" s="2"/>
      <c r="O375" s="2">
        <f t="shared" si="303"/>
        <v>0</v>
      </c>
      <c r="P375" s="2">
        <f t="shared" si="304"/>
        <v>0</v>
      </c>
      <c r="Q375" s="2">
        <f t="shared" si="305"/>
        <v>0</v>
      </c>
      <c r="R375" s="2">
        <f t="shared" si="306"/>
        <v>0</v>
      </c>
      <c r="S375" s="2">
        <f t="shared" si="307"/>
        <v>0</v>
      </c>
      <c r="T375" s="2">
        <f t="shared" si="308"/>
        <v>0</v>
      </c>
      <c r="U375" s="2">
        <f t="shared" si="309"/>
        <v>0</v>
      </c>
      <c r="V375" s="2">
        <f t="shared" si="310"/>
        <v>0</v>
      </c>
      <c r="W375" s="2">
        <f t="shared" si="311"/>
        <v>0</v>
      </c>
      <c r="X375" s="2">
        <f t="shared" si="312"/>
        <v>0</v>
      </c>
      <c r="Y375" s="2">
        <f t="shared" si="313"/>
        <v>0</v>
      </c>
      <c r="Z375" s="2"/>
      <c r="AA375" s="2">
        <v>56622490</v>
      </c>
      <c r="AB375" s="2">
        <f t="shared" si="314"/>
        <v>1446.088</v>
      </c>
      <c r="AC375" s="2">
        <f t="shared" si="315"/>
        <v>35.35</v>
      </c>
      <c r="AD375" s="2">
        <f t="shared" si="316"/>
        <v>1251.6735000000001</v>
      </c>
      <c r="AE375" s="2">
        <f t="shared" si="317"/>
        <v>99.665999999999997</v>
      </c>
      <c r="AF375" s="2">
        <f t="shared" si="318"/>
        <v>159.06450000000001</v>
      </c>
      <c r="AG375" s="2">
        <f t="shared" si="319"/>
        <v>0</v>
      </c>
      <c r="AH375" s="2">
        <f t="shared" si="320"/>
        <v>15.120000000000001</v>
      </c>
      <c r="AI375" s="2">
        <f t="shared" si="321"/>
        <v>0</v>
      </c>
      <c r="AJ375" s="2">
        <f t="shared" si="322"/>
        <v>0</v>
      </c>
      <c r="AK375" s="2">
        <v>1378.91</v>
      </c>
      <c r="AL375" s="2">
        <v>35.35</v>
      </c>
      <c r="AM375" s="2">
        <v>1192.07</v>
      </c>
      <c r="AN375" s="2">
        <v>94.92</v>
      </c>
      <c r="AO375" s="2">
        <v>151.49</v>
      </c>
      <c r="AP375" s="2">
        <v>0</v>
      </c>
      <c r="AQ375" s="2">
        <v>14.4</v>
      </c>
      <c r="AR375" s="2">
        <v>0</v>
      </c>
      <c r="AS375" s="2">
        <v>0</v>
      </c>
      <c r="AT375" s="2">
        <v>161</v>
      </c>
      <c r="AU375" s="2">
        <v>107</v>
      </c>
      <c r="AV375" s="2">
        <v>1.0469999999999999</v>
      </c>
      <c r="AW375" s="2">
        <v>1.002</v>
      </c>
      <c r="AX375" s="2"/>
      <c r="AY375" s="2"/>
      <c r="AZ375" s="2">
        <v>1</v>
      </c>
      <c r="BA375" s="2">
        <v>1</v>
      </c>
      <c r="BB375" s="2">
        <v>1</v>
      </c>
      <c r="BC375" s="2">
        <v>1</v>
      </c>
      <c r="BD375" s="2" t="s">
        <v>3</v>
      </c>
      <c r="BE375" s="2" t="s">
        <v>3</v>
      </c>
      <c r="BF375" s="2" t="s">
        <v>3</v>
      </c>
      <c r="BG375" s="2" t="s">
        <v>3</v>
      </c>
      <c r="BH375" s="2">
        <v>0</v>
      </c>
      <c r="BI375" s="2">
        <v>1</v>
      </c>
      <c r="BJ375" s="2" t="s">
        <v>288</v>
      </c>
      <c r="BK375" s="2"/>
      <c r="BL375" s="2"/>
      <c r="BM375" s="2">
        <v>146</v>
      </c>
      <c r="BN375" s="2">
        <v>0</v>
      </c>
      <c r="BO375" s="2" t="s">
        <v>3</v>
      </c>
      <c r="BP375" s="2">
        <v>0</v>
      </c>
      <c r="BQ375" s="2">
        <v>30</v>
      </c>
      <c r="BR375" s="2">
        <v>0</v>
      </c>
      <c r="BS375" s="2">
        <v>1</v>
      </c>
      <c r="BT375" s="2">
        <v>1</v>
      </c>
      <c r="BU375" s="2">
        <v>1</v>
      </c>
      <c r="BV375" s="2">
        <v>1</v>
      </c>
      <c r="BW375" s="2">
        <v>1</v>
      </c>
      <c r="BX375" s="2">
        <v>1</v>
      </c>
      <c r="BY375" s="2" t="s">
        <v>3</v>
      </c>
      <c r="BZ375" s="2">
        <v>161</v>
      </c>
      <c r="CA375" s="2">
        <v>107</v>
      </c>
      <c r="CB375" s="2" t="s">
        <v>3</v>
      </c>
      <c r="CC375" s="2"/>
      <c r="CD375" s="2"/>
      <c r="CE375" s="2">
        <v>30</v>
      </c>
      <c r="CF375" s="2">
        <v>0</v>
      </c>
      <c r="CG375" s="2">
        <v>0</v>
      </c>
      <c r="CH375" s="2"/>
      <c r="CI375" s="2"/>
      <c r="CJ375" s="2"/>
      <c r="CK375" s="2"/>
      <c r="CL375" s="2"/>
      <c r="CM375" s="2">
        <v>0</v>
      </c>
      <c r="CN375" s="2" t="s">
        <v>708</v>
      </c>
      <c r="CO375" s="2">
        <v>0</v>
      </c>
      <c r="CP375" s="2">
        <f t="shared" si="323"/>
        <v>0</v>
      </c>
      <c r="CQ375" s="2">
        <f t="shared" si="324"/>
        <v>35.42</v>
      </c>
      <c r="CR375" s="2">
        <f t="shared" si="325"/>
        <v>1310.5</v>
      </c>
      <c r="CS375" s="2">
        <f t="shared" si="326"/>
        <v>104.35</v>
      </c>
      <c r="CT375" s="2">
        <f t="shared" si="327"/>
        <v>166.54</v>
      </c>
      <c r="CU375" s="2">
        <f t="shared" si="328"/>
        <v>0</v>
      </c>
      <c r="CV375" s="2">
        <f t="shared" si="329"/>
        <v>15.830640000000001</v>
      </c>
      <c r="CW375" s="2">
        <f t="shared" si="330"/>
        <v>0</v>
      </c>
      <c r="CX375" s="2">
        <f t="shared" si="331"/>
        <v>0</v>
      </c>
      <c r="CY375" s="2">
        <f>((S375*BZ375)/100)</f>
        <v>0</v>
      </c>
      <c r="CZ375" s="2">
        <f>((S375*CA375)/100)</f>
        <v>0</v>
      </c>
      <c r="DA375" s="2"/>
      <c r="DB375" s="2">
        <v>135</v>
      </c>
      <c r="DC375" s="2" t="s">
        <v>3</v>
      </c>
      <c r="DD375" s="2" t="s">
        <v>3</v>
      </c>
      <c r="DE375" s="2" t="s">
        <v>22</v>
      </c>
      <c r="DF375" s="2" t="s">
        <v>22</v>
      </c>
      <c r="DG375" s="2" t="s">
        <v>22</v>
      </c>
      <c r="DH375" s="2" t="s">
        <v>3</v>
      </c>
      <c r="DI375" s="2" t="s">
        <v>22</v>
      </c>
      <c r="DJ375" s="2" t="s">
        <v>22</v>
      </c>
      <c r="DK375" s="2" t="s">
        <v>3</v>
      </c>
      <c r="DL375" s="2" t="s">
        <v>3</v>
      </c>
      <c r="DM375" s="2" t="s">
        <v>3</v>
      </c>
      <c r="DN375" s="2">
        <v>0</v>
      </c>
      <c r="DO375" s="2">
        <v>0</v>
      </c>
      <c r="DP375" s="2">
        <v>1</v>
      </c>
      <c r="DQ375" s="2">
        <v>1</v>
      </c>
      <c r="DR375" s="2"/>
      <c r="DS375" s="2"/>
      <c r="DT375" s="2"/>
      <c r="DU375" s="2">
        <v>1013</v>
      </c>
      <c r="DV375" s="2" t="s">
        <v>287</v>
      </c>
      <c r="DW375" s="2" t="s">
        <v>287</v>
      </c>
      <c r="DX375" s="2">
        <v>1</v>
      </c>
      <c r="DY375" s="2"/>
      <c r="DZ375" s="2" t="s">
        <v>3</v>
      </c>
      <c r="EA375" s="2" t="s">
        <v>3</v>
      </c>
      <c r="EB375" s="2" t="s">
        <v>3</v>
      </c>
      <c r="EC375" s="2" t="s">
        <v>3</v>
      </c>
      <c r="ED375" s="2"/>
      <c r="EE375" s="2">
        <v>51696185</v>
      </c>
      <c r="EF375" s="2">
        <v>30</v>
      </c>
      <c r="EG375" s="2" t="s">
        <v>23</v>
      </c>
      <c r="EH375" s="2">
        <v>0</v>
      </c>
      <c r="EI375" s="2" t="s">
        <v>3</v>
      </c>
      <c r="EJ375" s="2">
        <v>1</v>
      </c>
      <c r="EK375" s="2">
        <v>146</v>
      </c>
      <c r="EL375" s="2" t="s">
        <v>289</v>
      </c>
      <c r="EM375" s="2" t="s">
        <v>290</v>
      </c>
      <c r="EN375" s="2"/>
      <c r="EO375" s="2" t="s">
        <v>26</v>
      </c>
      <c r="EP375" s="2"/>
      <c r="EQ375" s="2">
        <v>131072</v>
      </c>
      <c r="ER375" s="2">
        <v>1378.91</v>
      </c>
      <c r="ES375" s="2">
        <v>35.35</v>
      </c>
      <c r="ET375" s="2">
        <v>1192.07</v>
      </c>
      <c r="EU375" s="2">
        <v>94.92</v>
      </c>
      <c r="EV375" s="2">
        <v>151.49</v>
      </c>
      <c r="EW375" s="2">
        <v>14.4</v>
      </c>
      <c r="EX375" s="2">
        <v>0</v>
      </c>
      <c r="EY375" s="2">
        <v>0</v>
      </c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>
        <v>0</v>
      </c>
      <c r="FR375" s="2">
        <v>0</v>
      </c>
      <c r="FS375" s="2">
        <v>0</v>
      </c>
      <c r="FT375" s="2"/>
      <c r="FU375" s="2"/>
      <c r="FV375" s="2"/>
      <c r="FW375" s="2"/>
      <c r="FX375" s="2">
        <v>161</v>
      </c>
      <c r="FY375" s="2">
        <v>107</v>
      </c>
      <c r="FZ375" s="2"/>
      <c r="GA375" s="2" t="s">
        <v>3</v>
      </c>
      <c r="GB375" s="2"/>
      <c r="GC375" s="2"/>
      <c r="GD375" s="2">
        <v>0</v>
      </c>
      <c r="GE375" s="2"/>
      <c r="GF375" s="2">
        <v>-1177786428</v>
      </c>
      <c r="GG375" s="2">
        <v>2</v>
      </c>
      <c r="GH375" s="2">
        <v>1</v>
      </c>
      <c r="GI375" s="2">
        <v>-2</v>
      </c>
      <c r="GJ375" s="2">
        <v>0</v>
      </c>
      <c r="GK375" s="2">
        <f>ROUND(R375*(R12)/100,2)</f>
        <v>0</v>
      </c>
      <c r="GL375" s="2">
        <f t="shared" si="332"/>
        <v>0</v>
      </c>
      <c r="GM375" s="2">
        <f t="shared" si="333"/>
        <v>0</v>
      </c>
      <c r="GN375" s="2">
        <f t="shared" si="334"/>
        <v>0</v>
      </c>
      <c r="GO375" s="2">
        <f t="shared" si="335"/>
        <v>0</v>
      </c>
      <c r="GP375" s="2">
        <f t="shared" si="336"/>
        <v>0</v>
      </c>
      <c r="GQ375" s="2"/>
      <c r="GR375" s="2">
        <v>0</v>
      </c>
      <c r="GS375" s="2">
        <v>0</v>
      </c>
      <c r="GT375" s="2">
        <v>0</v>
      </c>
      <c r="GU375" s="2" t="s">
        <v>3</v>
      </c>
      <c r="GV375" s="2">
        <f t="shared" si="337"/>
        <v>0</v>
      </c>
      <c r="GW375" s="2">
        <v>1</v>
      </c>
      <c r="GX375" s="2">
        <f t="shared" si="338"/>
        <v>0</v>
      </c>
      <c r="GY375" s="2"/>
      <c r="GZ375" s="2"/>
      <c r="HA375" s="2">
        <v>0</v>
      </c>
      <c r="HB375" s="2">
        <v>0</v>
      </c>
      <c r="HC375" s="2">
        <f t="shared" si="339"/>
        <v>0</v>
      </c>
      <c r="HD375" s="2"/>
      <c r="HE375" s="2" t="s">
        <v>3</v>
      </c>
      <c r="HF375" s="2" t="s">
        <v>3</v>
      </c>
      <c r="HG375" s="2"/>
      <c r="HH375" s="2"/>
      <c r="HI375" s="2"/>
      <c r="HJ375" s="2"/>
      <c r="HK375" s="2"/>
      <c r="HL375" s="2"/>
      <c r="HM375" s="2" t="s">
        <v>3</v>
      </c>
      <c r="HN375" s="2" t="s">
        <v>3</v>
      </c>
      <c r="HO375" s="2" t="s">
        <v>3</v>
      </c>
      <c r="HP375" s="2" t="s">
        <v>3</v>
      </c>
      <c r="HQ375" s="2" t="s">
        <v>3</v>
      </c>
      <c r="HR375" s="2"/>
      <c r="HS375" s="2">
        <v>0</v>
      </c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>
        <v>0</v>
      </c>
      <c r="IL375" s="2"/>
      <c r="IM375" s="2"/>
      <c r="IN375" s="2"/>
      <c r="IO375" s="2"/>
      <c r="IP375" s="2"/>
      <c r="IQ375" s="2"/>
      <c r="IR375" s="2"/>
      <c r="IS375" s="2"/>
      <c r="IT375" s="2"/>
      <c r="IU375" s="2"/>
    </row>
    <row r="376" spans="1:255" x14ac:dyDescent="0.2">
      <c r="A376">
        <v>17</v>
      </c>
      <c r="B376">
        <v>1</v>
      </c>
      <c r="C376">
        <f>ROW(SmtRes!A64)</f>
        <v>64</v>
      </c>
      <c r="D376">
        <f>ROW(EtalonRes!A608)</f>
        <v>608</v>
      </c>
      <c r="E376" t="s">
        <v>422</v>
      </c>
      <c r="F376" t="s">
        <v>285</v>
      </c>
      <c r="G376" t="s">
        <v>423</v>
      </c>
      <c r="H376" t="s">
        <v>287</v>
      </c>
      <c r="I376">
        <v>0</v>
      </c>
      <c r="J376">
        <v>0</v>
      </c>
      <c r="K376">
        <v>0</v>
      </c>
      <c r="O376">
        <f t="shared" si="303"/>
        <v>0</v>
      </c>
      <c r="P376">
        <f t="shared" si="304"/>
        <v>0</v>
      </c>
      <c r="Q376">
        <f t="shared" si="305"/>
        <v>0</v>
      </c>
      <c r="R376">
        <f t="shared" si="306"/>
        <v>0</v>
      </c>
      <c r="S376">
        <f t="shared" si="307"/>
        <v>0</v>
      </c>
      <c r="T376">
        <f t="shared" si="308"/>
        <v>0</v>
      </c>
      <c r="U376">
        <f t="shared" si="309"/>
        <v>0</v>
      </c>
      <c r="V376">
        <f t="shared" si="310"/>
        <v>0</v>
      </c>
      <c r="W376">
        <f t="shared" si="311"/>
        <v>0</v>
      </c>
      <c r="X376">
        <f t="shared" si="312"/>
        <v>0</v>
      </c>
      <c r="Y376">
        <f t="shared" si="313"/>
        <v>0</v>
      </c>
      <c r="AA376">
        <v>56610029</v>
      </c>
      <c r="AB376">
        <f t="shared" si="314"/>
        <v>1446.088</v>
      </c>
      <c r="AC376">
        <f t="shared" si="315"/>
        <v>35.35</v>
      </c>
      <c r="AD376">
        <f t="shared" si="316"/>
        <v>1251.6735000000001</v>
      </c>
      <c r="AE376">
        <f t="shared" si="317"/>
        <v>99.665999999999997</v>
      </c>
      <c r="AF376">
        <f t="shared" si="318"/>
        <v>159.06450000000001</v>
      </c>
      <c r="AG376">
        <f t="shared" si="319"/>
        <v>0</v>
      </c>
      <c r="AH376">
        <f t="shared" si="320"/>
        <v>15.120000000000001</v>
      </c>
      <c r="AI376">
        <f t="shared" si="321"/>
        <v>0</v>
      </c>
      <c r="AJ376">
        <f t="shared" si="322"/>
        <v>0</v>
      </c>
      <c r="AK376">
        <v>1378.91</v>
      </c>
      <c r="AL376">
        <v>35.35</v>
      </c>
      <c r="AM376">
        <v>1192.07</v>
      </c>
      <c r="AN376">
        <v>94.92</v>
      </c>
      <c r="AO376">
        <v>151.49</v>
      </c>
      <c r="AP376">
        <v>0</v>
      </c>
      <c r="AQ376">
        <v>14.4</v>
      </c>
      <c r="AR376">
        <v>0</v>
      </c>
      <c r="AS376">
        <v>0</v>
      </c>
      <c r="AT376">
        <v>134</v>
      </c>
      <c r="AU376">
        <v>55</v>
      </c>
      <c r="AV376">
        <v>1.0469999999999999</v>
      </c>
      <c r="AW376">
        <v>1.002</v>
      </c>
      <c r="AZ376">
        <v>1</v>
      </c>
      <c r="BA376">
        <v>34.51</v>
      </c>
      <c r="BB376">
        <v>11.7</v>
      </c>
      <c r="BC376">
        <v>7.05</v>
      </c>
      <c r="BD376" t="s">
        <v>3</v>
      </c>
      <c r="BE376" t="s">
        <v>3</v>
      </c>
      <c r="BF376" t="s">
        <v>3</v>
      </c>
      <c r="BG376" t="s">
        <v>3</v>
      </c>
      <c r="BH376">
        <v>0</v>
      </c>
      <c r="BI376">
        <v>1</v>
      </c>
      <c r="BJ376" t="s">
        <v>288</v>
      </c>
      <c r="BM376">
        <v>146</v>
      </c>
      <c r="BN376">
        <v>0</v>
      </c>
      <c r="BO376" t="s">
        <v>285</v>
      </c>
      <c r="BP376">
        <v>1</v>
      </c>
      <c r="BQ376">
        <v>30</v>
      </c>
      <c r="BR376">
        <v>0</v>
      </c>
      <c r="BS376">
        <v>34.51</v>
      </c>
      <c r="BT376">
        <v>1</v>
      </c>
      <c r="BU376">
        <v>1</v>
      </c>
      <c r="BV376">
        <v>1</v>
      </c>
      <c r="BW376">
        <v>1</v>
      </c>
      <c r="BX376">
        <v>1</v>
      </c>
      <c r="BY376" t="s">
        <v>3</v>
      </c>
      <c r="BZ376">
        <v>134</v>
      </c>
      <c r="CA376">
        <v>55</v>
      </c>
      <c r="CB376" t="s">
        <v>3</v>
      </c>
      <c r="CE376">
        <v>30</v>
      </c>
      <c r="CF376">
        <v>0</v>
      </c>
      <c r="CG376">
        <v>0</v>
      </c>
      <c r="CM376">
        <v>0</v>
      </c>
      <c r="CN376" t="s">
        <v>708</v>
      </c>
      <c r="CO376">
        <v>0</v>
      </c>
      <c r="CP376">
        <f t="shared" si="323"/>
        <v>0</v>
      </c>
      <c r="CQ376">
        <f t="shared" si="324"/>
        <v>249.71</v>
      </c>
      <c r="CR376">
        <f t="shared" si="325"/>
        <v>15332.85</v>
      </c>
      <c r="CS376">
        <f t="shared" si="326"/>
        <v>3601.12</v>
      </c>
      <c r="CT376">
        <f t="shared" si="327"/>
        <v>5747.3</v>
      </c>
      <c r="CU376">
        <f t="shared" si="328"/>
        <v>0</v>
      </c>
      <c r="CV376">
        <f t="shared" si="329"/>
        <v>15.830640000000001</v>
      </c>
      <c r="CW376">
        <f t="shared" si="330"/>
        <v>0</v>
      </c>
      <c r="CX376">
        <f t="shared" si="331"/>
        <v>0</v>
      </c>
      <c r="CY376">
        <f>S376*(BZ376/100)</f>
        <v>0</v>
      </c>
      <c r="CZ376">
        <f>S376*(CA376/100)</f>
        <v>0</v>
      </c>
      <c r="DB376">
        <v>136</v>
      </c>
      <c r="DC376" t="s">
        <v>3</v>
      </c>
      <c r="DD376" t="s">
        <v>3</v>
      </c>
      <c r="DE376" t="s">
        <v>22</v>
      </c>
      <c r="DF376" t="s">
        <v>22</v>
      </c>
      <c r="DG376" t="s">
        <v>22</v>
      </c>
      <c r="DH376" t="s">
        <v>3</v>
      </c>
      <c r="DI376" t="s">
        <v>22</v>
      </c>
      <c r="DJ376" t="s">
        <v>22</v>
      </c>
      <c r="DK376" t="s">
        <v>3</v>
      </c>
      <c r="DL376" t="s">
        <v>3</v>
      </c>
      <c r="DM376" t="s">
        <v>3</v>
      </c>
      <c r="DN376">
        <v>161</v>
      </c>
      <c r="DO376">
        <v>107</v>
      </c>
      <c r="DP376">
        <v>1.0469999999999999</v>
      </c>
      <c r="DQ376">
        <v>1.002</v>
      </c>
      <c r="DU376">
        <v>1013</v>
      </c>
      <c r="DV376" t="s">
        <v>287</v>
      </c>
      <c r="DW376" t="s">
        <v>287</v>
      </c>
      <c r="DX376">
        <v>1</v>
      </c>
      <c r="DZ376" t="s">
        <v>3</v>
      </c>
      <c r="EA376" t="s">
        <v>3</v>
      </c>
      <c r="EB376" t="s">
        <v>3</v>
      </c>
      <c r="EC376" t="s">
        <v>3</v>
      </c>
      <c r="EE376">
        <v>51696185</v>
      </c>
      <c r="EF376">
        <v>30</v>
      </c>
      <c r="EG376" t="s">
        <v>23</v>
      </c>
      <c r="EH376">
        <v>0</v>
      </c>
      <c r="EI376" t="s">
        <v>3</v>
      </c>
      <c r="EJ376">
        <v>1</v>
      </c>
      <c r="EK376">
        <v>146</v>
      </c>
      <c r="EL376" t="s">
        <v>289</v>
      </c>
      <c r="EM376" t="s">
        <v>290</v>
      </c>
      <c r="EO376" t="s">
        <v>26</v>
      </c>
      <c r="EQ376">
        <v>131072</v>
      </c>
      <c r="ER376">
        <v>1378.91</v>
      </c>
      <c r="ES376">
        <v>35.35</v>
      </c>
      <c r="ET376">
        <v>1192.07</v>
      </c>
      <c r="EU376">
        <v>94.92</v>
      </c>
      <c r="EV376">
        <v>151.49</v>
      </c>
      <c r="EW376">
        <v>14.4</v>
      </c>
      <c r="EX376">
        <v>0</v>
      </c>
      <c r="EY376">
        <v>0</v>
      </c>
      <c r="FQ376">
        <v>0</v>
      </c>
      <c r="FR376">
        <v>0</v>
      </c>
      <c r="FS376">
        <v>0</v>
      </c>
      <c r="FX376">
        <v>161</v>
      </c>
      <c r="FY376">
        <v>107</v>
      </c>
      <c r="GA376" t="s">
        <v>3</v>
      </c>
      <c r="GD376">
        <v>0</v>
      </c>
      <c r="GF376">
        <v>-1177786428</v>
      </c>
      <c r="GG376">
        <v>2</v>
      </c>
      <c r="GH376">
        <v>1</v>
      </c>
      <c r="GI376">
        <v>2</v>
      </c>
      <c r="GJ376">
        <v>0</v>
      </c>
      <c r="GK376">
        <f>ROUND(R376*(S12)/100,2)</f>
        <v>0</v>
      </c>
      <c r="GL376">
        <f t="shared" si="332"/>
        <v>0</v>
      </c>
      <c r="GM376">
        <f t="shared" si="333"/>
        <v>0</v>
      </c>
      <c r="GN376">
        <f t="shared" si="334"/>
        <v>0</v>
      </c>
      <c r="GO376">
        <f t="shared" si="335"/>
        <v>0</v>
      </c>
      <c r="GP376">
        <f t="shared" si="336"/>
        <v>0</v>
      </c>
      <c r="GR376">
        <v>0</v>
      </c>
      <c r="GS376">
        <v>3</v>
      </c>
      <c r="GT376">
        <v>0</v>
      </c>
      <c r="GU376" t="s">
        <v>3</v>
      </c>
      <c r="GV376">
        <f t="shared" si="337"/>
        <v>0</v>
      </c>
      <c r="GW376">
        <v>1</v>
      </c>
      <c r="GX376">
        <f t="shared" si="338"/>
        <v>0</v>
      </c>
      <c r="HA376">
        <v>0</v>
      </c>
      <c r="HB376">
        <v>0</v>
      </c>
      <c r="HC376">
        <f t="shared" si="339"/>
        <v>0</v>
      </c>
      <c r="HE376" t="s">
        <v>3</v>
      </c>
      <c r="HF376" t="s">
        <v>3</v>
      </c>
      <c r="HM376" t="s">
        <v>3</v>
      </c>
      <c r="HN376" t="s">
        <v>3</v>
      </c>
      <c r="HO376" t="s">
        <v>3</v>
      </c>
      <c r="HP376" t="s">
        <v>3</v>
      </c>
      <c r="HQ376" t="s">
        <v>3</v>
      </c>
      <c r="HS376">
        <v>0</v>
      </c>
      <c r="IK376">
        <v>0</v>
      </c>
    </row>
    <row r="377" spans="1:255" x14ac:dyDescent="0.2">
      <c r="A377" s="2">
        <v>18</v>
      </c>
      <c r="B377" s="2">
        <v>1</v>
      </c>
      <c r="C377" s="2">
        <v>63</v>
      </c>
      <c r="D377" s="2"/>
      <c r="E377" s="2" t="s">
        <v>424</v>
      </c>
      <c r="F377" s="2" t="s">
        <v>83</v>
      </c>
      <c r="G377" s="2" t="s">
        <v>292</v>
      </c>
      <c r="H377" s="2" t="s">
        <v>85</v>
      </c>
      <c r="I377" s="2">
        <f>I375*J377</f>
        <v>0</v>
      </c>
      <c r="J377" s="2">
        <v>110</v>
      </c>
      <c r="K377" s="2">
        <v>110</v>
      </c>
      <c r="L377" s="2"/>
      <c r="M377" s="2"/>
      <c r="N377" s="2"/>
      <c r="O377" s="2">
        <f t="shared" si="303"/>
        <v>0</v>
      </c>
      <c r="P377" s="2">
        <f t="shared" si="304"/>
        <v>0</v>
      </c>
      <c r="Q377" s="2">
        <f>(ROUND((ROUND(((ET377)*AV377*I377),2)*BB377),2)+ROUND((ROUND(((AE377-(EU377))*AV377*I377),2)*BS377),2))</f>
        <v>0</v>
      </c>
      <c r="R377" s="2">
        <f t="shared" si="306"/>
        <v>0</v>
      </c>
      <c r="S377" s="2">
        <f t="shared" si="307"/>
        <v>0</v>
      </c>
      <c r="T377" s="2">
        <f t="shared" si="308"/>
        <v>0</v>
      </c>
      <c r="U377" s="2">
        <f t="shared" si="309"/>
        <v>0</v>
      </c>
      <c r="V377" s="2">
        <f t="shared" si="310"/>
        <v>0</v>
      </c>
      <c r="W377" s="2">
        <f t="shared" si="311"/>
        <v>0</v>
      </c>
      <c r="X377" s="2">
        <f t="shared" si="312"/>
        <v>0</v>
      </c>
      <c r="Y377" s="2">
        <f t="shared" si="313"/>
        <v>0</v>
      </c>
      <c r="Z377" s="2"/>
      <c r="AA377" s="2">
        <v>56622490</v>
      </c>
      <c r="AB377" s="2">
        <f t="shared" si="314"/>
        <v>104.99</v>
      </c>
      <c r="AC377" s="2">
        <f t="shared" si="315"/>
        <v>104.99</v>
      </c>
      <c r="AD377" s="2">
        <f>ROUND((((ET377)-(EU377))+AE377),6)</f>
        <v>0</v>
      </c>
      <c r="AE377" s="2">
        <f>ROUND((EU377),6)</f>
        <v>0</v>
      </c>
      <c r="AF377" s="2">
        <f>ROUND((EV377),6)</f>
        <v>0</v>
      </c>
      <c r="AG377" s="2">
        <f t="shared" si="319"/>
        <v>0</v>
      </c>
      <c r="AH377" s="2">
        <f>(EW377)</f>
        <v>0</v>
      </c>
      <c r="AI377" s="2">
        <f>(EX377)</f>
        <v>0</v>
      </c>
      <c r="AJ377" s="2">
        <f t="shared" si="322"/>
        <v>0</v>
      </c>
      <c r="AK377" s="2">
        <v>104.99</v>
      </c>
      <c r="AL377" s="2">
        <v>104.99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161</v>
      </c>
      <c r="AU377" s="2">
        <v>107</v>
      </c>
      <c r="AV377" s="2">
        <v>1.0469999999999999</v>
      </c>
      <c r="AW377" s="2">
        <v>1.002</v>
      </c>
      <c r="AX377" s="2"/>
      <c r="AY377" s="2"/>
      <c r="AZ377" s="2">
        <v>1</v>
      </c>
      <c r="BA377" s="2">
        <v>1</v>
      </c>
      <c r="BB377" s="2">
        <v>1</v>
      </c>
      <c r="BC377" s="2">
        <v>1</v>
      </c>
      <c r="BD377" s="2" t="s">
        <v>3</v>
      </c>
      <c r="BE377" s="2" t="s">
        <v>3</v>
      </c>
      <c r="BF377" s="2" t="s">
        <v>3</v>
      </c>
      <c r="BG377" s="2" t="s">
        <v>3</v>
      </c>
      <c r="BH377" s="2">
        <v>3</v>
      </c>
      <c r="BI377" s="2">
        <v>1</v>
      </c>
      <c r="BJ377" s="2" t="s">
        <v>86</v>
      </c>
      <c r="BK377" s="2"/>
      <c r="BL377" s="2"/>
      <c r="BM377" s="2">
        <v>146</v>
      </c>
      <c r="BN377" s="2">
        <v>0</v>
      </c>
      <c r="BO377" s="2" t="s">
        <v>3</v>
      </c>
      <c r="BP377" s="2">
        <v>0</v>
      </c>
      <c r="BQ377" s="2">
        <v>30</v>
      </c>
      <c r="BR377" s="2">
        <v>0</v>
      </c>
      <c r="BS377" s="2">
        <v>1</v>
      </c>
      <c r="BT377" s="2">
        <v>1</v>
      </c>
      <c r="BU377" s="2">
        <v>1</v>
      </c>
      <c r="BV377" s="2">
        <v>1</v>
      </c>
      <c r="BW377" s="2">
        <v>1</v>
      </c>
      <c r="BX377" s="2">
        <v>1</v>
      </c>
      <c r="BY377" s="2" t="s">
        <v>3</v>
      </c>
      <c r="BZ377" s="2">
        <v>161</v>
      </c>
      <c r="CA377" s="2">
        <v>107</v>
      </c>
      <c r="CB377" s="2" t="s">
        <v>3</v>
      </c>
      <c r="CC377" s="2"/>
      <c r="CD377" s="2"/>
      <c r="CE377" s="2">
        <v>30</v>
      </c>
      <c r="CF377" s="2">
        <v>0</v>
      </c>
      <c r="CG377" s="2">
        <v>0</v>
      </c>
      <c r="CH377" s="2"/>
      <c r="CI377" s="2"/>
      <c r="CJ377" s="2"/>
      <c r="CK377" s="2"/>
      <c r="CL377" s="2"/>
      <c r="CM377" s="2">
        <v>0</v>
      </c>
      <c r="CN377" s="2" t="s">
        <v>3</v>
      </c>
      <c r="CO377" s="2">
        <v>0</v>
      </c>
      <c r="CP377" s="2">
        <f t="shared" si="323"/>
        <v>0</v>
      </c>
      <c r="CQ377" s="2">
        <f t="shared" si="324"/>
        <v>105.2</v>
      </c>
      <c r="CR377" s="2">
        <f>(ROUND((ROUND(((ET377)*AV377*1),2)*BB377),2)+ROUND((ROUND(((AE377-(EU377))*AV377*1),2)*BS377),2))</f>
        <v>0</v>
      </c>
      <c r="CS377" s="2">
        <f t="shared" si="326"/>
        <v>0</v>
      </c>
      <c r="CT377" s="2">
        <f t="shared" si="327"/>
        <v>0</v>
      </c>
      <c r="CU377" s="2">
        <f t="shared" si="328"/>
        <v>0</v>
      </c>
      <c r="CV377" s="2">
        <f t="shared" si="329"/>
        <v>0</v>
      </c>
      <c r="CW377" s="2">
        <f t="shared" si="330"/>
        <v>0</v>
      </c>
      <c r="CX377" s="2">
        <f t="shared" si="331"/>
        <v>0</v>
      </c>
      <c r="CY377" s="2">
        <f>((S377*BZ377)/100)</f>
        <v>0</v>
      </c>
      <c r="CZ377" s="2">
        <f>((S377*CA377)/100)</f>
        <v>0</v>
      </c>
      <c r="DA377" s="2"/>
      <c r="DB377" s="2"/>
      <c r="DC377" s="2" t="s">
        <v>3</v>
      </c>
      <c r="DD377" s="2" t="s">
        <v>3</v>
      </c>
      <c r="DE377" s="2" t="s">
        <v>3</v>
      </c>
      <c r="DF377" s="2" t="s">
        <v>3</v>
      </c>
      <c r="DG377" s="2" t="s">
        <v>3</v>
      </c>
      <c r="DH377" s="2" t="s">
        <v>3</v>
      </c>
      <c r="DI377" s="2" t="s">
        <v>3</v>
      </c>
      <c r="DJ377" s="2" t="s">
        <v>3</v>
      </c>
      <c r="DK377" s="2" t="s">
        <v>3</v>
      </c>
      <c r="DL377" s="2" t="s">
        <v>3</v>
      </c>
      <c r="DM377" s="2" t="s">
        <v>3</v>
      </c>
      <c r="DN377" s="2">
        <v>0</v>
      </c>
      <c r="DO377" s="2">
        <v>0</v>
      </c>
      <c r="DP377" s="2">
        <v>1</v>
      </c>
      <c r="DQ377" s="2">
        <v>1</v>
      </c>
      <c r="DR377" s="2"/>
      <c r="DS377" s="2"/>
      <c r="DT377" s="2"/>
      <c r="DU377" s="2">
        <v>1007</v>
      </c>
      <c r="DV377" s="2" t="s">
        <v>85</v>
      </c>
      <c r="DW377" s="2" t="s">
        <v>85</v>
      </c>
      <c r="DX377" s="2">
        <v>1</v>
      </c>
      <c r="DY377" s="2"/>
      <c r="DZ377" s="2" t="s">
        <v>3</v>
      </c>
      <c r="EA377" s="2" t="s">
        <v>3</v>
      </c>
      <c r="EB377" s="2" t="s">
        <v>3</v>
      </c>
      <c r="EC377" s="2" t="s">
        <v>3</v>
      </c>
      <c r="ED377" s="2"/>
      <c r="EE377" s="2">
        <v>51696185</v>
      </c>
      <c r="EF377" s="2">
        <v>30</v>
      </c>
      <c r="EG377" s="2" t="s">
        <v>23</v>
      </c>
      <c r="EH377" s="2">
        <v>0</v>
      </c>
      <c r="EI377" s="2" t="s">
        <v>3</v>
      </c>
      <c r="EJ377" s="2">
        <v>1</v>
      </c>
      <c r="EK377" s="2">
        <v>146</v>
      </c>
      <c r="EL377" s="2" t="s">
        <v>289</v>
      </c>
      <c r="EM377" s="2" t="s">
        <v>290</v>
      </c>
      <c r="EN377" s="2"/>
      <c r="EO377" s="2" t="s">
        <v>3</v>
      </c>
      <c r="EP377" s="2"/>
      <c r="EQ377" s="2">
        <v>0</v>
      </c>
      <c r="ER377" s="2">
        <v>104.99</v>
      </c>
      <c r="ES377" s="2">
        <v>104.99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>
        <v>0</v>
      </c>
      <c r="FR377" s="2">
        <v>0</v>
      </c>
      <c r="FS377" s="2">
        <v>0</v>
      </c>
      <c r="FT377" s="2"/>
      <c r="FU377" s="2"/>
      <c r="FV377" s="2"/>
      <c r="FW377" s="2"/>
      <c r="FX377" s="2">
        <v>161</v>
      </c>
      <c r="FY377" s="2">
        <v>107</v>
      </c>
      <c r="FZ377" s="2"/>
      <c r="GA377" s="2" t="s">
        <v>3</v>
      </c>
      <c r="GB377" s="2"/>
      <c r="GC377" s="2"/>
      <c r="GD377" s="2">
        <v>0</v>
      </c>
      <c r="GE377" s="2"/>
      <c r="GF377" s="2">
        <v>921520</v>
      </c>
      <c r="GG377" s="2">
        <v>2</v>
      </c>
      <c r="GH377" s="2">
        <v>1</v>
      </c>
      <c r="GI377" s="2">
        <v>-2</v>
      </c>
      <c r="GJ377" s="2">
        <v>0</v>
      </c>
      <c r="GK377" s="2">
        <f>ROUND(R377*(R12)/100,2)</f>
        <v>0</v>
      </c>
      <c r="GL377" s="2">
        <f t="shared" si="332"/>
        <v>0</v>
      </c>
      <c r="GM377" s="2">
        <f t="shared" si="333"/>
        <v>0</v>
      </c>
      <c r="GN377" s="2">
        <f t="shared" si="334"/>
        <v>0</v>
      </c>
      <c r="GO377" s="2">
        <f t="shared" si="335"/>
        <v>0</v>
      </c>
      <c r="GP377" s="2">
        <f t="shared" si="336"/>
        <v>0</v>
      </c>
      <c r="GQ377" s="2"/>
      <c r="GR377" s="2">
        <v>0</v>
      </c>
      <c r="GS377" s="2">
        <v>0</v>
      </c>
      <c r="GT377" s="2">
        <v>0</v>
      </c>
      <c r="GU377" s="2" t="s">
        <v>3</v>
      </c>
      <c r="GV377" s="2">
        <f t="shared" si="337"/>
        <v>0</v>
      </c>
      <c r="GW377" s="2">
        <v>1</v>
      </c>
      <c r="GX377" s="2">
        <f t="shared" si="338"/>
        <v>0</v>
      </c>
      <c r="GY377" s="2"/>
      <c r="GZ377" s="2"/>
      <c r="HA377" s="2">
        <v>0</v>
      </c>
      <c r="HB377" s="2">
        <v>0</v>
      </c>
      <c r="HC377" s="2">
        <f t="shared" si="339"/>
        <v>0</v>
      </c>
      <c r="HD377" s="2"/>
      <c r="HE377" s="2" t="s">
        <v>3</v>
      </c>
      <c r="HF377" s="2" t="s">
        <v>3</v>
      </c>
      <c r="HG377" s="2"/>
      <c r="HH377" s="2"/>
      <c r="HI377" s="2"/>
      <c r="HJ377" s="2"/>
      <c r="HK377" s="2"/>
      <c r="HL377" s="2"/>
      <c r="HM377" s="2" t="s">
        <v>3</v>
      </c>
      <c r="HN377" s="2" t="s">
        <v>3</v>
      </c>
      <c r="HO377" s="2" t="s">
        <v>3</v>
      </c>
      <c r="HP377" s="2" t="s">
        <v>3</v>
      </c>
      <c r="HQ377" s="2" t="s">
        <v>3</v>
      </c>
      <c r="HR377" s="2"/>
      <c r="HS377" s="2">
        <v>0</v>
      </c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>
        <v>0</v>
      </c>
      <c r="IL377" s="2"/>
      <c r="IM377" s="2"/>
      <c r="IN377" s="2"/>
      <c r="IO377" s="2"/>
      <c r="IP377" s="2"/>
      <c r="IQ377" s="2"/>
      <c r="IR377" s="2"/>
      <c r="IS377" s="2"/>
      <c r="IT377" s="2"/>
      <c r="IU377" s="2"/>
    </row>
    <row r="378" spans="1:255" x14ac:dyDescent="0.2">
      <c r="A378">
        <v>18</v>
      </c>
      <c r="B378">
        <v>1</v>
      </c>
      <c r="C378">
        <v>64</v>
      </c>
      <c r="E378" t="s">
        <v>424</v>
      </c>
      <c r="F378" t="s">
        <v>83</v>
      </c>
      <c r="G378" t="s">
        <v>292</v>
      </c>
      <c r="H378" t="s">
        <v>85</v>
      </c>
      <c r="I378">
        <f>I376*J378</f>
        <v>0</v>
      </c>
      <c r="J378">
        <v>110</v>
      </c>
      <c r="K378">
        <v>110</v>
      </c>
      <c r="O378">
        <f t="shared" si="303"/>
        <v>0</v>
      </c>
      <c r="P378">
        <f t="shared" si="304"/>
        <v>0</v>
      </c>
      <c r="Q378">
        <f>(ROUND((ROUND(((ET378)*AV378*I378),2)*BB378),2)+ROUND((ROUND(((AE378-(EU378))*AV378*I378),2)*BS378),2))</f>
        <v>0</v>
      </c>
      <c r="R378">
        <f t="shared" si="306"/>
        <v>0</v>
      </c>
      <c r="S378">
        <f t="shared" si="307"/>
        <v>0</v>
      </c>
      <c r="T378">
        <f t="shared" si="308"/>
        <v>0</v>
      </c>
      <c r="U378">
        <f t="shared" si="309"/>
        <v>0</v>
      </c>
      <c r="V378">
        <f t="shared" si="310"/>
        <v>0</v>
      </c>
      <c r="W378">
        <f t="shared" si="311"/>
        <v>0</v>
      </c>
      <c r="X378">
        <f t="shared" si="312"/>
        <v>0</v>
      </c>
      <c r="Y378">
        <f t="shared" si="313"/>
        <v>0</v>
      </c>
      <c r="AA378">
        <v>56610029</v>
      </c>
      <c r="AB378">
        <f t="shared" si="314"/>
        <v>104.99</v>
      </c>
      <c r="AC378">
        <f t="shared" si="315"/>
        <v>104.99</v>
      </c>
      <c r="AD378">
        <f>ROUND((((ET378)-(EU378))+AE378),6)</f>
        <v>0</v>
      </c>
      <c r="AE378">
        <f>ROUND((EU378),6)</f>
        <v>0</v>
      </c>
      <c r="AF378">
        <f>ROUND((EV378),6)</f>
        <v>0</v>
      </c>
      <c r="AG378">
        <f t="shared" si="319"/>
        <v>0</v>
      </c>
      <c r="AH378">
        <f>(EW378)</f>
        <v>0</v>
      </c>
      <c r="AI378">
        <f>(EX378)</f>
        <v>0</v>
      </c>
      <c r="AJ378">
        <f t="shared" si="322"/>
        <v>0</v>
      </c>
      <c r="AK378">
        <v>104.99</v>
      </c>
      <c r="AL378">
        <v>104.99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1</v>
      </c>
      <c r="AW378">
        <v>1.002</v>
      </c>
      <c r="AZ378">
        <v>1</v>
      </c>
      <c r="BA378">
        <v>1</v>
      </c>
      <c r="BB378">
        <v>1</v>
      </c>
      <c r="BC378">
        <v>7.69</v>
      </c>
      <c r="BD378" t="s">
        <v>3</v>
      </c>
      <c r="BE378" t="s">
        <v>3</v>
      </c>
      <c r="BF378" t="s">
        <v>3</v>
      </c>
      <c r="BG378" t="s">
        <v>3</v>
      </c>
      <c r="BH378">
        <v>3</v>
      </c>
      <c r="BI378">
        <v>1</v>
      </c>
      <c r="BJ378" t="s">
        <v>86</v>
      </c>
      <c r="BM378">
        <v>146</v>
      </c>
      <c r="BN378">
        <v>0</v>
      </c>
      <c r="BO378" t="s">
        <v>83</v>
      </c>
      <c r="BP378">
        <v>1</v>
      </c>
      <c r="BQ378">
        <v>30</v>
      </c>
      <c r="BR378">
        <v>0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 t="s">
        <v>3</v>
      </c>
      <c r="BZ378">
        <v>0</v>
      </c>
      <c r="CA378">
        <v>0</v>
      </c>
      <c r="CB378" t="s">
        <v>3</v>
      </c>
      <c r="CE378">
        <v>30</v>
      </c>
      <c r="CF378">
        <v>0</v>
      </c>
      <c r="CG378">
        <v>0</v>
      </c>
      <c r="CM378">
        <v>0</v>
      </c>
      <c r="CN378" t="s">
        <v>3</v>
      </c>
      <c r="CO378">
        <v>0</v>
      </c>
      <c r="CP378">
        <f t="shared" si="323"/>
        <v>0</v>
      </c>
      <c r="CQ378">
        <f t="shared" si="324"/>
        <v>808.99</v>
      </c>
      <c r="CR378">
        <f>(ROUND((ROUND(((ET378)*AV378*1),2)*BB378),2)+ROUND((ROUND(((AE378-(EU378))*AV378*1),2)*BS378),2))</f>
        <v>0</v>
      </c>
      <c r="CS378">
        <f t="shared" si="326"/>
        <v>0</v>
      </c>
      <c r="CT378">
        <f t="shared" si="327"/>
        <v>0</v>
      </c>
      <c r="CU378">
        <f t="shared" si="328"/>
        <v>0</v>
      </c>
      <c r="CV378">
        <f t="shared" si="329"/>
        <v>0</v>
      </c>
      <c r="CW378">
        <f t="shared" si="330"/>
        <v>0</v>
      </c>
      <c r="CX378">
        <f t="shared" si="331"/>
        <v>0</v>
      </c>
      <c r="CY378">
        <f>S378*(BZ378/100)</f>
        <v>0</v>
      </c>
      <c r="CZ378">
        <f>S378*(CA378/100)</f>
        <v>0</v>
      </c>
      <c r="DC378" t="s">
        <v>3</v>
      </c>
      <c r="DD378" t="s">
        <v>3</v>
      </c>
      <c r="DE378" t="s">
        <v>3</v>
      </c>
      <c r="DF378" t="s">
        <v>3</v>
      </c>
      <c r="DG378" t="s">
        <v>3</v>
      </c>
      <c r="DH378" t="s">
        <v>3</v>
      </c>
      <c r="DI378" t="s">
        <v>3</v>
      </c>
      <c r="DJ378" t="s">
        <v>3</v>
      </c>
      <c r="DK378" t="s">
        <v>3</v>
      </c>
      <c r="DL378" t="s">
        <v>3</v>
      </c>
      <c r="DM378" t="s">
        <v>3</v>
      </c>
      <c r="DN378">
        <v>161</v>
      </c>
      <c r="DO378">
        <v>107</v>
      </c>
      <c r="DP378">
        <v>1.0469999999999999</v>
      </c>
      <c r="DQ378">
        <v>1.002</v>
      </c>
      <c r="DU378">
        <v>1007</v>
      </c>
      <c r="DV378" t="s">
        <v>85</v>
      </c>
      <c r="DW378" t="s">
        <v>85</v>
      </c>
      <c r="DX378">
        <v>1</v>
      </c>
      <c r="DZ378" t="s">
        <v>3</v>
      </c>
      <c r="EA378" t="s">
        <v>3</v>
      </c>
      <c r="EB378" t="s">
        <v>3</v>
      </c>
      <c r="EC378" t="s">
        <v>3</v>
      </c>
      <c r="EE378">
        <v>51696185</v>
      </c>
      <c r="EF378">
        <v>30</v>
      </c>
      <c r="EG378" t="s">
        <v>23</v>
      </c>
      <c r="EH378">
        <v>0</v>
      </c>
      <c r="EI378" t="s">
        <v>3</v>
      </c>
      <c r="EJ378">
        <v>1</v>
      </c>
      <c r="EK378">
        <v>146</v>
      </c>
      <c r="EL378" t="s">
        <v>289</v>
      </c>
      <c r="EM378" t="s">
        <v>290</v>
      </c>
      <c r="EO378" t="s">
        <v>3</v>
      </c>
      <c r="EQ378">
        <v>0</v>
      </c>
      <c r="ER378">
        <v>104.99</v>
      </c>
      <c r="ES378">
        <v>104.99</v>
      </c>
      <c r="ET378">
        <v>0</v>
      </c>
      <c r="EU378">
        <v>0</v>
      </c>
      <c r="EV378">
        <v>0</v>
      </c>
      <c r="EW378">
        <v>0</v>
      </c>
      <c r="EX378">
        <v>0</v>
      </c>
      <c r="FQ378">
        <v>0</v>
      </c>
      <c r="FR378">
        <v>0</v>
      </c>
      <c r="FS378">
        <v>0</v>
      </c>
      <c r="FX378">
        <v>161</v>
      </c>
      <c r="FY378">
        <v>107</v>
      </c>
      <c r="GA378" t="s">
        <v>3</v>
      </c>
      <c r="GD378">
        <v>0</v>
      </c>
      <c r="GF378">
        <v>921520</v>
      </c>
      <c r="GG378">
        <v>2</v>
      </c>
      <c r="GH378">
        <v>1</v>
      </c>
      <c r="GI378">
        <v>2</v>
      </c>
      <c r="GJ378">
        <v>0</v>
      </c>
      <c r="GK378">
        <f>ROUND(R378*(S12)/100,2)</f>
        <v>0</v>
      </c>
      <c r="GL378">
        <f t="shared" si="332"/>
        <v>0</v>
      </c>
      <c r="GM378">
        <f t="shared" si="333"/>
        <v>0</v>
      </c>
      <c r="GN378">
        <f t="shared" si="334"/>
        <v>0</v>
      </c>
      <c r="GO378">
        <f t="shared" si="335"/>
        <v>0</v>
      </c>
      <c r="GP378">
        <f t="shared" si="336"/>
        <v>0</v>
      </c>
      <c r="GR378">
        <v>0</v>
      </c>
      <c r="GS378">
        <v>3</v>
      </c>
      <c r="GT378">
        <v>0</v>
      </c>
      <c r="GU378" t="s">
        <v>3</v>
      </c>
      <c r="GV378">
        <f t="shared" si="337"/>
        <v>0</v>
      </c>
      <c r="GW378">
        <v>1</v>
      </c>
      <c r="GX378">
        <f t="shared" si="338"/>
        <v>0</v>
      </c>
      <c r="HA378">
        <v>0</v>
      </c>
      <c r="HB378">
        <v>0</v>
      </c>
      <c r="HC378">
        <f t="shared" si="339"/>
        <v>0</v>
      </c>
      <c r="HE378" t="s">
        <v>3</v>
      </c>
      <c r="HF378" t="s">
        <v>3</v>
      </c>
      <c r="HM378" t="s">
        <v>3</v>
      </c>
      <c r="HN378" t="s">
        <v>3</v>
      </c>
      <c r="HO378" t="s">
        <v>3</v>
      </c>
      <c r="HP378" t="s">
        <v>3</v>
      </c>
      <c r="HQ378" t="s">
        <v>3</v>
      </c>
      <c r="HS378">
        <v>0</v>
      </c>
      <c r="IK378">
        <v>0</v>
      </c>
    </row>
    <row r="379" spans="1:255" x14ac:dyDescent="0.2">
      <c r="A379" s="2">
        <v>17</v>
      </c>
      <c r="B379" s="2">
        <v>1</v>
      </c>
      <c r="C379" s="2">
        <f>ROW(SmtRes!A65)</f>
        <v>65</v>
      </c>
      <c r="D379" s="2">
        <f>ROW(EtalonRes!A620)</f>
        <v>620</v>
      </c>
      <c r="E379" s="2" t="s">
        <v>425</v>
      </c>
      <c r="F379" s="2" t="s">
        <v>294</v>
      </c>
      <c r="G379" s="2" t="s">
        <v>295</v>
      </c>
      <c r="H379" s="2" t="s">
        <v>296</v>
      </c>
      <c r="I379" s="2">
        <v>0</v>
      </c>
      <c r="J379" s="2">
        <v>0</v>
      </c>
      <c r="K379" s="2">
        <v>0</v>
      </c>
      <c r="L379" s="2"/>
      <c r="M379" s="2"/>
      <c r="N379" s="2"/>
      <c r="O379" s="2">
        <f t="shared" si="303"/>
        <v>0</v>
      </c>
      <c r="P379" s="2">
        <f t="shared" si="304"/>
        <v>0</v>
      </c>
      <c r="Q379" s="2">
        <f>(ROUND((ROUND((((ET379*1.05))*AV379*I379),2)*BB379),2)+ROUND((ROUND(((AE379-((EU379*1.05)))*AV379*I379),2)*BS379),2))</f>
        <v>0</v>
      </c>
      <c r="R379" s="2">
        <f t="shared" si="306"/>
        <v>0</v>
      </c>
      <c r="S379" s="2">
        <f t="shared" si="307"/>
        <v>0</v>
      </c>
      <c r="T379" s="2">
        <f t="shared" si="308"/>
        <v>0</v>
      </c>
      <c r="U379" s="2">
        <f t="shared" si="309"/>
        <v>0</v>
      </c>
      <c r="V379" s="2">
        <f t="shared" si="310"/>
        <v>0</v>
      </c>
      <c r="W379" s="2">
        <f t="shared" si="311"/>
        <v>0</v>
      </c>
      <c r="X379" s="2">
        <f t="shared" si="312"/>
        <v>0</v>
      </c>
      <c r="Y379" s="2">
        <f t="shared" si="313"/>
        <v>0</v>
      </c>
      <c r="Z379" s="2"/>
      <c r="AA379" s="2">
        <v>56622490</v>
      </c>
      <c r="AB379" s="2">
        <f t="shared" si="314"/>
        <v>12064.766</v>
      </c>
      <c r="AC379" s="2">
        <f t="shared" si="315"/>
        <v>6742.82</v>
      </c>
      <c r="AD379" s="2">
        <f>ROUND(((((ET379*1.05))-((EU379*1.05)))+AE379),6)</f>
        <v>2106.3314999999998</v>
      </c>
      <c r="AE379" s="2">
        <f>ROUND(((EU379*1.05)),6)</f>
        <v>171.654</v>
      </c>
      <c r="AF379" s="2">
        <f>ROUND(((EV379*1.05)),6)</f>
        <v>3215.6145000000001</v>
      </c>
      <c r="AG379" s="2">
        <f t="shared" si="319"/>
        <v>0</v>
      </c>
      <c r="AH379" s="2">
        <f>((EW379*1.05))</f>
        <v>280.35000000000002</v>
      </c>
      <c r="AI379" s="2">
        <f>((EX379*1.05))</f>
        <v>0</v>
      </c>
      <c r="AJ379" s="2">
        <f t="shared" si="322"/>
        <v>0</v>
      </c>
      <c r="AK379" s="2">
        <v>11811.34</v>
      </c>
      <c r="AL379" s="2">
        <v>6742.82</v>
      </c>
      <c r="AM379" s="2">
        <v>2006.03</v>
      </c>
      <c r="AN379" s="2">
        <v>163.47999999999999</v>
      </c>
      <c r="AO379" s="2">
        <v>3062.49</v>
      </c>
      <c r="AP379" s="2">
        <v>0</v>
      </c>
      <c r="AQ379" s="2">
        <v>267</v>
      </c>
      <c r="AR379" s="2">
        <v>0</v>
      </c>
      <c r="AS379" s="2">
        <v>0</v>
      </c>
      <c r="AT379" s="2">
        <v>161</v>
      </c>
      <c r="AU379" s="2">
        <v>107</v>
      </c>
      <c r="AV379" s="2">
        <v>1.0469999999999999</v>
      </c>
      <c r="AW379" s="2">
        <v>1.002</v>
      </c>
      <c r="AX379" s="2"/>
      <c r="AY379" s="2"/>
      <c r="AZ379" s="2">
        <v>1</v>
      </c>
      <c r="BA379" s="2">
        <v>1</v>
      </c>
      <c r="BB379" s="2">
        <v>1</v>
      </c>
      <c r="BC379" s="2">
        <v>1</v>
      </c>
      <c r="BD379" s="2" t="s">
        <v>3</v>
      </c>
      <c r="BE379" s="2" t="s">
        <v>3</v>
      </c>
      <c r="BF379" s="2" t="s">
        <v>3</v>
      </c>
      <c r="BG379" s="2" t="s">
        <v>3</v>
      </c>
      <c r="BH379" s="2">
        <v>0</v>
      </c>
      <c r="BI379" s="2">
        <v>1</v>
      </c>
      <c r="BJ379" s="2" t="s">
        <v>297</v>
      </c>
      <c r="BK379" s="2"/>
      <c r="BL379" s="2"/>
      <c r="BM379" s="2">
        <v>152</v>
      </c>
      <c r="BN379" s="2">
        <v>0</v>
      </c>
      <c r="BO379" s="2" t="s">
        <v>3</v>
      </c>
      <c r="BP379" s="2">
        <v>0</v>
      </c>
      <c r="BQ379" s="2">
        <v>30</v>
      </c>
      <c r="BR379" s="2">
        <v>0</v>
      </c>
      <c r="BS379" s="2">
        <v>1</v>
      </c>
      <c r="BT379" s="2">
        <v>1</v>
      </c>
      <c r="BU379" s="2">
        <v>1</v>
      </c>
      <c r="BV379" s="2">
        <v>1</v>
      </c>
      <c r="BW379" s="2">
        <v>1</v>
      </c>
      <c r="BX379" s="2">
        <v>1</v>
      </c>
      <c r="BY379" s="2" t="s">
        <v>3</v>
      </c>
      <c r="BZ379" s="2">
        <v>161</v>
      </c>
      <c r="CA379" s="2">
        <v>107</v>
      </c>
      <c r="CB379" s="2" t="s">
        <v>3</v>
      </c>
      <c r="CC379" s="2"/>
      <c r="CD379" s="2"/>
      <c r="CE379" s="2">
        <v>30</v>
      </c>
      <c r="CF379" s="2">
        <v>0</v>
      </c>
      <c r="CG379" s="2">
        <v>0</v>
      </c>
      <c r="CH379" s="2"/>
      <c r="CI379" s="2"/>
      <c r="CJ379" s="2"/>
      <c r="CK379" s="2"/>
      <c r="CL379" s="2"/>
      <c r="CM379" s="2">
        <v>0</v>
      </c>
      <c r="CN379" s="2" t="s">
        <v>708</v>
      </c>
      <c r="CO379" s="2">
        <v>0</v>
      </c>
      <c r="CP379" s="2">
        <f t="shared" si="323"/>
        <v>0</v>
      </c>
      <c r="CQ379" s="2">
        <f t="shared" si="324"/>
        <v>6756.31</v>
      </c>
      <c r="CR379" s="2">
        <f>(ROUND((ROUND((((ET379*1.05))*AV379*1),2)*BB379),2)+ROUND((ROUND(((AE379-((EU379*1.05)))*AV379*1),2)*BS379),2))</f>
        <v>2205.33</v>
      </c>
      <c r="CS379" s="2">
        <f t="shared" si="326"/>
        <v>179.72</v>
      </c>
      <c r="CT379" s="2">
        <f t="shared" si="327"/>
        <v>3366.75</v>
      </c>
      <c r="CU379" s="2">
        <f t="shared" si="328"/>
        <v>0</v>
      </c>
      <c r="CV379" s="2">
        <f t="shared" si="329"/>
        <v>293.52645000000001</v>
      </c>
      <c r="CW379" s="2">
        <f t="shared" si="330"/>
        <v>0</v>
      </c>
      <c r="CX379" s="2">
        <f t="shared" si="331"/>
        <v>0</v>
      </c>
      <c r="CY379" s="2">
        <f>((S379*BZ379)/100)</f>
        <v>0</v>
      </c>
      <c r="CZ379" s="2">
        <f>((S379*CA379)/100)</f>
        <v>0</v>
      </c>
      <c r="DA379" s="2"/>
      <c r="DB379" s="2">
        <v>137</v>
      </c>
      <c r="DC379" s="2" t="s">
        <v>3</v>
      </c>
      <c r="DD379" s="2" t="s">
        <v>3</v>
      </c>
      <c r="DE379" s="2" t="s">
        <v>22</v>
      </c>
      <c r="DF379" s="2" t="s">
        <v>22</v>
      </c>
      <c r="DG379" s="2" t="s">
        <v>22</v>
      </c>
      <c r="DH379" s="2" t="s">
        <v>3</v>
      </c>
      <c r="DI379" s="2" t="s">
        <v>22</v>
      </c>
      <c r="DJ379" s="2" t="s">
        <v>22</v>
      </c>
      <c r="DK379" s="2" t="s">
        <v>3</v>
      </c>
      <c r="DL379" s="2" t="s">
        <v>3</v>
      </c>
      <c r="DM379" s="2" t="s">
        <v>3</v>
      </c>
      <c r="DN379" s="2">
        <v>0</v>
      </c>
      <c r="DO379" s="2">
        <v>0</v>
      </c>
      <c r="DP379" s="2">
        <v>1</v>
      </c>
      <c r="DQ379" s="2">
        <v>1</v>
      </c>
      <c r="DR379" s="2"/>
      <c r="DS379" s="2"/>
      <c r="DT379" s="2"/>
      <c r="DU379" s="2">
        <v>1013</v>
      </c>
      <c r="DV379" s="2" t="s">
        <v>296</v>
      </c>
      <c r="DW379" s="2" t="s">
        <v>296</v>
      </c>
      <c r="DX379" s="2">
        <v>1</v>
      </c>
      <c r="DY379" s="2"/>
      <c r="DZ379" s="2" t="s">
        <v>3</v>
      </c>
      <c r="EA379" s="2" t="s">
        <v>3</v>
      </c>
      <c r="EB379" s="2" t="s">
        <v>3</v>
      </c>
      <c r="EC379" s="2" t="s">
        <v>3</v>
      </c>
      <c r="ED379" s="2"/>
      <c r="EE379" s="2">
        <v>51696191</v>
      </c>
      <c r="EF379" s="2">
        <v>30</v>
      </c>
      <c r="EG379" s="2" t="s">
        <v>23</v>
      </c>
      <c r="EH379" s="2">
        <v>0</v>
      </c>
      <c r="EI379" s="2" t="s">
        <v>3</v>
      </c>
      <c r="EJ379" s="2">
        <v>1</v>
      </c>
      <c r="EK379" s="2">
        <v>152</v>
      </c>
      <c r="EL379" s="2" t="s">
        <v>298</v>
      </c>
      <c r="EM379" s="2" t="s">
        <v>299</v>
      </c>
      <c r="EN379" s="2"/>
      <c r="EO379" s="2" t="s">
        <v>26</v>
      </c>
      <c r="EP379" s="2"/>
      <c r="EQ379" s="2">
        <v>131072</v>
      </c>
      <c r="ER379" s="2">
        <v>11811.34</v>
      </c>
      <c r="ES379" s="2">
        <v>6742.82</v>
      </c>
      <c r="ET379" s="2">
        <v>2006.03</v>
      </c>
      <c r="EU379" s="2">
        <v>163.47999999999999</v>
      </c>
      <c r="EV379" s="2">
        <v>3062.49</v>
      </c>
      <c r="EW379" s="2">
        <v>267</v>
      </c>
      <c r="EX379" s="2">
        <v>0</v>
      </c>
      <c r="EY379" s="2">
        <v>0</v>
      </c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>
        <v>0</v>
      </c>
      <c r="FR379" s="2">
        <v>0</v>
      </c>
      <c r="FS379" s="2">
        <v>0</v>
      </c>
      <c r="FT379" s="2"/>
      <c r="FU379" s="2"/>
      <c r="FV379" s="2"/>
      <c r="FW379" s="2"/>
      <c r="FX379" s="2">
        <v>161</v>
      </c>
      <c r="FY379" s="2">
        <v>107</v>
      </c>
      <c r="FZ379" s="2"/>
      <c r="GA379" s="2" t="s">
        <v>3</v>
      </c>
      <c r="GB379" s="2"/>
      <c r="GC379" s="2"/>
      <c r="GD379" s="2">
        <v>0</v>
      </c>
      <c r="GE379" s="2"/>
      <c r="GF379" s="2">
        <v>-245766510</v>
      </c>
      <c r="GG379" s="2">
        <v>2</v>
      </c>
      <c r="GH379" s="2">
        <v>1</v>
      </c>
      <c r="GI379" s="2">
        <v>-2</v>
      </c>
      <c r="GJ379" s="2">
        <v>0</v>
      </c>
      <c r="GK379" s="2">
        <f>ROUND(R379*(R12)/100,2)</f>
        <v>0</v>
      </c>
      <c r="GL379" s="2">
        <f t="shared" si="332"/>
        <v>0</v>
      </c>
      <c r="GM379" s="2">
        <f t="shared" si="333"/>
        <v>0</v>
      </c>
      <c r="GN379" s="2">
        <f t="shared" si="334"/>
        <v>0</v>
      </c>
      <c r="GO379" s="2">
        <f t="shared" si="335"/>
        <v>0</v>
      </c>
      <c r="GP379" s="2">
        <f t="shared" si="336"/>
        <v>0</v>
      </c>
      <c r="GQ379" s="2"/>
      <c r="GR379" s="2">
        <v>0</v>
      </c>
      <c r="GS379" s="2">
        <v>0</v>
      </c>
      <c r="GT379" s="2">
        <v>0</v>
      </c>
      <c r="GU379" s="2" t="s">
        <v>3</v>
      </c>
      <c r="GV379" s="2">
        <f t="shared" si="337"/>
        <v>0</v>
      </c>
      <c r="GW379" s="2">
        <v>1</v>
      </c>
      <c r="GX379" s="2">
        <f t="shared" si="338"/>
        <v>0</v>
      </c>
      <c r="GY379" s="2"/>
      <c r="GZ379" s="2"/>
      <c r="HA379" s="2">
        <v>0</v>
      </c>
      <c r="HB379" s="2">
        <v>0</v>
      </c>
      <c r="HC379" s="2">
        <f t="shared" si="339"/>
        <v>0</v>
      </c>
      <c r="HD379" s="2"/>
      <c r="HE379" s="2" t="s">
        <v>3</v>
      </c>
      <c r="HF379" s="2" t="s">
        <v>3</v>
      </c>
      <c r="HG379" s="2"/>
      <c r="HH379" s="2"/>
      <c r="HI379" s="2"/>
      <c r="HJ379" s="2"/>
      <c r="HK379" s="2"/>
      <c r="HL379" s="2"/>
      <c r="HM379" s="2" t="s">
        <v>3</v>
      </c>
      <c r="HN379" s="2" t="s">
        <v>3</v>
      </c>
      <c r="HO379" s="2" t="s">
        <v>3</v>
      </c>
      <c r="HP379" s="2" t="s">
        <v>3</v>
      </c>
      <c r="HQ379" s="2" t="s">
        <v>3</v>
      </c>
      <c r="HR379" s="2"/>
      <c r="HS379" s="2">
        <v>0</v>
      </c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>
        <v>0</v>
      </c>
      <c r="IL379" s="2"/>
      <c r="IM379" s="2"/>
      <c r="IN379" s="2"/>
      <c r="IO379" s="2"/>
      <c r="IP379" s="2"/>
      <c r="IQ379" s="2"/>
      <c r="IR379" s="2"/>
      <c r="IS379" s="2"/>
      <c r="IT379" s="2"/>
      <c r="IU379" s="2"/>
    </row>
    <row r="380" spans="1:255" x14ac:dyDescent="0.2">
      <c r="A380">
        <v>17</v>
      </c>
      <c r="B380">
        <v>1</v>
      </c>
      <c r="C380">
        <f>ROW(SmtRes!A66)</f>
        <v>66</v>
      </c>
      <c r="D380">
        <f>ROW(EtalonRes!A632)</f>
        <v>632</v>
      </c>
      <c r="E380" t="s">
        <v>425</v>
      </c>
      <c r="F380" t="s">
        <v>294</v>
      </c>
      <c r="G380" t="s">
        <v>295</v>
      </c>
      <c r="H380" t="s">
        <v>296</v>
      </c>
      <c r="I380">
        <v>0</v>
      </c>
      <c r="J380">
        <v>0</v>
      </c>
      <c r="K380">
        <v>0</v>
      </c>
      <c r="O380">
        <f t="shared" si="303"/>
        <v>0</v>
      </c>
      <c r="P380">
        <f t="shared" si="304"/>
        <v>0</v>
      </c>
      <c r="Q380">
        <f>(ROUND((ROUND((((ET380*1.05))*AV380*I380),2)*BB380),2)+ROUND((ROUND(((AE380-((EU380*1.05)))*AV380*I380),2)*BS380),2))</f>
        <v>0</v>
      </c>
      <c r="R380">
        <f t="shared" si="306"/>
        <v>0</v>
      </c>
      <c r="S380">
        <f t="shared" si="307"/>
        <v>0</v>
      </c>
      <c r="T380">
        <f t="shared" si="308"/>
        <v>0</v>
      </c>
      <c r="U380">
        <f t="shared" si="309"/>
        <v>0</v>
      </c>
      <c r="V380">
        <f t="shared" si="310"/>
        <v>0</v>
      </c>
      <c r="W380">
        <f t="shared" si="311"/>
        <v>0</v>
      </c>
      <c r="X380">
        <f t="shared" si="312"/>
        <v>0</v>
      </c>
      <c r="Y380">
        <f t="shared" si="313"/>
        <v>0</v>
      </c>
      <c r="AA380">
        <v>56610029</v>
      </c>
      <c r="AB380">
        <f t="shared" si="314"/>
        <v>12064.766</v>
      </c>
      <c r="AC380">
        <f t="shared" si="315"/>
        <v>6742.82</v>
      </c>
      <c r="AD380">
        <f>ROUND(((((ET380*1.05))-((EU380*1.05)))+AE380),6)</f>
        <v>2106.3314999999998</v>
      </c>
      <c r="AE380">
        <f>ROUND(((EU380*1.05)),6)</f>
        <v>171.654</v>
      </c>
      <c r="AF380">
        <f>ROUND(((EV380*1.05)),6)</f>
        <v>3215.6145000000001</v>
      </c>
      <c r="AG380">
        <f t="shared" si="319"/>
        <v>0</v>
      </c>
      <c r="AH380">
        <f>((EW380*1.05))</f>
        <v>280.35000000000002</v>
      </c>
      <c r="AI380">
        <f>((EX380*1.05))</f>
        <v>0</v>
      </c>
      <c r="AJ380">
        <f t="shared" si="322"/>
        <v>0</v>
      </c>
      <c r="AK380">
        <v>11811.34</v>
      </c>
      <c r="AL380">
        <v>6742.82</v>
      </c>
      <c r="AM380">
        <v>2006.03</v>
      </c>
      <c r="AN380">
        <v>163.47999999999999</v>
      </c>
      <c r="AO380">
        <v>3062.49</v>
      </c>
      <c r="AP380">
        <v>0</v>
      </c>
      <c r="AQ380">
        <v>267</v>
      </c>
      <c r="AR380">
        <v>0</v>
      </c>
      <c r="AS380">
        <v>0</v>
      </c>
      <c r="AT380">
        <v>134</v>
      </c>
      <c r="AU380">
        <v>55</v>
      </c>
      <c r="AV380">
        <v>1.0469999999999999</v>
      </c>
      <c r="AW380">
        <v>1.002</v>
      </c>
      <c r="AZ380">
        <v>1</v>
      </c>
      <c r="BA380">
        <v>34.51</v>
      </c>
      <c r="BB380">
        <v>11.5</v>
      </c>
      <c r="BC380">
        <v>7.13</v>
      </c>
      <c r="BD380" t="s">
        <v>3</v>
      </c>
      <c r="BE380" t="s">
        <v>3</v>
      </c>
      <c r="BF380" t="s">
        <v>3</v>
      </c>
      <c r="BG380" t="s">
        <v>3</v>
      </c>
      <c r="BH380">
        <v>0</v>
      </c>
      <c r="BI380">
        <v>1</v>
      </c>
      <c r="BJ380" t="s">
        <v>297</v>
      </c>
      <c r="BM380">
        <v>152</v>
      </c>
      <c r="BN380">
        <v>0</v>
      </c>
      <c r="BO380" t="s">
        <v>294</v>
      </c>
      <c r="BP380">
        <v>1</v>
      </c>
      <c r="BQ380">
        <v>30</v>
      </c>
      <c r="BR380">
        <v>0</v>
      </c>
      <c r="BS380">
        <v>34.51</v>
      </c>
      <c r="BT380">
        <v>1</v>
      </c>
      <c r="BU380">
        <v>1</v>
      </c>
      <c r="BV380">
        <v>1</v>
      </c>
      <c r="BW380">
        <v>1</v>
      </c>
      <c r="BX380">
        <v>1</v>
      </c>
      <c r="BY380" t="s">
        <v>3</v>
      </c>
      <c r="BZ380">
        <v>134</v>
      </c>
      <c r="CA380">
        <v>55</v>
      </c>
      <c r="CB380" t="s">
        <v>3</v>
      </c>
      <c r="CE380">
        <v>30</v>
      </c>
      <c r="CF380">
        <v>0</v>
      </c>
      <c r="CG380">
        <v>0</v>
      </c>
      <c r="CM380">
        <v>0</v>
      </c>
      <c r="CN380" t="s">
        <v>708</v>
      </c>
      <c r="CO380">
        <v>0</v>
      </c>
      <c r="CP380">
        <f t="shared" si="323"/>
        <v>0</v>
      </c>
      <c r="CQ380">
        <f t="shared" si="324"/>
        <v>48172.49</v>
      </c>
      <c r="CR380">
        <f>(ROUND((ROUND((((ET380*1.05))*AV380*1),2)*BB380),2)+ROUND((ROUND(((AE380-((EU380*1.05)))*AV380*1),2)*BS380),2))</f>
        <v>25361.3</v>
      </c>
      <c r="CS380">
        <f t="shared" si="326"/>
        <v>6202.14</v>
      </c>
      <c r="CT380">
        <f t="shared" si="327"/>
        <v>116186.54</v>
      </c>
      <c r="CU380">
        <f t="shared" si="328"/>
        <v>0</v>
      </c>
      <c r="CV380">
        <f t="shared" si="329"/>
        <v>293.52645000000001</v>
      </c>
      <c r="CW380">
        <f t="shared" si="330"/>
        <v>0</v>
      </c>
      <c r="CX380">
        <f t="shared" si="331"/>
        <v>0</v>
      </c>
      <c r="CY380">
        <f>S380*(BZ380/100)</f>
        <v>0</v>
      </c>
      <c r="CZ380">
        <f>S380*(CA380/100)</f>
        <v>0</v>
      </c>
      <c r="DB380">
        <v>138</v>
      </c>
      <c r="DC380" t="s">
        <v>3</v>
      </c>
      <c r="DD380" t="s">
        <v>3</v>
      </c>
      <c r="DE380" t="s">
        <v>22</v>
      </c>
      <c r="DF380" t="s">
        <v>22</v>
      </c>
      <c r="DG380" t="s">
        <v>22</v>
      </c>
      <c r="DH380" t="s">
        <v>3</v>
      </c>
      <c r="DI380" t="s">
        <v>22</v>
      </c>
      <c r="DJ380" t="s">
        <v>22</v>
      </c>
      <c r="DK380" t="s">
        <v>3</v>
      </c>
      <c r="DL380" t="s">
        <v>3</v>
      </c>
      <c r="DM380" t="s">
        <v>3</v>
      </c>
      <c r="DN380">
        <v>161</v>
      </c>
      <c r="DO380">
        <v>107</v>
      </c>
      <c r="DP380">
        <v>1.0469999999999999</v>
      </c>
      <c r="DQ380">
        <v>1.002</v>
      </c>
      <c r="DU380">
        <v>1013</v>
      </c>
      <c r="DV380" t="s">
        <v>296</v>
      </c>
      <c r="DW380" t="s">
        <v>296</v>
      </c>
      <c r="DX380">
        <v>1</v>
      </c>
      <c r="DZ380" t="s">
        <v>3</v>
      </c>
      <c r="EA380" t="s">
        <v>3</v>
      </c>
      <c r="EB380" t="s">
        <v>3</v>
      </c>
      <c r="EC380" t="s">
        <v>3</v>
      </c>
      <c r="EE380">
        <v>51696191</v>
      </c>
      <c r="EF380">
        <v>30</v>
      </c>
      <c r="EG380" t="s">
        <v>23</v>
      </c>
      <c r="EH380">
        <v>0</v>
      </c>
      <c r="EI380" t="s">
        <v>3</v>
      </c>
      <c r="EJ380">
        <v>1</v>
      </c>
      <c r="EK380">
        <v>152</v>
      </c>
      <c r="EL380" t="s">
        <v>298</v>
      </c>
      <c r="EM380" t="s">
        <v>299</v>
      </c>
      <c r="EO380" t="s">
        <v>26</v>
      </c>
      <c r="EQ380">
        <v>131072</v>
      </c>
      <c r="ER380">
        <v>11811.34</v>
      </c>
      <c r="ES380">
        <v>6742.82</v>
      </c>
      <c r="ET380">
        <v>2006.03</v>
      </c>
      <c r="EU380">
        <v>163.47999999999999</v>
      </c>
      <c r="EV380">
        <v>3062.49</v>
      </c>
      <c r="EW380">
        <v>267</v>
      </c>
      <c r="EX380">
        <v>0</v>
      </c>
      <c r="EY380">
        <v>0</v>
      </c>
      <c r="FQ380">
        <v>0</v>
      </c>
      <c r="FR380">
        <v>0</v>
      </c>
      <c r="FS380">
        <v>0</v>
      </c>
      <c r="FX380">
        <v>161</v>
      </c>
      <c r="FY380">
        <v>107</v>
      </c>
      <c r="GA380" t="s">
        <v>3</v>
      </c>
      <c r="GD380">
        <v>0</v>
      </c>
      <c r="GF380">
        <v>-245766510</v>
      </c>
      <c r="GG380">
        <v>2</v>
      </c>
      <c r="GH380">
        <v>1</v>
      </c>
      <c r="GI380">
        <v>2</v>
      </c>
      <c r="GJ380">
        <v>0</v>
      </c>
      <c r="GK380">
        <f>ROUND(R380*(S12)/100,2)</f>
        <v>0</v>
      </c>
      <c r="GL380">
        <f t="shared" si="332"/>
        <v>0</v>
      </c>
      <c r="GM380">
        <f t="shared" si="333"/>
        <v>0</v>
      </c>
      <c r="GN380">
        <f t="shared" si="334"/>
        <v>0</v>
      </c>
      <c r="GO380">
        <f t="shared" si="335"/>
        <v>0</v>
      </c>
      <c r="GP380">
        <f t="shared" si="336"/>
        <v>0</v>
      </c>
      <c r="GR380">
        <v>0</v>
      </c>
      <c r="GS380">
        <v>3</v>
      </c>
      <c r="GT380">
        <v>0</v>
      </c>
      <c r="GU380" t="s">
        <v>3</v>
      </c>
      <c r="GV380">
        <f t="shared" si="337"/>
        <v>0</v>
      </c>
      <c r="GW380">
        <v>1</v>
      </c>
      <c r="GX380">
        <f t="shared" si="338"/>
        <v>0</v>
      </c>
      <c r="HA380">
        <v>0</v>
      </c>
      <c r="HB380">
        <v>0</v>
      </c>
      <c r="HC380">
        <f t="shared" si="339"/>
        <v>0</v>
      </c>
      <c r="HE380" t="s">
        <v>3</v>
      </c>
      <c r="HF380" t="s">
        <v>3</v>
      </c>
      <c r="HM380" t="s">
        <v>3</v>
      </c>
      <c r="HN380" t="s">
        <v>3</v>
      </c>
      <c r="HO380" t="s">
        <v>3</v>
      </c>
      <c r="HP380" t="s">
        <v>3</v>
      </c>
      <c r="HQ380" t="s">
        <v>3</v>
      </c>
      <c r="HS380">
        <v>0</v>
      </c>
      <c r="IK380">
        <v>0</v>
      </c>
    </row>
    <row r="381" spans="1:255" x14ac:dyDescent="0.2">
      <c r="A381" s="2">
        <v>18</v>
      </c>
      <c r="B381" s="2">
        <v>1</v>
      </c>
      <c r="C381" s="2">
        <v>65</v>
      </c>
      <c r="D381" s="2"/>
      <c r="E381" s="2" t="s">
        <v>426</v>
      </c>
      <c r="F381" s="2" t="s">
        <v>301</v>
      </c>
      <c r="G381" s="2" t="s">
        <v>302</v>
      </c>
      <c r="H381" s="2" t="s">
        <v>85</v>
      </c>
      <c r="I381" s="2">
        <f>I379*J381</f>
        <v>0</v>
      </c>
      <c r="J381" s="2">
        <v>162</v>
      </c>
      <c r="K381" s="2">
        <v>162</v>
      </c>
      <c r="L381" s="2"/>
      <c r="M381" s="2"/>
      <c r="N381" s="2"/>
      <c r="O381" s="2">
        <f t="shared" si="303"/>
        <v>0</v>
      </c>
      <c r="P381" s="2">
        <f t="shared" si="304"/>
        <v>0</v>
      </c>
      <c r="Q381" s="2">
        <f>(ROUND((ROUND(((ET381)*AV381*I381),2)*BB381),2)+ROUND((ROUND(((AE381-(EU381))*AV381*I381),2)*BS381),2))</f>
        <v>0</v>
      </c>
      <c r="R381" s="2">
        <f t="shared" si="306"/>
        <v>0</v>
      </c>
      <c r="S381" s="2">
        <f t="shared" si="307"/>
        <v>0</v>
      </c>
      <c r="T381" s="2">
        <f t="shared" si="308"/>
        <v>0</v>
      </c>
      <c r="U381" s="2">
        <f t="shared" si="309"/>
        <v>0</v>
      </c>
      <c r="V381" s="2">
        <f t="shared" si="310"/>
        <v>0</v>
      </c>
      <c r="W381" s="2">
        <f t="shared" si="311"/>
        <v>0</v>
      </c>
      <c r="X381" s="2">
        <f t="shared" si="312"/>
        <v>0</v>
      </c>
      <c r="Y381" s="2">
        <f t="shared" si="313"/>
        <v>0</v>
      </c>
      <c r="Z381" s="2"/>
      <c r="AA381" s="2">
        <v>56622490</v>
      </c>
      <c r="AB381" s="2">
        <f t="shared" si="314"/>
        <v>517.14</v>
      </c>
      <c r="AC381" s="2">
        <f t="shared" si="315"/>
        <v>517.14</v>
      </c>
      <c r="AD381" s="2">
        <f>ROUND((((ET381)-(EU381))+AE381),6)</f>
        <v>0</v>
      </c>
      <c r="AE381" s="2">
        <f>ROUND((EU381),6)</f>
        <v>0</v>
      </c>
      <c r="AF381" s="2">
        <f>ROUND((EV381),6)</f>
        <v>0</v>
      </c>
      <c r="AG381" s="2">
        <f t="shared" si="319"/>
        <v>0</v>
      </c>
      <c r="AH381" s="2">
        <f>(EW381)</f>
        <v>0</v>
      </c>
      <c r="AI381" s="2">
        <f>(EX381)</f>
        <v>0</v>
      </c>
      <c r="AJ381" s="2">
        <f t="shared" si="322"/>
        <v>0</v>
      </c>
      <c r="AK381" s="2">
        <v>517.14</v>
      </c>
      <c r="AL381" s="2">
        <v>517.14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161</v>
      </c>
      <c r="AU381" s="2">
        <v>107</v>
      </c>
      <c r="AV381" s="2">
        <v>1.0469999999999999</v>
      </c>
      <c r="AW381" s="2">
        <v>1.002</v>
      </c>
      <c r="AX381" s="2"/>
      <c r="AY381" s="2"/>
      <c r="AZ381" s="2">
        <v>1</v>
      </c>
      <c r="BA381" s="2">
        <v>1</v>
      </c>
      <c r="BB381" s="2">
        <v>1</v>
      </c>
      <c r="BC381" s="2">
        <v>1</v>
      </c>
      <c r="BD381" s="2" t="s">
        <v>3</v>
      </c>
      <c r="BE381" s="2" t="s">
        <v>3</v>
      </c>
      <c r="BF381" s="2" t="s">
        <v>3</v>
      </c>
      <c r="BG381" s="2" t="s">
        <v>3</v>
      </c>
      <c r="BH381" s="2">
        <v>3</v>
      </c>
      <c r="BI381" s="2">
        <v>1</v>
      </c>
      <c r="BJ381" s="2" t="s">
        <v>303</v>
      </c>
      <c r="BK381" s="2"/>
      <c r="BL381" s="2"/>
      <c r="BM381" s="2">
        <v>152</v>
      </c>
      <c r="BN381" s="2">
        <v>0</v>
      </c>
      <c r="BO381" s="2" t="s">
        <v>3</v>
      </c>
      <c r="BP381" s="2">
        <v>0</v>
      </c>
      <c r="BQ381" s="2">
        <v>30</v>
      </c>
      <c r="BR381" s="2">
        <v>0</v>
      </c>
      <c r="BS381" s="2">
        <v>1</v>
      </c>
      <c r="BT381" s="2">
        <v>1</v>
      </c>
      <c r="BU381" s="2">
        <v>1</v>
      </c>
      <c r="BV381" s="2">
        <v>1</v>
      </c>
      <c r="BW381" s="2">
        <v>1</v>
      </c>
      <c r="BX381" s="2">
        <v>1</v>
      </c>
      <c r="BY381" s="2" t="s">
        <v>3</v>
      </c>
      <c r="BZ381" s="2">
        <v>161</v>
      </c>
      <c r="CA381" s="2">
        <v>107</v>
      </c>
      <c r="CB381" s="2" t="s">
        <v>3</v>
      </c>
      <c r="CC381" s="2"/>
      <c r="CD381" s="2"/>
      <c r="CE381" s="2">
        <v>30</v>
      </c>
      <c r="CF381" s="2">
        <v>0</v>
      </c>
      <c r="CG381" s="2">
        <v>0</v>
      </c>
      <c r="CH381" s="2"/>
      <c r="CI381" s="2"/>
      <c r="CJ381" s="2"/>
      <c r="CK381" s="2"/>
      <c r="CL381" s="2"/>
      <c r="CM381" s="2">
        <v>0</v>
      </c>
      <c r="CN381" s="2" t="s">
        <v>3</v>
      </c>
      <c r="CO381" s="2">
        <v>0</v>
      </c>
      <c r="CP381" s="2">
        <f t="shared" si="323"/>
        <v>0</v>
      </c>
      <c r="CQ381" s="2">
        <f t="shared" si="324"/>
        <v>518.16999999999996</v>
      </c>
      <c r="CR381" s="2">
        <f>(ROUND((ROUND(((ET381)*AV381*1),2)*BB381),2)+ROUND((ROUND(((AE381-(EU381))*AV381*1),2)*BS381),2))</f>
        <v>0</v>
      </c>
      <c r="CS381" s="2">
        <f t="shared" si="326"/>
        <v>0</v>
      </c>
      <c r="CT381" s="2">
        <f t="shared" si="327"/>
        <v>0</v>
      </c>
      <c r="CU381" s="2">
        <f t="shared" si="328"/>
        <v>0</v>
      </c>
      <c r="CV381" s="2">
        <f t="shared" si="329"/>
        <v>0</v>
      </c>
      <c r="CW381" s="2">
        <f t="shared" si="330"/>
        <v>0</v>
      </c>
      <c r="CX381" s="2">
        <f t="shared" si="331"/>
        <v>0</v>
      </c>
      <c r="CY381" s="2">
        <f>((S381*BZ381)/100)</f>
        <v>0</v>
      </c>
      <c r="CZ381" s="2">
        <f>((S381*CA381)/100)</f>
        <v>0</v>
      </c>
      <c r="DA381" s="2"/>
      <c r="DB381" s="2"/>
      <c r="DC381" s="2" t="s">
        <v>3</v>
      </c>
      <c r="DD381" s="2" t="s">
        <v>3</v>
      </c>
      <c r="DE381" s="2" t="s">
        <v>3</v>
      </c>
      <c r="DF381" s="2" t="s">
        <v>3</v>
      </c>
      <c r="DG381" s="2" t="s">
        <v>3</v>
      </c>
      <c r="DH381" s="2" t="s">
        <v>3</v>
      </c>
      <c r="DI381" s="2" t="s">
        <v>3</v>
      </c>
      <c r="DJ381" s="2" t="s">
        <v>3</v>
      </c>
      <c r="DK381" s="2" t="s">
        <v>3</v>
      </c>
      <c r="DL381" s="2" t="s">
        <v>3</v>
      </c>
      <c r="DM381" s="2" t="s">
        <v>3</v>
      </c>
      <c r="DN381" s="2">
        <v>0</v>
      </c>
      <c r="DO381" s="2">
        <v>0</v>
      </c>
      <c r="DP381" s="2">
        <v>1</v>
      </c>
      <c r="DQ381" s="2">
        <v>1</v>
      </c>
      <c r="DR381" s="2"/>
      <c r="DS381" s="2"/>
      <c r="DT381" s="2"/>
      <c r="DU381" s="2">
        <v>1007</v>
      </c>
      <c r="DV381" s="2" t="s">
        <v>85</v>
      </c>
      <c r="DW381" s="2" t="s">
        <v>85</v>
      </c>
      <c r="DX381" s="2">
        <v>1</v>
      </c>
      <c r="DY381" s="2"/>
      <c r="DZ381" s="2" t="s">
        <v>3</v>
      </c>
      <c r="EA381" s="2" t="s">
        <v>3</v>
      </c>
      <c r="EB381" s="2" t="s">
        <v>3</v>
      </c>
      <c r="EC381" s="2" t="s">
        <v>3</v>
      </c>
      <c r="ED381" s="2"/>
      <c r="EE381" s="2">
        <v>51696191</v>
      </c>
      <c r="EF381" s="2">
        <v>30</v>
      </c>
      <c r="EG381" s="2" t="s">
        <v>23</v>
      </c>
      <c r="EH381" s="2">
        <v>0</v>
      </c>
      <c r="EI381" s="2" t="s">
        <v>3</v>
      </c>
      <c r="EJ381" s="2">
        <v>1</v>
      </c>
      <c r="EK381" s="2">
        <v>152</v>
      </c>
      <c r="EL381" s="2" t="s">
        <v>298</v>
      </c>
      <c r="EM381" s="2" t="s">
        <v>299</v>
      </c>
      <c r="EN381" s="2"/>
      <c r="EO381" s="2" t="s">
        <v>3</v>
      </c>
      <c r="EP381" s="2"/>
      <c r="EQ381" s="2">
        <v>0</v>
      </c>
      <c r="ER381" s="2">
        <v>517.14</v>
      </c>
      <c r="ES381" s="2">
        <v>517.14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>
        <v>0</v>
      </c>
      <c r="FR381" s="2">
        <v>0</v>
      </c>
      <c r="FS381" s="2">
        <v>0</v>
      </c>
      <c r="FT381" s="2"/>
      <c r="FU381" s="2"/>
      <c r="FV381" s="2"/>
      <c r="FW381" s="2"/>
      <c r="FX381" s="2">
        <v>161</v>
      </c>
      <c r="FY381" s="2">
        <v>107</v>
      </c>
      <c r="FZ381" s="2"/>
      <c r="GA381" s="2" t="s">
        <v>3</v>
      </c>
      <c r="GB381" s="2"/>
      <c r="GC381" s="2"/>
      <c r="GD381" s="2">
        <v>0</v>
      </c>
      <c r="GE381" s="2"/>
      <c r="GF381" s="2">
        <v>-520181400</v>
      </c>
      <c r="GG381" s="2">
        <v>2</v>
      </c>
      <c r="GH381" s="2">
        <v>1</v>
      </c>
      <c r="GI381" s="2">
        <v>-2</v>
      </c>
      <c r="GJ381" s="2">
        <v>0</v>
      </c>
      <c r="GK381" s="2">
        <f>ROUND(R381*(R12)/100,2)</f>
        <v>0</v>
      </c>
      <c r="GL381" s="2">
        <f t="shared" si="332"/>
        <v>0</v>
      </c>
      <c r="GM381" s="2">
        <f t="shared" si="333"/>
        <v>0</v>
      </c>
      <c r="GN381" s="2">
        <f t="shared" si="334"/>
        <v>0</v>
      </c>
      <c r="GO381" s="2">
        <f t="shared" si="335"/>
        <v>0</v>
      </c>
      <c r="GP381" s="2">
        <f t="shared" si="336"/>
        <v>0</v>
      </c>
      <c r="GQ381" s="2"/>
      <c r="GR381" s="2">
        <v>0</v>
      </c>
      <c r="GS381" s="2">
        <v>0</v>
      </c>
      <c r="GT381" s="2">
        <v>0</v>
      </c>
      <c r="GU381" s="2" t="s">
        <v>3</v>
      </c>
      <c r="GV381" s="2">
        <f t="shared" si="337"/>
        <v>0</v>
      </c>
      <c r="GW381" s="2">
        <v>1</v>
      </c>
      <c r="GX381" s="2">
        <f t="shared" si="338"/>
        <v>0</v>
      </c>
      <c r="GY381" s="2"/>
      <c r="GZ381" s="2"/>
      <c r="HA381" s="2">
        <v>0</v>
      </c>
      <c r="HB381" s="2">
        <v>0</v>
      </c>
      <c r="HC381" s="2">
        <f t="shared" si="339"/>
        <v>0</v>
      </c>
      <c r="HD381" s="2"/>
      <c r="HE381" s="2" t="s">
        <v>3</v>
      </c>
      <c r="HF381" s="2" t="s">
        <v>3</v>
      </c>
      <c r="HG381" s="2"/>
      <c r="HH381" s="2"/>
      <c r="HI381" s="2"/>
      <c r="HJ381" s="2"/>
      <c r="HK381" s="2"/>
      <c r="HL381" s="2"/>
      <c r="HM381" s="2" t="s">
        <v>3</v>
      </c>
      <c r="HN381" s="2" t="s">
        <v>3</v>
      </c>
      <c r="HO381" s="2" t="s">
        <v>3</v>
      </c>
      <c r="HP381" s="2" t="s">
        <v>3</v>
      </c>
      <c r="HQ381" s="2" t="s">
        <v>3</v>
      </c>
      <c r="HR381" s="2"/>
      <c r="HS381" s="2">
        <v>0</v>
      </c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>
        <v>0</v>
      </c>
      <c r="IL381" s="2"/>
      <c r="IM381" s="2"/>
      <c r="IN381" s="2"/>
      <c r="IO381" s="2"/>
      <c r="IP381" s="2"/>
      <c r="IQ381" s="2"/>
      <c r="IR381" s="2"/>
      <c r="IS381" s="2"/>
      <c r="IT381" s="2"/>
      <c r="IU381" s="2"/>
    </row>
    <row r="382" spans="1:255" x14ac:dyDescent="0.2">
      <c r="A382">
        <v>18</v>
      </c>
      <c r="B382">
        <v>1</v>
      </c>
      <c r="C382">
        <v>66</v>
      </c>
      <c r="E382" t="s">
        <v>426</v>
      </c>
      <c r="F382" t="s">
        <v>301</v>
      </c>
      <c r="G382" t="s">
        <v>302</v>
      </c>
      <c r="H382" t="s">
        <v>85</v>
      </c>
      <c r="I382">
        <f>I380*J382</f>
        <v>0</v>
      </c>
      <c r="J382">
        <v>162</v>
      </c>
      <c r="K382">
        <v>162</v>
      </c>
      <c r="O382">
        <f t="shared" si="303"/>
        <v>0</v>
      </c>
      <c r="P382">
        <f t="shared" si="304"/>
        <v>0</v>
      </c>
      <c r="Q382">
        <f>(ROUND((ROUND(((ET382)*AV382*I382),2)*BB382),2)+ROUND((ROUND(((AE382-(EU382))*AV382*I382),2)*BS382),2))</f>
        <v>0</v>
      </c>
      <c r="R382">
        <f t="shared" si="306"/>
        <v>0</v>
      </c>
      <c r="S382">
        <f t="shared" si="307"/>
        <v>0</v>
      </c>
      <c r="T382">
        <f t="shared" si="308"/>
        <v>0</v>
      </c>
      <c r="U382">
        <f t="shared" si="309"/>
        <v>0</v>
      </c>
      <c r="V382">
        <f t="shared" si="310"/>
        <v>0</v>
      </c>
      <c r="W382">
        <f t="shared" si="311"/>
        <v>0</v>
      </c>
      <c r="X382">
        <f t="shared" si="312"/>
        <v>0</v>
      </c>
      <c r="Y382">
        <f t="shared" si="313"/>
        <v>0</v>
      </c>
      <c r="AA382">
        <v>56610029</v>
      </c>
      <c r="AB382">
        <f t="shared" si="314"/>
        <v>517.14</v>
      </c>
      <c r="AC382">
        <f t="shared" si="315"/>
        <v>517.14</v>
      </c>
      <c r="AD382">
        <f>ROUND((((ET382)-(EU382))+AE382),6)</f>
        <v>0</v>
      </c>
      <c r="AE382">
        <f>ROUND((EU382),6)</f>
        <v>0</v>
      </c>
      <c r="AF382">
        <f>ROUND((EV382),6)</f>
        <v>0</v>
      </c>
      <c r="AG382">
        <f t="shared" si="319"/>
        <v>0</v>
      </c>
      <c r="AH382">
        <f>(EW382)</f>
        <v>0</v>
      </c>
      <c r="AI382">
        <f>(EX382)</f>
        <v>0</v>
      </c>
      <c r="AJ382">
        <f t="shared" si="322"/>
        <v>0</v>
      </c>
      <c r="AK382">
        <v>517.14</v>
      </c>
      <c r="AL382">
        <v>517.14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1</v>
      </c>
      <c r="AW382">
        <v>1.002</v>
      </c>
      <c r="AZ382">
        <v>1</v>
      </c>
      <c r="BA382">
        <v>1</v>
      </c>
      <c r="BB382">
        <v>1</v>
      </c>
      <c r="BC382">
        <v>11.03</v>
      </c>
      <c r="BD382" t="s">
        <v>3</v>
      </c>
      <c r="BE382" t="s">
        <v>3</v>
      </c>
      <c r="BF382" t="s">
        <v>3</v>
      </c>
      <c r="BG382" t="s">
        <v>3</v>
      </c>
      <c r="BH382">
        <v>3</v>
      </c>
      <c r="BI382">
        <v>1</v>
      </c>
      <c r="BJ382" t="s">
        <v>303</v>
      </c>
      <c r="BM382">
        <v>152</v>
      </c>
      <c r="BN382">
        <v>0</v>
      </c>
      <c r="BO382" t="s">
        <v>301</v>
      </c>
      <c r="BP382">
        <v>1</v>
      </c>
      <c r="BQ382">
        <v>30</v>
      </c>
      <c r="BR382">
        <v>0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 t="s">
        <v>3</v>
      </c>
      <c r="BZ382">
        <v>0</v>
      </c>
      <c r="CA382">
        <v>0</v>
      </c>
      <c r="CB382" t="s">
        <v>3</v>
      </c>
      <c r="CE382">
        <v>30</v>
      </c>
      <c r="CF382">
        <v>0</v>
      </c>
      <c r="CG382">
        <v>0</v>
      </c>
      <c r="CM382">
        <v>0</v>
      </c>
      <c r="CN382" t="s">
        <v>3</v>
      </c>
      <c r="CO382">
        <v>0</v>
      </c>
      <c r="CP382">
        <f t="shared" si="323"/>
        <v>0</v>
      </c>
      <c r="CQ382">
        <f t="shared" si="324"/>
        <v>5715.42</v>
      </c>
      <c r="CR382">
        <f>(ROUND((ROUND(((ET382)*AV382*1),2)*BB382),2)+ROUND((ROUND(((AE382-(EU382))*AV382*1),2)*BS382),2))</f>
        <v>0</v>
      </c>
      <c r="CS382">
        <f t="shared" si="326"/>
        <v>0</v>
      </c>
      <c r="CT382">
        <f t="shared" si="327"/>
        <v>0</v>
      </c>
      <c r="CU382">
        <f t="shared" si="328"/>
        <v>0</v>
      </c>
      <c r="CV382">
        <f t="shared" si="329"/>
        <v>0</v>
      </c>
      <c r="CW382">
        <f t="shared" si="330"/>
        <v>0</v>
      </c>
      <c r="CX382">
        <f t="shared" si="331"/>
        <v>0</v>
      </c>
      <c r="CY382">
        <f>S382*(BZ382/100)</f>
        <v>0</v>
      </c>
      <c r="CZ382">
        <f>S382*(CA382/100)</f>
        <v>0</v>
      </c>
      <c r="DC382" t="s">
        <v>3</v>
      </c>
      <c r="DD382" t="s">
        <v>3</v>
      </c>
      <c r="DE382" t="s">
        <v>3</v>
      </c>
      <c r="DF382" t="s">
        <v>3</v>
      </c>
      <c r="DG382" t="s">
        <v>3</v>
      </c>
      <c r="DH382" t="s">
        <v>3</v>
      </c>
      <c r="DI382" t="s">
        <v>3</v>
      </c>
      <c r="DJ382" t="s">
        <v>3</v>
      </c>
      <c r="DK382" t="s">
        <v>3</v>
      </c>
      <c r="DL382" t="s">
        <v>3</v>
      </c>
      <c r="DM382" t="s">
        <v>3</v>
      </c>
      <c r="DN382">
        <v>161</v>
      </c>
      <c r="DO382">
        <v>107</v>
      </c>
      <c r="DP382">
        <v>1.0469999999999999</v>
      </c>
      <c r="DQ382">
        <v>1.002</v>
      </c>
      <c r="DU382">
        <v>1007</v>
      </c>
      <c r="DV382" t="s">
        <v>85</v>
      </c>
      <c r="DW382" t="s">
        <v>85</v>
      </c>
      <c r="DX382">
        <v>1</v>
      </c>
      <c r="DZ382" t="s">
        <v>3</v>
      </c>
      <c r="EA382" t="s">
        <v>3</v>
      </c>
      <c r="EB382" t="s">
        <v>3</v>
      </c>
      <c r="EC382" t="s">
        <v>3</v>
      </c>
      <c r="EE382">
        <v>51696191</v>
      </c>
      <c r="EF382">
        <v>30</v>
      </c>
      <c r="EG382" t="s">
        <v>23</v>
      </c>
      <c r="EH382">
        <v>0</v>
      </c>
      <c r="EI382" t="s">
        <v>3</v>
      </c>
      <c r="EJ382">
        <v>1</v>
      </c>
      <c r="EK382">
        <v>152</v>
      </c>
      <c r="EL382" t="s">
        <v>298</v>
      </c>
      <c r="EM382" t="s">
        <v>299</v>
      </c>
      <c r="EO382" t="s">
        <v>3</v>
      </c>
      <c r="EQ382">
        <v>0</v>
      </c>
      <c r="ER382">
        <v>517.14</v>
      </c>
      <c r="ES382">
        <v>517.14</v>
      </c>
      <c r="ET382">
        <v>0</v>
      </c>
      <c r="EU382">
        <v>0</v>
      </c>
      <c r="EV382">
        <v>0</v>
      </c>
      <c r="EW382">
        <v>0</v>
      </c>
      <c r="EX382">
        <v>0</v>
      </c>
      <c r="FQ382">
        <v>0</v>
      </c>
      <c r="FR382">
        <v>0</v>
      </c>
      <c r="FS382">
        <v>0</v>
      </c>
      <c r="FX382">
        <v>161</v>
      </c>
      <c r="FY382">
        <v>107</v>
      </c>
      <c r="GA382" t="s">
        <v>3</v>
      </c>
      <c r="GD382">
        <v>0</v>
      </c>
      <c r="GF382">
        <v>-520181400</v>
      </c>
      <c r="GG382">
        <v>2</v>
      </c>
      <c r="GH382">
        <v>1</v>
      </c>
      <c r="GI382">
        <v>2</v>
      </c>
      <c r="GJ382">
        <v>0</v>
      </c>
      <c r="GK382">
        <f>ROUND(R382*(S12)/100,2)</f>
        <v>0</v>
      </c>
      <c r="GL382">
        <f t="shared" si="332"/>
        <v>0</v>
      </c>
      <c r="GM382">
        <f t="shared" si="333"/>
        <v>0</v>
      </c>
      <c r="GN382">
        <f t="shared" si="334"/>
        <v>0</v>
      </c>
      <c r="GO382">
        <f t="shared" si="335"/>
        <v>0</v>
      </c>
      <c r="GP382">
        <f t="shared" si="336"/>
        <v>0</v>
      </c>
      <c r="GR382">
        <v>0</v>
      </c>
      <c r="GS382">
        <v>3</v>
      </c>
      <c r="GT382">
        <v>0</v>
      </c>
      <c r="GU382" t="s">
        <v>3</v>
      </c>
      <c r="GV382">
        <f t="shared" si="337"/>
        <v>0</v>
      </c>
      <c r="GW382">
        <v>1</v>
      </c>
      <c r="GX382">
        <f t="shared" si="338"/>
        <v>0</v>
      </c>
      <c r="HA382">
        <v>0</v>
      </c>
      <c r="HB382">
        <v>0</v>
      </c>
      <c r="HC382">
        <f t="shared" si="339"/>
        <v>0</v>
      </c>
      <c r="HE382" t="s">
        <v>3</v>
      </c>
      <c r="HF382" t="s">
        <v>3</v>
      </c>
      <c r="HM382" t="s">
        <v>3</v>
      </c>
      <c r="HN382" t="s">
        <v>3</v>
      </c>
      <c r="HO382" t="s">
        <v>3</v>
      </c>
      <c r="HP382" t="s">
        <v>3</v>
      </c>
      <c r="HQ382" t="s">
        <v>3</v>
      </c>
      <c r="HS382">
        <v>0</v>
      </c>
      <c r="IK382">
        <v>0</v>
      </c>
    </row>
    <row r="383" spans="1:255" x14ac:dyDescent="0.2">
      <c r="A383" s="2">
        <v>17</v>
      </c>
      <c r="B383" s="2">
        <v>1</v>
      </c>
      <c r="C383" s="2">
        <f>ROW(SmtRes!A67)</f>
        <v>67</v>
      </c>
      <c r="D383" s="2">
        <f>ROW(EtalonRes!A635)</f>
        <v>635</v>
      </c>
      <c r="E383" s="2" t="s">
        <v>427</v>
      </c>
      <c r="F383" s="2" t="s">
        <v>305</v>
      </c>
      <c r="G383" s="2" t="s">
        <v>306</v>
      </c>
      <c r="H383" s="2" t="s">
        <v>296</v>
      </c>
      <c r="I383" s="2">
        <v>0</v>
      </c>
      <c r="J383" s="2">
        <v>0</v>
      </c>
      <c r="K383" s="2">
        <v>0</v>
      </c>
      <c r="L383" s="2"/>
      <c r="M383" s="2"/>
      <c r="N383" s="2"/>
      <c r="O383" s="2">
        <f t="shared" si="303"/>
        <v>0</v>
      </c>
      <c r="P383" s="2">
        <f t="shared" si="304"/>
        <v>0</v>
      </c>
      <c r="Q383" s="2">
        <f>(ROUND((ROUND((((ET383*1.05))*AV383*I383),2)*BB383),2)+ROUND((ROUND(((AE383-((EU383*1.05)))*AV383*I383),2)*BS383),2))</f>
        <v>0</v>
      </c>
      <c r="R383" s="2">
        <f t="shared" si="306"/>
        <v>0</v>
      </c>
      <c r="S383" s="2">
        <f t="shared" si="307"/>
        <v>0</v>
      </c>
      <c r="T383" s="2">
        <f t="shared" si="308"/>
        <v>0</v>
      </c>
      <c r="U383" s="2">
        <f t="shared" si="309"/>
        <v>0</v>
      </c>
      <c r="V383" s="2">
        <f t="shared" si="310"/>
        <v>0</v>
      </c>
      <c r="W383" s="2">
        <f t="shared" si="311"/>
        <v>0</v>
      </c>
      <c r="X383" s="2">
        <f t="shared" si="312"/>
        <v>0</v>
      </c>
      <c r="Y383" s="2">
        <f t="shared" si="313"/>
        <v>0</v>
      </c>
      <c r="Z383" s="2"/>
      <c r="AA383" s="2">
        <v>56622490</v>
      </c>
      <c r="AB383" s="2">
        <f t="shared" si="314"/>
        <v>120.86499999999999</v>
      </c>
      <c r="AC383" s="2">
        <f t="shared" si="315"/>
        <v>58.6</v>
      </c>
      <c r="AD383" s="2">
        <f>ROUND(((((ET383*1.05))-((EU383*1.05)))+AE383),6)</f>
        <v>0</v>
      </c>
      <c r="AE383" s="2">
        <f>ROUND(((EU383*1.05)),6)</f>
        <v>0</v>
      </c>
      <c r="AF383" s="2">
        <f>ROUND(((EV383*1.05)),6)</f>
        <v>62.265000000000001</v>
      </c>
      <c r="AG383" s="2">
        <f t="shared" si="319"/>
        <v>0</v>
      </c>
      <c r="AH383" s="2">
        <f>((EW383*1.05))</f>
        <v>5.4285000000000005</v>
      </c>
      <c r="AI383" s="2">
        <f>((EX383*1.05))</f>
        <v>0</v>
      </c>
      <c r="AJ383" s="2">
        <f t="shared" si="322"/>
        <v>0</v>
      </c>
      <c r="AK383" s="2">
        <v>117.9</v>
      </c>
      <c r="AL383" s="2">
        <v>58.6</v>
      </c>
      <c r="AM383" s="2">
        <v>0</v>
      </c>
      <c r="AN383" s="2">
        <v>0</v>
      </c>
      <c r="AO383" s="2">
        <v>59.3</v>
      </c>
      <c r="AP383" s="2">
        <v>0</v>
      </c>
      <c r="AQ383" s="2">
        <v>5.17</v>
      </c>
      <c r="AR383" s="2">
        <v>0</v>
      </c>
      <c r="AS383" s="2">
        <v>0</v>
      </c>
      <c r="AT383" s="2">
        <v>161</v>
      </c>
      <c r="AU383" s="2">
        <v>107</v>
      </c>
      <c r="AV383" s="2">
        <v>1.0469999999999999</v>
      </c>
      <c r="AW383" s="2">
        <v>1.002</v>
      </c>
      <c r="AX383" s="2"/>
      <c r="AY383" s="2"/>
      <c r="AZ383" s="2">
        <v>1</v>
      </c>
      <c r="BA383" s="2">
        <v>1</v>
      </c>
      <c r="BB383" s="2">
        <v>1</v>
      </c>
      <c r="BC383" s="2">
        <v>1</v>
      </c>
      <c r="BD383" s="2" t="s">
        <v>3</v>
      </c>
      <c r="BE383" s="2" t="s">
        <v>3</v>
      </c>
      <c r="BF383" s="2" t="s">
        <v>3</v>
      </c>
      <c r="BG383" s="2" t="s">
        <v>3</v>
      </c>
      <c r="BH383" s="2">
        <v>0</v>
      </c>
      <c r="BI383" s="2">
        <v>1</v>
      </c>
      <c r="BJ383" s="2" t="s">
        <v>307</v>
      </c>
      <c r="BK383" s="2"/>
      <c r="BL383" s="2"/>
      <c r="BM383" s="2">
        <v>152</v>
      </c>
      <c r="BN383" s="2">
        <v>0</v>
      </c>
      <c r="BO383" s="2" t="s">
        <v>3</v>
      </c>
      <c r="BP383" s="2">
        <v>0</v>
      </c>
      <c r="BQ383" s="2">
        <v>30</v>
      </c>
      <c r="BR383" s="2">
        <v>0</v>
      </c>
      <c r="BS383" s="2">
        <v>1</v>
      </c>
      <c r="BT383" s="2">
        <v>1</v>
      </c>
      <c r="BU383" s="2">
        <v>1</v>
      </c>
      <c r="BV383" s="2">
        <v>1</v>
      </c>
      <c r="BW383" s="2">
        <v>1</v>
      </c>
      <c r="BX383" s="2">
        <v>1</v>
      </c>
      <c r="BY383" s="2" t="s">
        <v>3</v>
      </c>
      <c r="BZ383" s="2">
        <v>161</v>
      </c>
      <c r="CA383" s="2">
        <v>107</v>
      </c>
      <c r="CB383" s="2" t="s">
        <v>3</v>
      </c>
      <c r="CC383" s="2"/>
      <c r="CD383" s="2"/>
      <c r="CE383" s="2">
        <v>30</v>
      </c>
      <c r="CF383" s="2">
        <v>0</v>
      </c>
      <c r="CG383" s="2">
        <v>0</v>
      </c>
      <c r="CH383" s="2"/>
      <c r="CI383" s="2"/>
      <c r="CJ383" s="2"/>
      <c r="CK383" s="2"/>
      <c r="CL383" s="2"/>
      <c r="CM383" s="2">
        <v>0</v>
      </c>
      <c r="CN383" s="2" t="s">
        <v>708</v>
      </c>
      <c r="CO383" s="2">
        <v>0</v>
      </c>
      <c r="CP383" s="2">
        <f t="shared" si="323"/>
        <v>0</v>
      </c>
      <c r="CQ383" s="2">
        <f t="shared" si="324"/>
        <v>58.72</v>
      </c>
      <c r="CR383" s="2">
        <f>(ROUND((ROUND((((ET383*1.05))*AV383*1),2)*BB383),2)+ROUND((ROUND(((AE383-((EU383*1.05)))*AV383*1),2)*BS383),2))</f>
        <v>0</v>
      </c>
      <c r="CS383" s="2">
        <f t="shared" si="326"/>
        <v>0</v>
      </c>
      <c r="CT383" s="2">
        <f t="shared" si="327"/>
        <v>65.19</v>
      </c>
      <c r="CU383" s="2">
        <f t="shared" si="328"/>
        <v>0</v>
      </c>
      <c r="CV383" s="2">
        <f t="shared" si="329"/>
        <v>5.6836395</v>
      </c>
      <c r="CW383" s="2">
        <f t="shared" si="330"/>
        <v>0</v>
      </c>
      <c r="CX383" s="2">
        <f t="shared" si="331"/>
        <v>0</v>
      </c>
      <c r="CY383" s="2">
        <f>((S383*BZ383)/100)</f>
        <v>0</v>
      </c>
      <c r="CZ383" s="2">
        <f>((S383*CA383)/100)</f>
        <v>0</v>
      </c>
      <c r="DA383" s="2"/>
      <c r="DB383" s="2">
        <v>139</v>
      </c>
      <c r="DC383" s="2" t="s">
        <v>3</v>
      </c>
      <c r="DD383" s="2" t="s">
        <v>3</v>
      </c>
      <c r="DE383" s="2" t="s">
        <v>22</v>
      </c>
      <c r="DF383" s="2" t="s">
        <v>22</v>
      </c>
      <c r="DG383" s="2" t="s">
        <v>22</v>
      </c>
      <c r="DH383" s="2" t="s">
        <v>3</v>
      </c>
      <c r="DI383" s="2" t="s">
        <v>22</v>
      </c>
      <c r="DJ383" s="2" t="s">
        <v>22</v>
      </c>
      <c r="DK383" s="2" t="s">
        <v>3</v>
      </c>
      <c r="DL383" s="2" t="s">
        <v>3</v>
      </c>
      <c r="DM383" s="2" t="s">
        <v>3</v>
      </c>
      <c r="DN383" s="2">
        <v>0</v>
      </c>
      <c r="DO383" s="2">
        <v>0</v>
      </c>
      <c r="DP383" s="2">
        <v>1</v>
      </c>
      <c r="DQ383" s="2">
        <v>1</v>
      </c>
      <c r="DR383" s="2"/>
      <c r="DS383" s="2"/>
      <c r="DT383" s="2"/>
      <c r="DU383" s="2">
        <v>1013</v>
      </c>
      <c r="DV383" s="2" t="s">
        <v>296</v>
      </c>
      <c r="DW383" s="2" t="s">
        <v>296</v>
      </c>
      <c r="DX383" s="2">
        <v>1</v>
      </c>
      <c r="DY383" s="2"/>
      <c r="DZ383" s="2" t="s">
        <v>3</v>
      </c>
      <c r="EA383" s="2" t="s">
        <v>3</v>
      </c>
      <c r="EB383" s="2" t="s">
        <v>3</v>
      </c>
      <c r="EC383" s="2" t="s">
        <v>3</v>
      </c>
      <c r="ED383" s="2"/>
      <c r="EE383" s="2">
        <v>51696191</v>
      </c>
      <c r="EF383" s="2">
        <v>30</v>
      </c>
      <c r="EG383" s="2" t="s">
        <v>23</v>
      </c>
      <c r="EH383" s="2">
        <v>0</v>
      </c>
      <c r="EI383" s="2" t="s">
        <v>3</v>
      </c>
      <c r="EJ383" s="2">
        <v>1</v>
      </c>
      <c r="EK383" s="2">
        <v>152</v>
      </c>
      <c r="EL383" s="2" t="s">
        <v>298</v>
      </c>
      <c r="EM383" s="2" t="s">
        <v>299</v>
      </c>
      <c r="EN383" s="2"/>
      <c r="EO383" s="2" t="s">
        <v>26</v>
      </c>
      <c r="EP383" s="2"/>
      <c r="EQ383" s="2">
        <v>131072</v>
      </c>
      <c r="ER383" s="2">
        <v>117.9</v>
      </c>
      <c r="ES383" s="2">
        <v>58.6</v>
      </c>
      <c r="ET383" s="2">
        <v>0</v>
      </c>
      <c r="EU383" s="2">
        <v>0</v>
      </c>
      <c r="EV383" s="2">
        <v>59.3</v>
      </c>
      <c r="EW383" s="2">
        <v>5.17</v>
      </c>
      <c r="EX383" s="2">
        <v>0</v>
      </c>
      <c r="EY383" s="2">
        <v>0</v>
      </c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>
        <v>0</v>
      </c>
      <c r="FR383" s="2">
        <v>0</v>
      </c>
      <c r="FS383" s="2">
        <v>0</v>
      </c>
      <c r="FT383" s="2"/>
      <c r="FU383" s="2"/>
      <c r="FV383" s="2"/>
      <c r="FW383" s="2"/>
      <c r="FX383" s="2">
        <v>161</v>
      </c>
      <c r="FY383" s="2">
        <v>107</v>
      </c>
      <c r="FZ383" s="2"/>
      <c r="GA383" s="2" t="s">
        <v>3</v>
      </c>
      <c r="GB383" s="2"/>
      <c r="GC383" s="2"/>
      <c r="GD383" s="2">
        <v>0</v>
      </c>
      <c r="GE383" s="2"/>
      <c r="GF383" s="2">
        <v>36365599</v>
      </c>
      <c r="GG383" s="2">
        <v>2</v>
      </c>
      <c r="GH383" s="2">
        <v>1</v>
      </c>
      <c r="GI383" s="2">
        <v>-2</v>
      </c>
      <c r="GJ383" s="2">
        <v>0</v>
      </c>
      <c r="GK383" s="2">
        <f>ROUND(R383*(R12)/100,2)</f>
        <v>0</v>
      </c>
      <c r="GL383" s="2">
        <f t="shared" si="332"/>
        <v>0</v>
      </c>
      <c r="GM383" s="2">
        <f t="shared" si="333"/>
        <v>0</v>
      </c>
      <c r="GN383" s="2">
        <f t="shared" si="334"/>
        <v>0</v>
      </c>
      <c r="GO383" s="2">
        <f t="shared" si="335"/>
        <v>0</v>
      </c>
      <c r="GP383" s="2">
        <f t="shared" si="336"/>
        <v>0</v>
      </c>
      <c r="GQ383" s="2"/>
      <c r="GR383" s="2">
        <v>0</v>
      </c>
      <c r="GS383" s="2">
        <v>0</v>
      </c>
      <c r="GT383" s="2">
        <v>0</v>
      </c>
      <c r="GU383" s="2" t="s">
        <v>3</v>
      </c>
      <c r="GV383" s="2">
        <f t="shared" si="337"/>
        <v>0</v>
      </c>
      <c r="GW383" s="2">
        <v>1</v>
      </c>
      <c r="GX383" s="2">
        <f t="shared" si="338"/>
        <v>0</v>
      </c>
      <c r="GY383" s="2"/>
      <c r="GZ383" s="2"/>
      <c r="HA383" s="2">
        <v>0</v>
      </c>
      <c r="HB383" s="2">
        <v>0</v>
      </c>
      <c r="HC383" s="2">
        <f t="shared" si="339"/>
        <v>0</v>
      </c>
      <c r="HD383" s="2"/>
      <c r="HE383" s="2" t="s">
        <v>3</v>
      </c>
      <c r="HF383" s="2" t="s">
        <v>3</v>
      </c>
      <c r="HG383" s="2"/>
      <c r="HH383" s="2"/>
      <c r="HI383" s="2"/>
      <c r="HJ383" s="2"/>
      <c r="HK383" s="2"/>
      <c r="HL383" s="2"/>
      <c r="HM383" s="2" t="s">
        <v>3</v>
      </c>
      <c r="HN383" s="2" t="s">
        <v>3</v>
      </c>
      <c r="HO383" s="2" t="s">
        <v>3</v>
      </c>
      <c r="HP383" s="2" t="s">
        <v>3</v>
      </c>
      <c r="HQ383" s="2" t="s">
        <v>3</v>
      </c>
      <c r="HR383" s="2"/>
      <c r="HS383" s="2">
        <v>0</v>
      </c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>
        <v>0</v>
      </c>
      <c r="IL383" s="2"/>
      <c r="IM383" s="2"/>
      <c r="IN383" s="2"/>
      <c r="IO383" s="2"/>
      <c r="IP383" s="2"/>
      <c r="IQ383" s="2"/>
      <c r="IR383" s="2"/>
      <c r="IS383" s="2"/>
      <c r="IT383" s="2"/>
      <c r="IU383" s="2"/>
    </row>
    <row r="384" spans="1:255" x14ac:dyDescent="0.2">
      <c r="A384">
        <v>17</v>
      </c>
      <c r="B384">
        <v>1</v>
      </c>
      <c r="C384">
        <f>ROW(SmtRes!A68)</f>
        <v>68</v>
      </c>
      <c r="D384">
        <f>ROW(EtalonRes!A638)</f>
        <v>638</v>
      </c>
      <c r="E384" t="s">
        <v>427</v>
      </c>
      <c r="F384" t="s">
        <v>305</v>
      </c>
      <c r="G384" t="s">
        <v>306</v>
      </c>
      <c r="H384" t="s">
        <v>296</v>
      </c>
      <c r="I384">
        <v>0</v>
      </c>
      <c r="J384">
        <v>0</v>
      </c>
      <c r="K384">
        <v>0</v>
      </c>
      <c r="O384">
        <f t="shared" si="303"/>
        <v>0</v>
      </c>
      <c r="P384">
        <f t="shared" si="304"/>
        <v>0</v>
      </c>
      <c r="Q384">
        <f>(ROUND((ROUND((((ET384*1.05))*AV384*I384),2)*BB384),2)+ROUND((ROUND(((AE384-((EU384*1.05)))*AV384*I384),2)*BS384),2))</f>
        <v>0</v>
      </c>
      <c r="R384">
        <f t="shared" si="306"/>
        <v>0</v>
      </c>
      <c r="S384">
        <f t="shared" si="307"/>
        <v>0</v>
      </c>
      <c r="T384">
        <f t="shared" si="308"/>
        <v>0</v>
      </c>
      <c r="U384">
        <f t="shared" si="309"/>
        <v>0</v>
      </c>
      <c r="V384">
        <f t="shared" si="310"/>
        <v>0</v>
      </c>
      <c r="W384">
        <f t="shared" si="311"/>
        <v>0</v>
      </c>
      <c r="X384">
        <f t="shared" si="312"/>
        <v>0</v>
      </c>
      <c r="Y384">
        <f t="shared" si="313"/>
        <v>0</v>
      </c>
      <c r="AA384">
        <v>56610029</v>
      </c>
      <c r="AB384">
        <f t="shared" si="314"/>
        <v>120.86499999999999</v>
      </c>
      <c r="AC384">
        <f t="shared" si="315"/>
        <v>58.6</v>
      </c>
      <c r="AD384">
        <f>ROUND(((((ET384*1.05))-((EU384*1.05)))+AE384),6)</f>
        <v>0</v>
      </c>
      <c r="AE384">
        <f>ROUND(((EU384*1.05)),6)</f>
        <v>0</v>
      </c>
      <c r="AF384">
        <f>ROUND(((EV384*1.05)),6)</f>
        <v>62.265000000000001</v>
      </c>
      <c r="AG384">
        <f t="shared" si="319"/>
        <v>0</v>
      </c>
      <c r="AH384">
        <f>((EW384*1.05))</f>
        <v>5.4285000000000005</v>
      </c>
      <c r="AI384">
        <f>((EX384*1.05))</f>
        <v>0</v>
      </c>
      <c r="AJ384">
        <f t="shared" si="322"/>
        <v>0</v>
      </c>
      <c r="AK384">
        <v>117.9</v>
      </c>
      <c r="AL384">
        <v>58.6</v>
      </c>
      <c r="AM384">
        <v>0</v>
      </c>
      <c r="AN384">
        <v>0</v>
      </c>
      <c r="AO384">
        <v>59.3</v>
      </c>
      <c r="AP384">
        <v>0</v>
      </c>
      <c r="AQ384">
        <v>5.17</v>
      </c>
      <c r="AR384">
        <v>0</v>
      </c>
      <c r="AS384">
        <v>0</v>
      </c>
      <c r="AT384">
        <v>134</v>
      </c>
      <c r="AU384">
        <v>55</v>
      </c>
      <c r="AV384">
        <v>1.0469999999999999</v>
      </c>
      <c r="AW384">
        <v>1.002</v>
      </c>
      <c r="AZ384">
        <v>1</v>
      </c>
      <c r="BA384">
        <v>34.51</v>
      </c>
      <c r="BB384">
        <v>1</v>
      </c>
      <c r="BC384">
        <v>3.59</v>
      </c>
      <c r="BD384" t="s">
        <v>3</v>
      </c>
      <c r="BE384" t="s">
        <v>3</v>
      </c>
      <c r="BF384" t="s">
        <v>3</v>
      </c>
      <c r="BG384" t="s">
        <v>3</v>
      </c>
      <c r="BH384">
        <v>0</v>
      </c>
      <c r="BI384">
        <v>1</v>
      </c>
      <c r="BJ384" t="s">
        <v>307</v>
      </c>
      <c r="BM384">
        <v>152</v>
      </c>
      <c r="BN384">
        <v>0</v>
      </c>
      <c r="BO384" t="s">
        <v>305</v>
      </c>
      <c r="BP384">
        <v>1</v>
      </c>
      <c r="BQ384">
        <v>30</v>
      </c>
      <c r="BR384">
        <v>0</v>
      </c>
      <c r="BS384">
        <v>34.51</v>
      </c>
      <c r="BT384">
        <v>1</v>
      </c>
      <c r="BU384">
        <v>1</v>
      </c>
      <c r="BV384">
        <v>1</v>
      </c>
      <c r="BW384">
        <v>1</v>
      </c>
      <c r="BX384">
        <v>1</v>
      </c>
      <c r="BY384" t="s">
        <v>3</v>
      </c>
      <c r="BZ384">
        <v>134</v>
      </c>
      <c r="CA384">
        <v>55</v>
      </c>
      <c r="CB384" t="s">
        <v>3</v>
      </c>
      <c r="CE384">
        <v>30</v>
      </c>
      <c r="CF384">
        <v>0</v>
      </c>
      <c r="CG384">
        <v>0</v>
      </c>
      <c r="CM384">
        <v>0</v>
      </c>
      <c r="CN384" t="s">
        <v>708</v>
      </c>
      <c r="CO384">
        <v>0</v>
      </c>
      <c r="CP384">
        <f t="shared" si="323"/>
        <v>0</v>
      </c>
      <c r="CQ384">
        <f t="shared" si="324"/>
        <v>210.8</v>
      </c>
      <c r="CR384">
        <f>(ROUND((ROUND((((ET384*1.05))*AV384*1),2)*BB384),2)+ROUND((ROUND(((AE384-((EU384*1.05)))*AV384*1),2)*BS384),2))</f>
        <v>0</v>
      </c>
      <c r="CS384">
        <f t="shared" si="326"/>
        <v>0</v>
      </c>
      <c r="CT384">
        <f t="shared" si="327"/>
        <v>2249.71</v>
      </c>
      <c r="CU384">
        <f t="shared" si="328"/>
        <v>0</v>
      </c>
      <c r="CV384">
        <f t="shared" si="329"/>
        <v>5.6836395</v>
      </c>
      <c r="CW384">
        <f t="shared" si="330"/>
        <v>0</v>
      </c>
      <c r="CX384">
        <f t="shared" si="331"/>
        <v>0</v>
      </c>
      <c r="CY384">
        <f>S384*(BZ384/100)</f>
        <v>0</v>
      </c>
      <c r="CZ384">
        <f>S384*(CA384/100)</f>
        <v>0</v>
      </c>
      <c r="DB384">
        <v>140</v>
      </c>
      <c r="DC384" t="s">
        <v>3</v>
      </c>
      <c r="DD384" t="s">
        <v>3</v>
      </c>
      <c r="DE384" t="s">
        <v>22</v>
      </c>
      <c r="DF384" t="s">
        <v>22</v>
      </c>
      <c r="DG384" t="s">
        <v>22</v>
      </c>
      <c r="DH384" t="s">
        <v>3</v>
      </c>
      <c r="DI384" t="s">
        <v>22</v>
      </c>
      <c r="DJ384" t="s">
        <v>22</v>
      </c>
      <c r="DK384" t="s">
        <v>3</v>
      </c>
      <c r="DL384" t="s">
        <v>3</v>
      </c>
      <c r="DM384" t="s">
        <v>3</v>
      </c>
      <c r="DN384">
        <v>161</v>
      </c>
      <c r="DO384">
        <v>107</v>
      </c>
      <c r="DP384">
        <v>1.0469999999999999</v>
      </c>
      <c r="DQ384">
        <v>1.002</v>
      </c>
      <c r="DU384">
        <v>1013</v>
      </c>
      <c r="DV384" t="s">
        <v>296</v>
      </c>
      <c r="DW384" t="s">
        <v>296</v>
      </c>
      <c r="DX384">
        <v>1</v>
      </c>
      <c r="DZ384" t="s">
        <v>3</v>
      </c>
      <c r="EA384" t="s">
        <v>3</v>
      </c>
      <c r="EB384" t="s">
        <v>3</v>
      </c>
      <c r="EC384" t="s">
        <v>3</v>
      </c>
      <c r="EE384">
        <v>51696191</v>
      </c>
      <c r="EF384">
        <v>30</v>
      </c>
      <c r="EG384" t="s">
        <v>23</v>
      </c>
      <c r="EH384">
        <v>0</v>
      </c>
      <c r="EI384" t="s">
        <v>3</v>
      </c>
      <c r="EJ384">
        <v>1</v>
      </c>
      <c r="EK384">
        <v>152</v>
      </c>
      <c r="EL384" t="s">
        <v>298</v>
      </c>
      <c r="EM384" t="s">
        <v>299</v>
      </c>
      <c r="EO384" t="s">
        <v>26</v>
      </c>
      <c r="EQ384">
        <v>131072</v>
      </c>
      <c r="ER384">
        <v>117.9</v>
      </c>
      <c r="ES384">
        <v>58.6</v>
      </c>
      <c r="ET384">
        <v>0</v>
      </c>
      <c r="EU384">
        <v>0</v>
      </c>
      <c r="EV384">
        <v>59.3</v>
      </c>
      <c r="EW384">
        <v>5.17</v>
      </c>
      <c r="EX384">
        <v>0</v>
      </c>
      <c r="EY384">
        <v>0</v>
      </c>
      <c r="FQ384">
        <v>0</v>
      </c>
      <c r="FR384">
        <v>0</v>
      </c>
      <c r="FS384">
        <v>0</v>
      </c>
      <c r="FX384">
        <v>161</v>
      </c>
      <c r="FY384">
        <v>107</v>
      </c>
      <c r="GA384" t="s">
        <v>3</v>
      </c>
      <c r="GD384">
        <v>0</v>
      </c>
      <c r="GF384">
        <v>36365599</v>
      </c>
      <c r="GG384">
        <v>2</v>
      </c>
      <c r="GH384">
        <v>1</v>
      </c>
      <c r="GI384">
        <v>2</v>
      </c>
      <c r="GJ384">
        <v>0</v>
      </c>
      <c r="GK384">
        <f>ROUND(R384*(S12)/100,2)</f>
        <v>0</v>
      </c>
      <c r="GL384">
        <f t="shared" si="332"/>
        <v>0</v>
      </c>
      <c r="GM384">
        <f t="shared" si="333"/>
        <v>0</v>
      </c>
      <c r="GN384">
        <f t="shared" si="334"/>
        <v>0</v>
      </c>
      <c r="GO384">
        <f t="shared" si="335"/>
        <v>0</v>
      </c>
      <c r="GP384">
        <f t="shared" si="336"/>
        <v>0</v>
      </c>
      <c r="GR384">
        <v>0</v>
      </c>
      <c r="GS384">
        <v>3</v>
      </c>
      <c r="GT384">
        <v>0</v>
      </c>
      <c r="GU384" t="s">
        <v>3</v>
      </c>
      <c r="GV384">
        <f t="shared" si="337"/>
        <v>0</v>
      </c>
      <c r="GW384">
        <v>1</v>
      </c>
      <c r="GX384">
        <f t="shared" si="338"/>
        <v>0</v>
      </c>
      <c r="HA384">
        <v>0</v>
      </c>
      <c r="HB384">
        <v>0</v>
      </c>
      <c r="HC384">
        <f t="shared" si="339"/>
        <v>0</v>
      </c>
      <c r="HE384" t="s">
        <v>3</v>
      </c>
      <c r="HF384" t="s">
        <v>3</v>
      </c>
      <c r="HM384" t="s">
        <v>3</v>
      </c>
      <c r="HN384" t="s">
        <v>3</v>
      </c>
      <c r="HO384" t="s">
        <v>3</v>
      </c>
      <c r="HP384" t="s">
        <v>3</v>
      </c>
      <c r="HQ384" t="s">
        <v>3</v>
      </c>
      <c r="HS384">
        <v>0</v>
      </c>
      <c r="IK384">
        <v>0</v>
      </c>
    </row>
    <row r="385" spans="1:255" x14ac:dyDescent="0.2">
      <c r="A385" s="2">
        <v>18</v>
      </c>
      <c r="B385" s="2">
        <v>1</v>
      </c>
      <c r="C385" s="2">
        <v>67</v>
      </c>
      <c r="D385" s="2"/>
      <c r="E385" s="2" t="s">
        <v>428</v>
      </c>
      <c r="F385" s="2" t="s">
        <v>301</v>
      </c>
      <c r="G385" s="2" t="s">
        <v>302</v>
      </c>
      <c r="H385" s="2" t="s">
        <v>85</v>
      </c>
      <c r="I385" s="2">
        <f>I383*J385</f>
        <v>0</v>
      </c>
      <c r="J385" s="2">
        <v>10.199999999999999</v>
      </c>
      <c r="K385" s="2">
        <v>10.199999999999999</v>
      </c>
      <c r="L385" s="2"/>
      <c r="M385" s="2"/>
      <c r="N385" s="2"/>
      <c r="O385" s="2">
        <f t="shared" si="303"/>
        <v>0</v>
      </c>
      <c r="P385" s="2">
        <f t="shared" si="304"/>
        <v>0</v>
      </c>
      <c r="Q385" s="2">
        <f>(ROUND((ROUND(((ET385)*AV385*I385),2)*BB385),2)+ROUND((ROUND(((AE385-(EU385))*AV385*I385),2)*BS385),2))</f>
        <v>0</v>
      </c>
      <c r="R385" s="2">
        <f t="shared" si="306"/>
        <v>0</v>
      </c>
      <c r="S385" s="2">
        <f t="shared" si="307"/>
        <v>0</v>
      </c>
      <c r="T385" s="2">
        <f t="shared" si="308"/>
        <v>0</v>
      </c>
      <c r="U385" s="2">
        <f t="shared" si="309"/>
        <v>0</v>
      </c>
      <c r="V385" s="2">
        <f t="shared" si="310"/>
        <v>0</v>
      </c>
      <c r="W385" s="2">
        <f t="shared" si="311"/>
        <v>0</v>
      </c>
      <c r="X385" s="2">
        <f t="shared" si="312"/>
        <v>0</v>
      </c>
      <c r="Y385" s="2">
        <f t="shared" si="313"/>
        <v>0</v>
      </c>
      <c r="Z385" s="2"/>
      <c r="AA385" s="2">
        <v>56622490</v>
      </c>
      <c r="AB385" s="2">
        <f t="shared" si="314"/>
        <v>517.14</v>
      </c>
      <c r="AC385" s="2">
        <f t="shared" si="315"/>
        <v>517.14</v>
      </c>
      <c r="AD385" s="2">
        <f>ROUND((((ET385)-(EU385))+AE385),6)</f>
        <v>0</v>
      </c>
      <c r="AE385" s="2">
        <f>ROUND((EU385),6)</f>
        <v>0</v>
      </c>
      <c r="AF385" s="2">
        <f>ROUND((EV385),6)</f>
        <v>0</v>
      </c>
      <c r="AG385" s="2">
        <f t="shared" si="319"/>
        <v>0</v>
      </c>
      <c r="AH385" s="2">
        <f>(EW385)</f>
        <v>0</v>
      </c>
      <c r="AI385" s="2">
        <f>(EX385)</f>
        <v>0</v>
      </c>
      <c r="AJ385" s="2">
        <f t="shared" si="322"/>
        <v>0</v>
      </c>
      <c r="AK385" s="2">
        <v>517.14</v>
      </c>
      <c r="AL385" s="2">
        <v>517.14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161</v>
      </c>
      <c r="AU385" s="2">
        <v>107</v>
      </c>
      <c r="AV385" s="2">
        <v>1.0469999999999999</v>
      </c>
      <c r="AW385" s="2">
        <v>1.002</v>
      </c>
      <c r="AX385" s="2"/>
      <c r="AY385" s="2"/>
      <c r="AZ385" s="2">
        <v>1</v>
      </c>
      <c r="BA385" s="2">
        <v>1</v>
      </c>
      <c r="BB385" s="2">
        <v>1</v>
      </c>
      <c r="BC385" s="2">
        <v>1</v>
      </c>
      <c r="BD385" s="2" t="s">
        <v>3</v>
      </c>
      <c r="BE385" s="2" t="s">
        <v>3</v>
      </c>
      <c r="BF385" s="2" t="s">
        <v>3</v>
      </c>
      <c r="BG385" s="2" t="s">
        <v>3</v>
      </c>
      <c r="BH385" s="2">
        <v>3</v>
      </c>
      <c r="BI385" s="2">
        <v>1</v>
      </c>
      <c r="BJ385" s="2" t="s">
        <v>303</v>
      </c>
      <c r="BK385" s="2"/>
      <c r="BL385" s="2"/>
      <c r="BM385" s="2">
        <v>152</v>
      </c>
      <c r="BN385" s="2">
        <v>0</v>
      </c>
      <c r="BO385" s="2" t="s">
        <v>3</v>
      </c>
      <c r="BP385" s="2">
        <v>0</v>
      </c>
      <c r="BQ385" s="2">
        <v>30</v>
      </c>
      <c r="BR385" s="2">
        <v>0</v>
      </c>
      <c r="BS385" s="2">
        <v>1</v>
      </c>
      <c r="BT385" s="2">
        <v>1</v>
      </c>
      <c r="BU385" s="2">
        <v>1</v>
      </c>
      <c r="BV385" s="2">
        <v>1</v>
      </c>
      <c r="BW385" s="2">
        <v>1</v>
      </c>
      <c r="BX385" s="2">
        <v>1</v>
      </c>
      <c r="BY385" s="2" t="s">
        <v>3</v>
      </c>
      <c r="BZ385" s="2">
        <v>161</v>
      </c>
      <c r="CA385" s="2">
        <v>107</v>
      </c>
      <c r="CB385" s="2" t="s">
        <v>3</v>
      </c>
      <c r="CC385" s="2"/>
      <c r="CD385" s="2"/>
      <c r="CE385" s="2">
        <v>30</v>
      </c>
      <c r="CF385" s="2">
        <v>0</v>
      </c>
      <c r="CG385" s="2">
        <v>0</v>
      </c>
      <c r="CH385" s="2"/>
      <c r="CI385" s="2"/>
      <c r="CJ385" s="2"/>
      <c r="CK385" s="2"/>
      <c r="CL385" s="2"/>
      <c r="CM385" s="2">
        <v>0</v>
      </c>
      <c r="CN385" s="2" t="s">
        <v>3</v>
      </c>
      <c r="CO385" s="2">
        <v>0</v>
      </c>
      <c r="CP385" s="2">
        <f t="shared" si="323"/>
        <v>0</v>
      </c>
      <c r="CQ385" s="2">
        <f t="shared" si="324"/>
        <v>518.16999999999996</v>
      </c>
      <c r="CR385" s="2">
        <f>(ROUND((ROUND(((ET385)*AV385*1),2)*BB385),2)+ROUND((ROUND(((AE385-(EU385))*AV385*1),2)*BS385),2))</f>
        <v>0</v>
      </c>
      <c r="CS385" s="2">
        <f t="shared" si="326"/>
        <v>0</v>
      </c>
      <c r="CT385" s="2">
        <f t="shared" si="327"/>
        <v>0</v>
      </c>
      <c r="CU385" s="2">
        <f t="shared" si="328"/>
        <v>0</v>
      </c>
      <c r="CV385" s="2">
        <f t="shared" si="329"/>
        <v>0</v>
      </c>
      <c r="CW385" s="2">
        <f t="shared" si="330"/>
        <v>0</v>
      </c>
      <c r="CX385" s="2">
        <f t="shared" si="331"/>
        <v>0</v>
      </c>
      <c r="CY385" s="2">
        <f>((S385*BZ385)/100)</f>
        <v>0</v>
      </c>
      <c r="CZ385" s="2">
        <f>((S385*CA385)/100)</f>
        <v>0</v>
      </c>
      <c r="DA385" s="2"/>
      <c r="DB385" s="2"/>
      <c r="DC385" s="2" t="s">
        <v>3</v>
      </c>
      <c r="DD385" s="2" t="s">
        <v>3</v>
      </c>
      <c r="DE385" s="2" t="s">
        <v>3</v>
      </c>
      <c r="DF385" s="2" t="s">
        <v>3</v>
      </c>
      <c r="DG385" s="2" t="s">
        <v>3</v>
      </c>
      <c r="DH385" s="2" t="s">
        <v>3</v>
      </c>
      <c r="DI385" s="2" t="s">
        <v>3</v>
      </c>
      <c r="DJ385" s="2" t="s">
        <v>3</v>
      </c>
      <c r="DK385" s="2" t="s">
        <v>3</v>
      </c>
      <c r="DL385" s="2" t="s">
        <v>3</v>
      </c>
      <c r="DM385" s="2" t="s">
        <v>3</v>
      </c>
      <c r="DN385" s="2">
        <v>0</v>
      </c>
      <c r="DO385" s="2">
        <v>0</v>
      </c>
      <c r="DP385" s="2">
        <v>1</v>
      </c>
      <c r="DQ385" s="2">
        <v>1</v>
      </c>
      <c r="DR385" s="2"/>
      <c r="DS385" s="2"/>
      <c r="DT385" s="2"/>
      <c r="DU385" s="2">
        <v>1007</v>
      </c>
      <c r="DV385" s="2" t="s">
        <v>85</v>
      </c>
      <c r="DW385" s="2" t="s">
        <v>85</v>
      </c>
      <c r="DX385" s="2">
        <v>1</v>
      </c>
      <c r="DY385" s="2"/>
      <c r="DZ385" s="2" t="s">
        <v>3</v>
      </c>
      <c r="EA385" s="2" t="s">
        <v>3</v>
      </c>
      <c r="EB385" s="2" t="s">
        <v>3</v>
      </c>
      <c r="EC385" s="2" t="s">
        <v>3</v>
      </c>
      <c r="ED385" s="2"/>
      <c r="EE385" s="2">
        <v>51696191</v>
      </c>
      <c r="EF385" s="2">
        <v>30</v>
      </c>
      <c r="EG385" s="2" t="s">
        <v>23</v>
      </c>
      <c r="EH385" s="2">
        <v>0</v>
      </c>
      <c r="EI385" s="2" t="s">
        <v>3</v>
      </c>
      <c r="EJ385" s="2">
        <v>1</v>
      </c>
      <c r="EK385" s="2">
        <v>152</v>
      </c>
      <c r="EL385" s="2" t="s">
        <v>298</v>
      </c>
      <c r="EM385" s="2" t="s">
        <v>299</v>
      </c>
      <c r="EN385" s="2"/>
      <c r="EO385" s="2" t="s">
        <v>3</v>
      </c>
      <c r="EP385" s="2"/>
      <c r="EQ385" s="2">
        <v>0</v>
      </c>
      <c r="ER385" s="2">
        <v>517.14</v>
      </c>
      <c r="ES385" s="2">
        <v>517.14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>
        <v>0</v>
      </c>
      <c r="FR385" s="2">
        <v>0</v>
      </c>
      <c r="FS385" s="2">
        <v>0</v>
      </c>
      <c r="FT385" s="2"/>
      <c r="FU385" s="2"/>
      <c r="FV385" s="2"/>
      <c r="FW385" s="2"/>
      <c r="FX385" s="2">
        <v>161</v>
      </c>
      <c r="FY385" s="2">
        <v>107</v>
      </c>
      <c r="FZ385" s="2"/>
      <c r="GA385" s="2" t="s">
        <v>3</v>
      </c>
      <c r="GB385" s="2"/>
      <c r="GC385" s="2"/>
      <c r="GD385" s="2">
        <v>0</v>
      </c>
      <c r="GE385" s="2"/>
      <c r="GF385" s="2">
        <v>-520181400</v>
      </c>
      <c r="GG385" s="2">
        <v>2</v>
      </c>
      <c r="GH385" s="2">
        <v>1</v>
      </c>
      <c r="GI385" s="2">
        <v>-2</v>
      </c>
      <c r="GJ385" s="2">
        <v>0</v>
      </c>
      <c r="GK385" s="2">
        <f>ROUND(R385*(R12)/100,2)</f>
        <v>0</v>
      </c>
      <c r="GL385" s="2">
        <f t="shared" si="332"/>
        <v>0</v>
      </c>
      <c r="GM385" s="2">
        <f t="shared" si="333"/>
        <v>0</v>
      </c>
      <c r="GN385" s="2">
        <f t="shared" si="334"/>
        <v>0</v>
      </c>
      <c r="GO385" s="2">
        <f t="shared" si="335"/>
        <v>0</v>
      </c>
      <c r="GP385" s="2">
        <f t="shared" si="336"/>
        <v>0</v>
      </c>
      <c r="GQ385" s="2"/>
      <c r="GR385" s="2">
        <v>0</v>
      </c>
      <c r="GS385" s="2">
        <v>0</v>
      </c>
      <c r="GT385" s="2">
        <v>0</v>
      </c>
      <c r="GU385" s="2" t="s">
        <v>3</v>
      </c>
      <c r="GV385" s="2">
        <f t="shared" si="337"/>
        <v>0</v>
      </c>
      <c r="GW385" s="2">
        <v>1</v>
      </c>
      <c r="GX385" s="2">
        <f t="shared" si="338"/>
        <v>0</v>
      </c>
      <c r="GY385" s="2"/>
      <c r="GZ385" s="2"/>
      <c r="HA385" s="2">
        <v>0</v>
      </c>
      <c r="HB385" s="2">
        <v>0</v>
      </c>
      <c r="HC385" s="2">
        <f t="shared" si="339"/>
        <v>0</v>
      </c>
      <c r="HD385" s="2"/>
      <c r="HE385" s="2" t="s">
        <v>3</v>
      </c>
      <c r="HF385" s="2" t="s">
        <v>3</v>
      </c>
      <c r="HG385" s="2"/>
      <c r="HH385" s="2"/>
      <c r="HI385" s="2"/>
      <c r="HJ385" s="2"/>
      <c r="HK385" s="2"/>
      <c r="HL385" s="2"/>
      <c r="HM385" s="2" t="s">
        <v>3</v>
      </c>
      <c r="HN385" s="2" t="s">
        <v>3</v>
      </c>
      <c r="HO385" s="2" t="s">
        <v>3</v>
      </c>
      <c r="HP385" s="2" t="s">
        <v>3</v>
      </c>
      <c r="HQ385" s="2" t="s">
        <v>3</v>
      </c>
      <c r="HR385" s="2"/>
      <c r="HS385" s="2">
        <v>0</v>
      </c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>
        <v>0</v>
      </c>
      <c r="IL385" s="2"/>
      <c r="IM385" s="2"/>
      <c r="IN385" s="2"/>
      <c r="IO385" s="2"/>
      <c r="IP385" s="2"/>
      <c r="IQ385" s="2"/>
      <c r="IR385" s="2"/>
      <c r="IS385" s="2"/>
      <c r="IT385" s="2"/>
      <c r="IU385" s="2"/>
    </row>
    <row r="386" spans="1:255" x14ac:dyDescent="0.2">
      <c r="A386">
        <v>18</v>
      </c>
      <c r="B386">
        <v>1</v>
      </c>
      <c r="C386">
        <v>68</v>
      </c>
      <c r="E386" t="s">
        <v>428</v>
      </c>
      <c r="F386" t="s">
        <v>301</v>
      </c>
      <c r="G386" t="s">
        <v>302</v>
      </c>
      <c r="H386" t="s">
        <v>85</v>
      </c>
      <c r="I386">
        <f>I384*J386</f>
        <v>0</v>
      </c>
      <c r="J386">
        <v>10.199999999999999</v>
      </c>
      <c r="K386">
        <v>10.199999999999999</v>
      </c>
      <c r="O386">
        <f t="shared" si="303"/>
        <v>0</v>
      </c>
      <c r="P386">
        <f t="shared" si="304"/>
        <v>0</v>
      </c>
      <c r="Q386">
        <f>(ROUND((ROUND(((ET386)*AV386*I386),2)*BB386),2)+ROUND((ROUND(((AE386-(EU386))*AV386*I386),2)*BS386),2))</f>
        <v>0</v>
      </c>
      <c r="R386">
        <f t="shared" si="306"/>
        <v>0</v>
      </c>
      <c r="S386">
        <f t="shared" si="307"/>
        <v>0</v>
      </c>
      <c r="T386">
        <f t="shared" si="308"/>
        <v>0</v>
      </c>
      <c r="U386">
        <f t="shared" si="309"/>
        <v>0</v>
      </c>
      <c r="V386">
        <f t="shared" si="310"/>
        <v>0</v>
      </c>
      <c r="W386">
        <f t="shared" si="311"/>
        <v>0</v>
      </c>
      <c r="X386">
        <f t="shared" si="312"/>
        <v>0</v>
      </c>
      <c r="Y386">
        <f t="shared" si="313"/>
        <v>0</v>
      </c>
      <c r="AA386">
        <v>56610029</v>
      </c>
      <c r="AB386">
        <f t="shared" si="314"/>
        <v>517.14</v>
      </c>
      <c r="AC386">
        <f t="shared" si="315"/>
        <v>517.14</v>
      </c>
      <c r="AD386">
        <f>ROUND((((ET386)-(EU386))+AE386),6)</f>
        <v>0</v>
      </c>
      <c r="AE386">
        <f>ROUND((EU386),6)</f>
        <v>0</v>
      </c>
      <c r="AF386">
        <f>ROUND((EV386),6)</f>
        <v>0</v>
      </c>
      <c r="AG386">
        <f t="shared" si="319"/>
        <v>0</v>
      </c>
      <c r="AH386">
        <f>(EW386)</f>
        <v>0</v>
      </c>
      <c r="AI386">
        <f>(EX386)</f>
        <v>0</v>
      </c>
      <c r="AJ386">
        <f t="shared" si="322"/>
        <v>0</v>
      </c>
      <c r="AK386">
        <v>517.14</v>
      </c>
      <c r="AL386">
        <v>517.14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1</v>
      </c>
      <c r="AW386">
        <v>1.002</v>
      </c>
      <c r="AZ386">
        <v>1</v>
      </c>
      <c r="BA386">
        <v>1</v>
      </c>
      <c r="BB386">
        <v>1</v>
      </c>
      <c r="BC386">
        <v>11.03</v>
      </c>
      <c r="BD386" t="s">
        <v>3</v>
      </c>
      <c r="BE386" t="s">
        <v>3</v>
      </c>
      <c r="BF386" t="s">
        <v>3</v>
      </c>
      <c r="BG386" t="s">
        <v>3</v>
      </c>
      <c r="BH386">
        <v>3</v>
      </c>
      <c r="BI386">
        <v>1</v>
      </c>
      <c r="BJ386" t="s">
        <v>303</v>
      </c>
      <c r="BM386">
        <v>152</v>
      </c>
      <c r="BN386">
        <v>0</v>
      </c>
      <c r="BO386" t="s">
        <v>301</v>
      </c>
      <c r="BP386">
        <v>1</v>
      </c>
      <c r="BQ386">
        <v>30</v>
      </c>
      <c r="BR386">
        <v>0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 t="s">
        <v>3</v>
      </c>
      <c r="BZ386">
        <v>0</v>
      </c>
      <c r="CA386">
        <v>0</v>
      </c>
      <c r="CB386" t="s">
        <v>3</v>
      </c>
      <c r="CE386">
        <v>30</v>
      </c>
      <c r="CF386">
        <v>0</v>
      </c>
      <c r="CG386">
        <v>0</v>
      </c>
      <c r="CM386">
        <v>0</v>
      </c>
      <c r="CN386" t="s">
        <v>3</v>
      </c>
      <c r="CO386">
        <v>0</v>
      </c>
      <c r="CP386">
        <f t="shared" si="323"/>
        <v>0</v>
      </c>
      <c r="CQ386">
        <f t="shared" si="324"/>
        <v>5715.42</v>
      </c>
      <c r="CR386">
        <f>(ROUND((ROUND(((ET386)*AV386*1),2)*BB386),2)+ROUND((ROUND(((AE386-(EU386))*AV386*1),2)*BS386),2))</f>
        <v>0</v>
      </c>
      <c r="CS386">
        <f t="shared" si="326"/>
        <v>0</v>
      </c>
      <c r="CT386">
        <f t="shared" si="327"/>
        <v>0</v>
      </c>
      <c r="CU386">
        <f t="shared" si="328"/>
        <v>0</v>
      </c>
      <c r="CV386">
        <f t="shared" si="329"/>
        <v>0</v>
      </c>
      <c r="CW386">
        <f t="shared" si="330"/>
        <v>0</v>
      </c>
      <c r="CX386">
        <f t="shared" si="331"/>
        <v>0</v>
      </c>
      <c r="CY386">
        <f>S386*(BZ386/100)</f>
        <v>0</v>
      </c>
      <c r="CZ386">
        <f>S386*(CA386/100)</f>
        <v>0</v>
      </c>
      <c r="DC386" t="s">
        <v>3</v>
      </c>
      <c r="DD386" t="s">
        <v>3</v>
      </c>
      <c r="DE386" t="s">
        <v>3</v>
      </c>
      <c r="DF386" t="s">
        <v>3</v>
      </c>
      <c r="DG386" t="s">
        <v>3</v>
      </c>
      <c r="DH386" t="s">
        <v>3</v>
      </c>
      <c r="DI386" t="s">
        <v>3</v>
      </c>
      <c r="DJ386" t="s">
        <v>3</v>
      </c>
      <c r="DK386" t="s">
        <v>3</v>
      </c>
      <c r="DL386" t="s">
        <v>3</v>
      </c>
      <c r="DM386" t="s">
        <v>3</v>
      </c>
      <c r="DN386">
        <v>161</v>
      </c>
      <c r="DO386">
        <v>107</v>
      </c>
      <c r="DP386">
        <v>1.0469999999999999</v>
      </c>
      <c r="DQ386">
        <v>1.002</v>
      </c>
      <c r="DU386">
        <v>1007</v>
      </c>
      <c r="DV386" t="s">
        <v>85</v>
      </c>
      <c r="DW386" t="s">
        <v>85</v>
      </c>
      <c r="DX386">
        <v>1</v>
      </c>
      <c r="DZ386" t="s">
        <v>3</v>
      </c>
      <c r="EA386" t="s">
        <v>3</v>
      </c>
      <c r="EB386" t="s">
        <v>3</v>
      </c>
      <c r="EC386" t="s">
        <v>3</v>
      </c>
      <c r="EE386">
        <v>51696191</v>
      </c>
      <c r="EF386">
        <v>30</v>
      </c>
      <c r="EG386" t="s">
        <v>23</v>
      </c>
      <c r="EH386">
        <v>0</v>
      </c>
      <c r="EI386" t="s">
        <v>3</v>
      </c>
      <c r="EJ386">
        <v>1</v>
      </c>
      <c r="EK386">
        <v>152</v>
      </c>
      <c r="EL386" t="s">
        <v>298</v>
      </c>
      <c r="EM386" t="s">
        <v>299</v>
      </c>
      <c r="EO386" t="s">
        <v>3</v>
      </c>
      <c r="EQ386">
        <v>0</v>
      </c>
      <c r="ER386">
        <v>517.14</v>
      </c>
      <c r="ES386">
        <v>517.14</v>
      </c>
      <c r="ET386">
        <v>0</v>
      </c>
      <c r="EU386">
        <v>0</v>
      </c>
      <c r="EV386">
        <v>0</v>
      </c>
      <c r="EW386">
        <v>0</v>
      </c>
      <c r="EX386">
        <v>0</v>
      </c>
      <c r="FQ386">
        <v>0</v>
      </c>
      <c r="FR386">
        <v>0</v>
      </c>
      <c r="FS386">
        <v>0</v>
      </c>
      <c r="FX386">
        <v>161</v>
      </c>
      <c r="FY386">
        <v>107</v>
      </c>
      <c r="GA386" t="s">
        <v>3</v>
      </c>
      <c r="GD386">
        <v>0</v>
      </c>
      <c r="GF386">
        <v>-520181400</v>
      </c>
      <c r="GG386">
        <v>2</v>
      </c>
      <c r="GH386">
        <v>1</v>
      </c>
      <c r="GI386">
        <v>2</v>
      </c>
      <c r="GJ386">
        <v>0</v>
      </c>
      <c r="GK386">
        <f>ROUND(R386*(S12)/100,2)</f>
        <v>0</v>
      </c>
      <c r="GL386">
        <f t="shared" si="332"/>
        <v>0</v>
      </c>
      <c r="GM386">
        <f t="shared" si="333"/>
        <v>0</v>
      </c>
      <c r="GN386">
        <f t="shared" si="334"/>
        <v>0</v>
      </c>
      <c r="GO386">
        <f t="shared" si="335"/>
        <v>0</v>
      </c>
      <c r="GP386">
        <f t="shared" si="336"/>
        <v>0</v>
      </c>
      <c r="GR386">
        <v>0</v>
      </c>
      <c r="GS386">
        <v>3</v>
      </c>
      <c r="GT386">
        <v>0</v>
      </c>
      <c r="GU386" t="s">
        <v>3</v>
      </c>
      <c r="GV386">
        <f t="shared" si="337"/>
        <v>0</v>
      </c>
      <c r="GW386">
        <v>1</v>
      </c>
      <c r="GX386">
        <f t="shared" si="338"/>
        <v>0</v>
      </c>
      <c r="HA386">
        <v>0</v>
      </c>
      <c r="HB386">
        <v>0</v>
      </c>
      <c r="HC386">
        <f t="shared" si="339"/>
        <v>0</v>
      </c>
      <c r="HE386" t="s">
        <v>3</v>
      </c>
      <c r="HF386" t="s">
        <v>3</v>
      </c>
      <c r="HM386" t="s">
        <v>3</v>
      </c>
      <c r="HN386" t="s">
        <v>3</v>
      </c>
      <c r="HO386" t="s">
        <v>3</v>
      </c>
      <c r="HP386" t="s">
        <v>3</v>
      </c>
      <c r="HQ386" t="s">
        <v>3</v>
      </c>
      <c r="HS386">
        <v>0</v>
      </c>
      <c r="IK386">
        <v>0</v>
      </c>
    </row>
    <row r="387" spans="1:255" x14ac:dyDescent="0.2">
      <c r="A387" s="2">
        <v>17</v>
      </c>
      <c r="B387" s="2">
        <v>1</v>
      </c>
      <c r="C387" s="2">
        <f>ROW(SmtRes!A69)</f>
        <v>69</v>
      </c>
      <c r="D387" s="2">
        <f>ROW(EtalonRes!A647)</f>
        <v>647</v>
      </c>
      <c r="E387" s="2" t="s">
        <v>429</v>
      </c>
      <c r="F387" s="2" t="s">
        <v>430</v>
      </c>
      <c r="G387" s="2" t="s">
        <v>431</v>
      </c>
      <c r="H387" s="2" t="s">
        <v>287</v>
      </c>
      <c r="I387" s="2">
        <v>0</v>
      </c>
      <c r="J387" s="2">
        <v>0</v>
      </c>
      <c r="K387" s="2">
        <v>0</v>
      </c>
      <c r="L387" s="2"/>
      <c r="M387" s="2"/>
      <c r="N387" s="2"/>
      <c r="O387" s="2">
        <f t="shared" si="303"/>
        <v>0</v>
      </c>
      <c r="P387" s="2">
        <f t="shared" si="304"/>
        <v>0</v>
      </c>
      <c r="Q387" s="2">
        <f>(ROUND((ROUND((((ET387*1.05))*AV387*I387),2)*BB387),2)+ROUND((ROUND(((AE387-((EU387*1.05)))*AV387*I387),2)*BS387),2))</f>
        <v>0</v>
      </c>
      <c r="R387" s="2">
        <f t="shared" si="306"/>
        <v>0</v>
      </c>
      <c r="S387" s="2">
        <f t="shared" si="307"/>
        <v>0</v>
      </c>
      <c r="T387" s="2">
        <f t="shared" si="308"/>
        <v>0</v>
      </c>
      <c r="U387" s="2">
        <f t="shared" si="309"/>
        <v>0</v>
      </c>
      <c r="V387" s="2">
        <f t="shared" si="310"/>
        <v>0</v>
      </c>
      <c r="W387" s="2">
        <f t="shared" si="311"/>
        <v>0</v>
      </c>
      <c r="X387" s="2">
        <f t="shared" si="312"/>
        <v>0</v>
      </c>
      <c r="Y387" s="2">
        <f t="shared" si="313"/>
        <v>0</v>
      </c>
      <c r="Z387" s="2"/>
      <c r="AA387" s="2">
        <v>56622490</v>
      </c>
      <c r="AB387" s="2">
        <f t="shared" si="314"/>
        <v>5947.0355</v>
      </c>
      <c r="AC387" s="2">
        <f t="shared" si="315"/>
        <v>49.49</v>
      </c>
      <c r="AD387" s="2">
        <f>ROUND(((((ET387*1.05))-((EU387*1.05)))+AE387),6)</f>
        <v>5658.9539999999997</v>
      </c>
      <c r="AE387" s="2">
        <f>ROUND(((EU387*1.05)),6)</f>
        <v>424.536</v>
      </c>
      <c r="AF387" s="2">
        <f>ROUND(((EV387*1.05)),6)</f>
        <v>238.5915</v>
      </c>
      <c r="AG387" s="2">
        <f t="shared" si="319"/>
        <v>0</v>
      </c>
      <c r="AH387" s="2">
        <f>((EW387*1.05))</f>
        <v>22.680000000000003</v>
      </c>
      <c r="AI387" s="2">
        <f>((EX387*1.05))</f>
        <v>0</v>
      </c>
      <c r="AJ387" s="2">
        <f t="shared" si="322"/>
        <v>0</v>
      </c>
      <c r="AK387" s="2">
        <v>5666.2</v>
      </c>
      <c r="AL387" s="2">
        <v>49.49</v>
      </c>
      <c r="AM387" s="2">
        <v>5389.48</v>
      </c>
      <c r="AN387" s="2">
        <v>404.32</v>
      </c>
      <c r="AO387" s="2">
        <v>227.23</v>
      </c>
      <c r="AP387" s="2">
        <v>0</v>
      </c>
      <c r="AQ387" s="2">
        <v>21.6</v>
      </c>
      <c r="AR387" s="2">
        <v>0</v>
      </c>
      <c r="AS387" s="2">
        <v>0</v>
      </c>
      <c r="AT387" s="2">
        <v>161</v>
      </c>
      <c r="AU387" s="2">
        <v>107</v>
      </c>
      <c r="AV387" s="2">
        <v>1.0469999999999999</v>
      </c>
      <c r="AW387" s="2">
        <v>1.002</v>
      </c>
      <c r="AX387" s="2"/>
      <c r="AY387" s="2"/>
      <c r="AZ387" s="2">
        <v>1</v>
      </c>
      <c r="BA387" s="2">
        <v>1</v>
      </c>
      <c r="BB387" s="2">
        <v>1</v>
      </c>
      <c r="BC387" s="2">
        <v>1</v>
      </c>
      <c r="BD387" s="2" t="s">
        <v>3</v>
      </c>
      <c r="BE387" s="2" t="s">
        <v>3</v>
      </c>
      <c r="BF387" s="2" t="s">
        <v>3</v>
      </c>
      <c r="BG387" s="2" t="s">
        <v>3</v>
      </c>
      <c r="BH387" s="2">
        <v>0</v>
      </c>
      <c r="BI387" s="2">
        <v>1</v>
      </c>
      <c r="BJ387" s="2" t="s">
        <v>432</v>
      </c>
      <c r="BK387" s="2"/>
      <c r="BL387" s="2"/>
      <c r="BM387" s="2">
        <v>146</v>
      </c>
      <c r="BN387" s="2">
        <v>0</v>
      </c>
      <c r="BO387" s="2" t="s">
        <v>3</v>
      </c>
      <c r="BP387" s="2">
        <v>0</v>
      </c>
      <c r="BQ387" s="2">
        <v>30</v>
      </c>
      <c r="BR387" s="2">
        <v>0</v>
      </c>
      <c r="BS387" s="2">
        <v>1</v>
      </c>
      <c r="BT387" s="2">
        <v>1</v>
      </c>
      <c r="BU387" s="2">
        <v>1</v>
      </c>
      <c r="BV387" s="2">
        <v>1</v>
      </c>
      <c r="BW387" s="2">
        <v>1</v>
      </c>
      <c r="BX387" s="2">
        <v>1</v>
      </c>
      <c r="BY387" s="2" t="s">
        <v>3</v>
      </c>
      <c r="BZ387" s="2">
        <v>161</v>
      </c>
      <c r="CA387" s="2">
        <v>107</v>
      </c>
      <c r="CB387" s="2" t="s">
        <v>3</v>
      </c>
      <c r="CC387" s="2"/>
      <c r="CD387" s="2"/>
      <c r="CE387" s="2">
        <v>30</v>
      </c>
      <c r="CF387" s="2">
        <v>0</v>
      </c>
      <c r="CG387" s="2">
        <v>0</v>
      </c>
      <c r="CH387" s="2"/>
      <c r="CI387" s="2"/>
      <c r="CJ387" s="2"/>
      <c r="CK387" s="2"/>
      <c r="CL387" s="2"/>
      <c r="CM387" s="2">
        <v>0</v>
      </c>
      <c r="CN387" s="2" t="s">
        <v>708</v>
      </c>
      <c r="CO387" s="2">
        <v>0</v>
      </c>
      <c r="CP387" s="2">
        <f t="shared" si="323"/>
        <v>0</v>
      </c>
      <c r="CQ387" s="2">
        <f t="shared" si="324"/>
        <v>49.59</v>
      </c>
      <c r="CR387" s="2">
        <f>(ROUND((ROUND((((ET387*1.05))*AV387*1),2)*BB387),2)+ROUND((ROUND(((AE387-((EU387*1.05)))*AV387*1),2)*BS387),2))</f>
        <v>5924.92</v>
      </c>
      <c r="CS387" s="2">
        <f t="shared" si="326"/>
        <v>444.49</v>
      </c>
      <c r="CT387" s="2">
        <f t="shared" si="327"/>
        <v>249.81</v>
      </c>
      <c r="CU387" s="2">
        <f t="shared" si="328"/>
        <v>0</v>
      </c>
      <c r="CV387" s="2">
        <f t="shared" si="329"/>
        <v>23.74596</v>
      </c>
      <c r="CW387" s="2">
        <f t="shared" si="330"/>
        <v>0</v>
      </c>
      <c r="CX387" s="2">
        <f t="shared" si="331"/>
        <v>0</v>
      </c>
      <c r="CY387" s="2">
        <f>((S387*BZ387)/100)</f>
        <v>0</v>
      </c>
      <c r="CZ387" s="2">
        <f>((S387*CA387)/100)</f>
        <v>0</v>
      </c>
      <c r="DA387" s="2"/>
      <c r="DB387" s="2">
        <v>141</v>
      </c>
      <c r="DC387" s="2" t="s">
        <v>3</v>
      </c>
      <c r="DD387" s="2" t="s">
        <v>3</v>
      </c>
      <c r="DE387" s="2" t="s">
        <v>22</v>
      </c>
      <c r="DF387" s="2" t="s">
        <v>22</v>
      </c>
      <c r="DG387" s="2" t="s">
        <v>22</v>
      </c>
      <c r="DH387" s="2" t="s">
        <v>3</v>
      </c>
      <c r="DI387" s="2" t="s">
        <v>22</v>
      </c>
      <c r="DJ387" s="2" t="s">
        <v>22</v>
      </c>
      <c r="DK387" s="2" t="s">
        <v>3</v>
      </c>
      <c r="DL387" s="2" t="s">
        <v>3</v>
      </c>
      <c r="DM387" s="2" t="s">
        <v>3</v>
      </c>
      <c r="DN387" s="2">
        <v>0</v>
      </c>
      <c r="DO387" s="2">
        <v>0</v>
      </c>
      <c r="DP387" s="2">
        <v>1</v>
      </c>
      <c r="DQ387" s="2">
        <v>1</v>
      </c>
      <c r="DR387" s="2"/>
      <c r="DS387" s="2"/>
      <c r="DT387" s="2"/>
      <c r="DU387" s="2">
        <v>1013</v>
      </c>
      <c r="DV387" s="2" t="s">
        <v>287</v>
      </c>
      <c r="DW387" s="2" t="s">
        <v>287</v>
      </c>
      <c r="DX387" s="2">
        <v>1</v>
      </c>
      <c r="DY387" s="2"/>
      <c r="DZ387" s="2" t="s">
        <v>3</v>
      </c>
      <c r="EA387" s="2" t="s">
        <v>3</v>
      </c>
      <c r="EB387" s="2" t="s">
        <v>3</v>
      </c>
      <c r="EC387" s="2" t="s">
        <v>3</v>
      </c>
      <c r="ED387" s="2"/>
      <c r="EE387" s="2">
        <v>51696185</v>
      </c>
      <c r="EF387" s="2">
        <v>30</v>
      </c>
      <c r="EG387" s="2" t="s">
        <v>23</v>
      </c>
      <c r="EH387" s="2">
        <v>0</v>
      </c>
      <c r="EI387" s="2" t="s">
        <v>3</v>
      </c>
      <c r="EJ387" s="2">
        <v>1</v>
      </c>
      <c r="EK387" s="2">
        <v>146</v>
      </c>
      <c r="EL387" s="2" t="s">
        <v>289</v>
      </c>
      <c r="EM387" s="2" t="s">
        <v>290</v>
      </c>
      <c r="EN387" s="2"/>
      <c r="EO387" s="2" t="s">
        <v>26</v>
      </c>
      <c r="EP387" s="2"/>
      <c r="EQ387" s="2">
        <v>131072</v>
      </c>
      <c r="ER387" s="2">
        <v>5666.2</v>
      </c>
      <c r="ES387" s="2">
        <v>49.49</v>
      </c>
      <c r="ET387" s="2">
        <v>5389.48</v>
      </c>
      <c r="EU387" s="2">
        <v>404.32</v>
      </c>
      <c r="EV387" s="2">
        <v>227.23</v>
      </c>
      <c r="EW387" s="2">
        <v>21.6</v>
      </c>
      <c r="EX387" s="2">
        <v>0</v>
      </c>
      <c r="EY387" s="2">
        <v>0</v>
      </c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>
        <v>0</v>
      </c>
      <c r="FR387" s="2">
        <v>0</v>
      </c>
      <c r="FS387" s="2">
        <v>0</v>
      </c>
      <c r="FT387" s="2"/>
      <c r="FU387" s="2"/>
      <c r="FV387" s="2"/>
      <c r="FW387" s="2"/>
      <c r="FX387" s="2">
        <v>161</v>
      </c>
      <c r="FY387" s="2">
        <v>107</v>
      </c>
      <c r="FZ387" s="2"/>
      <c r="GA387" s="2" t="s">
        <v>3</v>
      </c>
      <c r="GB387" s="2"/>
      <c r="GC387" s="2"/>
      <c r="GD387" s="2">
        <v>0</v>
      </c>
      <c r="GE387" s="2"/>
      <c r="GF387" s="2">
        <v>-1230589429</v>
      </c>
      <c r="GG387" s="2">
        <v>2</v>
      </c>
      <c r="GH387" s="2">
        <v>1</v>
      </c>
      <c r="GI387" s="2">
        <v>-2</v>
      </c>
      <c r="GJ387" s="2">
        <v>0</v>
      </c>
      <c r="GK387" s="2">
        <f>ROUND(R387*(R12)/100,2)</f>
        <v>0</v>
      </c>
      <c r="GL387" s="2">
        <f t="shared" si="332"/>
        <v>0</v>
      </c>
      <c r="GM387" s="2">
        <f t="shared" si="333"/>
        <v>0</v>
      </c>
      <c r="GN387" s="2">
        <f t="shared" si="334"/>
        <v>0</v>
      </c>
      <c r="GO387" s="2">
        <f t="shared" si="335"/>
        <v>0</v>
      </c>
      <c r="GP387" s="2">
        <f t="shared" si="336"/>
        <v>0</v>
      </c>
      <c r="GQ387" s="2"/>
      <c r="GR387" s="2">
        <v>0</v>
      </c>
      <c r="GS387" s="2">
        <v>0</v>
      </c>
      <c r="GT387" s="2">
        <v>0</v>
      </c>
      <c r="GU387" s="2" t="s">
        <v>3</v>
      </c>
      <c r="GV387" s="2">
        <f t="shared" si="337"/>
        <v>0</v>
      </c>
      <c r="GW387" s="2">
        <v>1</v>
      </c>
      <c r="GX387" s="2">
        <f t="shared" si="338"/>
        <v>0</v>
      </c>
      <c r="GY387" s="2"/>
      <c r="GZ387" s="2"/>
      <c r="HA387" s="2">
        <v>0</v>
      </c>
      <c r="HB387" s="2">
        <v>0</v>
      </c>
      <c r="HC387" s="2">
        <f t="shared" si="339"/>
        <v>0</v>
      </c>
      <c r="HD387" s="2"/>
      <c r="HE387" s="2" t="s">
        <v>3</v>
      </c>
      <c r="HF387" s="2" t="s">
        <v>3</v>
      </c>
      <c r="HG387" s="2"/>
      <c r="HH387" s="2"/>
      <c r="HI387" s="2"/>
      <c r="HJ387" s="2"/>
      <c r="HK387" s="2"/>
      <c r="HL387" s="2"/>
      <c r="HM387" s="2" t="s">
        <v>3</v>
      </c>
      <c r="HN387" s="2" t="s">
        <v>3</v>
      </c>
      <c r="HO387" s="2" t="s">
        <v>3</v>
      </c>
      <c r="HP387" s="2" t="s">
        <v>3</v>
      </c>
      <c r="HQ387" s="2" t="s">
        <v>3</v>
      </c>
      <c r="HR387" s="2"/>
      <c r="HS387" s="2">
        <v>0</v>
      </c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>
        <v>0</v>
      </c>
      <c r="IL387" s="2"/>
      <c r="IM387" s="2"/>
      <c r="IN387" s="2"/>
      <c r="IO387" s="2"/>
      <c r="IP387" s="2"/>
      <c r="IQ387" s="2"/>
      <c r="IR387" s="2"/>
      <c r="IS387" s="2"/>
      <c r="IT387" s="2"/>
      <c r="IU387" s="2"/>
    </row>
    <row r="388" spans="1:255" x14ac:dyDescent="0.2">
      <c r="A388">
        <v>17</v>
      </c>
      <c r="B388">
        <v>1</v>
      </c>
      <c r="C388">
        <f>ROW(SmtRes!A70)</f>
        <v>70</v>
      </c>
      <c r="D388">
        <f>ROW(EtalonRes!A656)</f>
        <v>656</v>
      </c>
      <c r="E388" t="s">
        <v>429</v>
      </c>
      <c r="F388" t="s">
        <v>430</v>
      </c>
      <c r="G388" t="s">
        <v>431</v>
      </c>
      <c r="H388" t="s">
        <v>287</v>
      </c>
      <c r="I388">
        <v>0</v>
      </c>
      <c r="J388">
        <v>0</v>
      </c>
      <c r="K388">
        <v>0</v>
      </c>
      <c r="O388">
        <f t="shared" si="303"/>
        <v>0</v>
      </c>
      <c r="P388">
        <f t="shared" si="304"/>
        <v>0</v>
      </c>
      <c r="Q388">
        <f>(ROUND((ROUND((((ET388*1.05))*AV388*I388),2)*BB388),2)+ROUND((ROUND(((AE388-((EU388*1.05)))*AV388*I388),2)*BS388),2))</f>
        <v>0</v>
      </c>
      <c r="R388">
        <f t="shared" si="306"/>
        <v>0</v>
      </c>
      <c r="S388">
        <f t="shared" si="307"/>
        <v>0</v>
      </c>
      <c r="T388">
        <f t="shared" si="308"/>
        <v>0</v>
      </c>
      <c r="U388">
        <f t="shared" si="309"/>
        <v>0</v>
      </c>
      <c r="V388">
        <f t="shared" si="310"/>
        <v>0</v>
      </c>
      <c r="W388">
        <f t="shared" si="311"/>
        <v>0</v>
      </c>
      <c r="X388">
        <f t="shared" si="312"/>
        <v>0</v>
      </c>
      <c r="Y388">
        <f t="shared" si="313"/>
        <v>0</v>
      </c>
      <c r="AA388">
        <v>56610029</v>
      </c>
      <c r="AB388">
        <f t="shared" si="314"/>
        <v>5947.0355</v>
      </c>
      <c r="AC388">
        <f t="shared" si="315"/>
        <v>49.49</v>
      </c>
      <c r="AD388">
        <f>ROUND(((((ET388*1.05))-((EU388*1.05)))+AE388),6)</f>
        <v>5658.9539999999997</v>
      </c>
      <c r="AE388">
        <f>ROUND(((EU388*1.05)),6)</f>
        <v>424.536</v>
      </c>
      <c r="AF388">
        <f>ROUND(((EV388*1.05)),6)</f>
        <v>238.5915</v>
      </c>
      <c r="AG388">
        <f t="shared" si="319"/>
        <v>0</v>
      </c>
      <c r="AH388">
        <f>((EW388*1.05))</f>
        <v>22.680000000000003</v>
      </c>
      <c r="AI388">
        <f>((EX388*1.05))</f>
        <v>0</v>
      </c>
      <c r="AJ388">
        <f t="shared" si="322"/>
        <v>0</v>
      </c>
      <c r="AK388">
        <v>5666.2</v>
      </c>
      <c r="AL388">
        <v>49.49</v>
      </c>
      <c r="AM388">
        <v>5389.48</v>
      </c>
      <c r="AN388">
        <v>404.32</v>
      </c>
      <c r="AO388">
        <v>227.23</v>
      </c>
      <c r="AP388">
        <v>0</v>
      </c>
      <c r="AQ388">
        <v>21.6</v>
      </c>
      <c r="AR388">
        <v>0</v>
      </c>
      <c r="AS388">
        <v>0</v>
      </c>
      <c r="AT388">
        <v>134</v>
      </c>
      <c r="AU388">
        <v>55</v>
      </c>
      <c r="AV388">
        <v>1.0469999999999999</v>
      </c>
      <c r="AW388">
        <v>1.002</v>
      </c>
      <c r="AZ388">
        <v>1</v>
      </c>
      <c r="BA388">
        <v>34.51</v>
      </c>
      <c r="BB388">
        <v>11.62</v>
      </c>
      <c r="BC388">
        <v>7.05</v>
      </c>
      <c r="BD388" t="s">
        <v>3</v>
      </c>
      <c r="BE388" t="s">
        <v>3</v>
      </c>
      <c r="BF388" t="s">
        <v>3</v>
      </c>
      <c r="BG388" t="s">
        <v>3</v>
      </c>
      <c r="BH388">
        <v>0</v>
      </c>
      <c r="BI388">
        <v>1</v>
      </c>
      <c r="BJ388" t="s">
        <v>432</v>
      </c>
      <c r="BM388">
        <v>146</v>
      </c>
      <c r="BN388">
        <v>0</v>
      </c>
      <c r="BO388" t="s">
        <v>430</v>
      </c>
      <c r="BP388">
        <v>1</v>
      </c>
      <c r="BQ388">
        <v>30</v>
      </c>
      <c r="BR388">
        <v>0</v>
      </c>
      <c r="BS388">
        <v>34.51</v>
      </c>
      <c r="BT388">
        <v>1</v>
      </c>
      <c r="BU388">
        <v>1</v>
      </c>
      <c r="BV388">
        <v>1</v>
      </c>
      <c r="BW388">
        <v>1</v>
      </c>
      <c r="BX388">
        <v>1</v>
      </c>
      <c r="BY388" t="s">
        <v>3</v>
      </c>
      <c r="BZ388">
        <v>134</v>
      </c>
      <c r="CA388">
        <v>55</v>
      </c>
      <c r="CB388" t="s">
        <v>3</v>
      </c>
      <c r="CE388">
        <v>30</v>
      </c>
      <c r="CF388">
        <v>0</v>
      </c>
      <c r="CG388">
        <v>0</v>
      </c>
      <c r="CM388">
        <v>0</v>
      </c>
      <c r="CN388" t="s">
        <v>708</v>
      </c>
      <c r="CO388">
        <v>0</v>
      </c>
      <c r="CP388">
        <f t="shared" si="323"/>
        <v>0</v>
      </c>
      <c r="CQ388">
        <f t="shared" si="324"/>
        <v>349.61</v>
      </c>
      <c r="CR388">
        <f>(ROUND((ROUND((((ET388*1.05))*AV388*1),2)*BB388),2)+ROUND((ROUND(((AE388-((EU388*1.05)))*AV388*1),2)*BS388),2))</f>
        <v>68847.570000000007</v>
      </c>
      <c r="CS388">
        <f t="shared" si="326"/>
        <v>15339.35</v>
      </c>
      <c r="CT388">
        <f t="shared" si="327"/>
        <v>8620.94</v>
      </c>
      <c r="CU388">
        <f t="shared" si="328"/>
        <v>0</v>
      </c>
      <c r="CV388">
        <f t="shared" si="329"/>
        <v>23.74596</v>
      </c>
      <c r="CW388">
        <f t="shared" si="330"/>
        <v>0</v>
      </c>
      <c r="CX388">
        <f t="shared" si="331"/>
        <v>0</v>
      </c>
      <c r="CY388">
        <f>S388*(BZ388/100)</f>
        <v>0</v>
      </c>
      <c r="CZ388">
        <f>S388*(CA388/100)</f>
        <v>0</v>
      </c>
      <c r="DB388">
        <v>142</v>
      </c>
      <c r="DC388" t="s">
        <v>3</v>
      </c>
      <c r="DD388" t="s">
        <v>3</v>
      </c>
      <c r="DE388" t="s">
        <v>22</v>
      </c>
      <c r="DF388" t="s">
        <v>22</v>
      </c>
      <c r="DG388" t="s">
        <v>22</v>
      </c>
      <c r="DH388" t="s">
        <v>3</v>
      </c>
      <c r="DI388" t="s">
        <v>22</v>
      </c>
      <c r="DJ388" t="s">
        <v>22</v>
      </c>
      <c r="DK388" t="s">
        <v>3</v>
      </c>
      <c r="DL388" t="s">
        <v>3</v>
      </c>
      <c r="DM388" t="s">
        <v>3</v>
      </c>
      <c r="DN388">
        <v>161</v>
      </c>
      <c r="DO388">
        <v>107</v>
      </c>
      <c r="DP388">
        <v>1.0469999999999999</v>
      </c>
      <c r="DQ388">
        <v>1.002</v>
      </c>
      <c r="DU388">
        <v>1013</v>
      </c>
      <c r="DV388" t="s">
        <v>287</v>
      </c>
      <c r="DW388" t="s">
        <v>287</v>
      </c>
      <c r="DX388">
        <v>1</v>
      </c>
      <c r="DZ388" t="s">
        <v>3</v>
      </c>
      <c r="EA388" t="s">
        <v>3</v>
      </c>
      <c r="EB388" t="s">
        <v>3</v>
      </c>
      <c r="EC388" t="s">
        <v>3</v>
      </c>
      <c r="EE388">
        <v>51696185</v>
      </c>
      <c r="EF388">
        <v>30</v>
      </c>
      <c r="EG388" t="s">
        <v>23</v>
      </c>
      <c r="EH388">
        <v>0</v>
      </c>
      <c r="EI388" t="s">
        <v>3</v>
      </c>
      <c r="EJ388">
        <v>1</v>
      </c>
      <c r="EK388">
        <v>146</v>
      </c>
      <c r="EL388" t="s">
        <v>289</v>
      </c>
      <c r="EM388" t="s">
        <v>290</v>
      </c>
      <c r="EO388" t="s">
        <v>26</v>
      </c>
      <c r="EQ388">
        <v>131072</v>
      </c>
      <c r="ER388">
        <v>5666.2</v>
      </c>
      <c r="ES388">
        <v>49.49</v>
      </c>
      <c r="ET388">
        <v>5389.48</v>
      </c>
      <c r="EU388">
        <v>404.32</v>
      </c>
      <c r="EV388">
        <v>227.23</v>
      </c>
      <c r="EW388">
        <v>21.6</v>
      </c>
      <c r="EX388">
        <v>0</v>
      </c>
      <c r="EY388">
        <v>0</v>
      </c>
      <c r="FQ388">
        <v>0</v>
      </c>
      <c r="FR388">
        <v>0</v>
      </c>
      <c r="FS388">
        <v>0</v>
      </c>
      <c r="FX388">
        <v>161</v>
      </c>
      <c r="FY388">
        <v>107</v>
      </c>
      <c r="GA388" t="s">
        <v>3</v>
      </c>
      <c r="GD388">
        <v>0</v>
      </c>
      <c r="GF388">
        <v>-1230589429</v>
      </c>
      <c r="GG388">
        <v>2</v>
      </c>
      <c r="GH388">
        <v>1</v>
      </c>
      <c r="GI388">
        <v>2</v>
      </c>
      <c r="GJ388">
        <v>0</v>
      </c>
      <c r="GK388">
        <f>ROUND(R388*(S12)/100,2)</f>
        <v>0</v>
      </c>
      <c r="GL388">
        <f t="shared" si="332"/>
        <v>0</v>
      </c>
      <c r="GM388">
        <f t="shared" si="333"/>
        <v>0</v>
      </c>
      <c r="GN388">
        <f t="shared" si="334"/>
        <v>0</v>
      </c>
      <c r="GO388">
        <f t="shared" si="335"/>
        <v>0</v>
      </c>
      <c r="GP388">
        <f t="shared" si="336"/>
        <v>0</v>
      </c>
      <c r="GR388">
        <v>0</v>
      </c>
      <c r="GS388">
        <v>3</v>
      </c>
      <c r="GT388">
        <v>0</v>
      </c>
      <c r="GU388" t="s">
        <v>3</v>
      </c>
      <c r="GV388">
        <f t="shared" si="337"/>
        <v>0</v>
      </c>
      <c r="GW388">
        <v>1</v>
      </c>
      <c r="GX388">
        <f t="shared" si="338"/>
        <v>0</v>
      </c>
      <c r="HA388">
        <v>0</v>
      </c>
      <c r="HB388">
        <v>0</v>
      </c>
      <c r="HC388">
        <f t="shared" si="339"/>
        <v>0</v>
      </c>
      <c r="HE388" t="s">
        <v>3</v>
      </c>
      <c r="HF388" t="s">
        <v>3</v>
      </c>
      <c r="HM388" t="s">
        <v>3</v>
      </c>
      <c r="HN388" t="s">
        <v>3</v>
      </c>
      <c r="HO388" t="s">
        <v>3</v>
      </c>
      <c r="HP388" t="s">
        <v>3</v>
      </c>
      <c r="HQ388" t="s">
        <v>3</v>
      </c>
      <c r="HS388">
        <v>0</v>
      </c>
      <c r="IK388">
        <v>0</v>
      </c>
    </row>
    <row r="389" spans="1:255" x14ac:dyDescent="0.2">
      <c r="A389" s="2">
        <v>18</v>
      </c>
      <c r="B389" s="2">
        <v>1</v>
      </c>
      <c r="C389" s="2">
        <v>69</v>
      </c>
      <c r="D389" s="2"/>
      <c r="E389" s="2" t="s">
        <v>433</v>
      </c>
      <c r="F389" s="2" t="s">
        <v>434</v>
      </c>
      <c r="G389" s="2" t="s">
        <v>435</v>
      </c>
      <c r="H389" s="2" t="s">
        <v>85</v>
      </c>
      <c r="I389" s="2">
        <f>I387*J389</f>
        <v>0</v>
      </c>
      <c r="J389" s="2">
        <v>100</v>
      </c>
      <c r="K389" s="2">
        <v>100</v>
      </c>
      <c r="L389" s="2"/>
      <c r="M389" s="2"/>
      <c r="N389" s="2"/>
      <c r="O389" s="2">
        <f t="shared" si="303"/>
        <v>0</v>
      </c>
      <c r="P389" s="2">
        <f t="shared" si="304"/>
        <v>0</v>
      </c>
      <c r="Q389" s="2">
        <f>(ROUND((ROUND(((ET389)*AV389*I389),2)*BB389),2)+ROUND((ROUND(((AE389-(EU389))*AV389*I389),2)*BS389),2))</f>
        <v>0</v>
      </c>
      <c r="R389" s="2">
        <f t="shared" si="306"/>
        <v>0</v>
      </c>
      <c r="S389" s="2">
        <f t="shared" si="307"/>
        <v>0</v>
      </c>
      <c r="T389" s="2">
        <f t="shared" si="308"/>
        <v>0</v>
      </c>
      <c r="U389" s="2">
        <f t="shared" si="309"/>
        <v>0</v>
      </c>
      <c r="V389" s="2">
        <f t="shared" si="310"/>
        <v>0</v>
      </c>
      <c r="W389" s="2">
        <f t="shared" si="311"/>
        <v>0</v>
      </c>
      <c r="X389" s="2">
        <f t="shared" si="312"/>
        <v>0</v>
      </c>
      <c r="Y389" s="2">
        <f t="shared" si="313"/>
        <v>0</v>
      </c>
      <c r="Z389" s="2"/>
      <c r="AA389" s="2">
        <v>56622490</v>
      </c>
      <c r="AB389" s="2">
        <f t="shared" si="314"/>
        <v>165.8</v>
      </c>
      <c r="AC389" s="2">
        <f t="shared" si="315"/>
        <v>165.8</v>
      </c>
      <c r="AD389" s="2">
        <f>ROUND((((ET389)-(EU389))+AE389),6)</f>
        <v>0</v>
      </c>
      <c r="AE389" s="2">
        <f>ROUND((EU389),6)</f>
        <v>0</v>
      </c>
      <c r="AF389" s="2">
        <f>ROUND((EV389),6)</f>
        <v>0</v>
      </c>
      <c r="AG389" s="2">
        <f t="shared" si="319"/>
        <v>0</v>
      </c>
      <c r="AH389" s="2">
        <f>(EW389)</f>
        <v>0</v>
      </c>
      <c r="AI389" s="2">
        <f>(EX389)</f>
        <v>0</v>
      </c>
      <c r="AJ389" s="2">
        <f t="shared" si="322"/>
        <v>0</v>
      </c>
      <c r="AK389" s="2">
        <v>165.8</v>
      </c>
      <c r="AL389" s="2">
        <v>165.8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161</v>
      </c>
      <c r="AU389" s="2">
        <v>107</v>
      </c>
      <c r="AV389" s="2">
        <v>1.0469999999999999</v>
      </c>
      <c r="AW389" s="2">
        <v>1.002</v>
      </c>
      <c r="AX389" s="2"/>
      <c r="AY389" s="2"/>
      <c r="AZ389" s="2">
        <v>1</v>
      </c>
      <c r="BA389" s="2">
        <v>1</v>
      </c>
      <c r="BB389" s="2">
        <v>1</v>
      </c>
      <c r="BC389" s="2">
        <v>1</v>
      </c>
      <c r="BD389" s="2" t="s">
        <v>3</v>
      </c>
      <c r="BE389" s="2" t="s">
        <v>3</v>
      </c>
      <c r="BF389" s="2" t="s">
        <v>3</v>
      </c>
      <c r="BG389" s="2" t="s">
        <v>3</v>
      </c>
      <c r="BH389" s="2">
        <v>3</v>
      </c>
      <c r="BI389" s="2">
        <v>1</v>
      </c>
      <c r="BJ389" s="2" t="s">
        <v>436</v>
      </c>
      <c r="BK389" s="2"/>
      <c r="BL389" s="2"/>
      <c r="BM389" s="2">
        <v>146</v>
      </c>
      <c r="BN389" s="2">
        <v>0</v>
      </c>
      <c r="BO389" s="2" t="s">
        <v>3</v>
      </c>
      <c r="BP389" s="2">
        <v>0</v>
      </c>
      <c r="BQ389" s="2">
        <v>30</v>
      </c>
      <c r="BR389" s="2">
        <v>0</v>
      </c>
      <c r="BS389" s="2">
        <v>1</v>
      </c>
      <c r="BT389" s="2">
        <v>1</v>
      </c>
      <c r="BU389" s="2">
        <v>1</v>
      </c>
      <c r="BV389" s="2">
        <v>1</v>
      </c>
      <c r="BW389" s="2">
        <v>1</v>
      </c>
      <c r="BX389" s="2">
        <v>1</v>
      </c>
      <c r="BY389" s="2" t="s">
        <v>3</v>
      </c>
      <c r="BZ389" s="2">
        <v>161</v>
      </c>
      <c r="CA389" s="2">
        <v>107</v>
      </c>
      <c r="CB389" s="2" t="s">
        <v>3</v>
      </c>
      <c r="CC389" s="2"/>
      <c r="CD389" s="2"/>
      <c r="CE389" s="2">
        <v>30</v>
      </c>
      <c r="CF389" s="2">
        <v>0</v>
      </c>
      <c r="CG389" s="2">
        <v>0</v>
      </c>
      <c r="CH389" s="2"/>
      <c r="CI389" s="2"/>
      <c r="CJ389" s="2"/>
      <c r="CK389" s="2"/>
      <c r="CL389" s="2"/>
      <c r="CM389" s="2">
        <v>0</v>
      </c>
      <c r="CN389" s="2" t="s">
        <v>3</v>
      </c>
      <c r="CO389" s="2">
        <v>0</v>
      </c>
      <c r="CP389" s="2">
        <f t="shared" si="323"/>
        <v>0</v>
      </c>
      <c r="CQ389" s="2">
        <f t="shared" si="324"/>
        <v>166.13</v>
      </c>
      <c r="CR389" s="2">
        <f>(ROUND((ROUND(((ET389)*AV389*1),2)*BB389),2)+ROUND((ROUND(((AE389-(EU389))*AV389*1),2)*BS389),2))</f>
        <v>0</v>
      </c>
      <c r="CS389" s="2">
        <f t="shared" si="326"/>
        <v>0</v>
      </c>
      <c r="CT389" s="2">
        <f t="shared" si="327"/>
        <v>0</v>
      </c>
      <c r="CU389" s="2">
        <f t="shared" si="328"/>
        <v>0</v>
      </c>
      <c r="CV389" s="2">
        <f t="shared" si="329"/>
        <v>0</v>
      </c>
      <c r="CW389" s="2">
        <f t="shared" si="330"/>
        <v>0</v>
      </c>
      <c r="CX389" s="2">
        <f t="shared" si="331"/>
        <v>0</v>
      </c>
      <c r="CY389" s="2">
        <f>((S389*BZ389)/100)</f>
        <v>0</v>
      </c>
      <c r="CZ389" s="2">
        <f>((S389*CA389)/100)</f>
        <v>0</v>
      </c>
      <c r="DA389" s="2"/>
      <c r="DB389" s="2"/>
      <c r="DC389" s="2" t="s">
        <v>3</v>
      </c>
      <c r="DD389" s="2" t="s">
        <v>3</v>
      </c>
      <c r="DE389" s="2" t="s">
        <v>3</v>
      </c>
      <c r="DF389" s="2" t="s">
        <v>3</v>
      </c>
      <c r="DG389" s="2" t="s">
        <v>3</v>
      </c>
      <c r="DH389" s="2" t="s">
        <v>3</v>
      </c>
      <c r="DI389" s="2" t="s">
        <v>3</v>
      </c>
      <c r="DJ389" s="2" t="s">
        <v>3</v>
      </c>
      <c r="DK389" s="2" t="s">
        <v>3</v>
      </c>
      <c r="DL389" s="2" t="s">
        <v>3</v>
      </c>
      <c r="DM389" s="2" t="s">
        <v>3</v>
      </c>
      <c r="DN389" s="2">
        <v>0</v>
      </c>
      <c r="DO389" s="2">
        <v>0</v>
      </c>
      <c r="DP389" s="2">
        <v>1</v>
      </c>
      <c r="DQ389" s="2">
        <v>1</v>
      </c>
      <c r="DR389" s="2"/>
      <c r="DS389" s="2"/>
      <c r="DT389" s="2"/>
      <c r="DU389" s="2">
        <v>1007</v>
      </c>
      <c r="DV389" s="2" t="s">
        <v>85</v>
      </c>
      <c r="DW389" s="2" t="s">
        <v>85</v>
      </c>
      <c r="DX389" s="2">
        <v>1</v>
      </c>
      <c r="DY389" s="2"/>
      <c r="DZ389" s="2" t="s">
        <v>3</v>
      </c>
      <c r="EA389" s="2" t="s">
        <v>3</v>
      </c>
      <c r="EB389" s="2" t="s">
        <v>3</v>
      </c>
      <c r="EC389" s="2" t="s">
        <v>3</v>
      </c>
      <c r="ED389" s="2"/>
      <c r="EE389" s="2">
        <v>51696185</v>
      </c>
      <c r="EF389" s="2">
        <v>30</v>
      </c>
      <c r="EG389" s="2" t="s">
        <v>23</v>
      </c>
      <c r="EH389" s="2">
        <v>0</v>
      </c>
      <c r="EI389" s="2" t="s">
        <v>3</v>
      </c>
      <c r="EJ389" s="2">
        <v>1</v>
      </c>
      <c r="EK389" s="2">
        <v>146</v>
      </c>
      <c r="EL389" s="2" t="s">
        <v>289</v>
      </c>
      <c r="EM389" s="2" t="s">
        <v>290</v>
      </c>
      <c r="EN389" s="2"/>
      <c r="EO389" s="2" t="s">
        <v>3</v>
      </c>
      <c r="EP389" s="2"/>
      <c r="EQ389" s="2">
        <v>0</v>
      </c>
      <c r="ER389" s="2">
        <v>165.8</v>
      </c>
      <c r="ES389" s="2">
        <v>165.8</v>
      </c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>
        <v>0</v>
      </c>
      <c r="FR389" s="2">
        <v>0</v>
      </c>
      <c r="FS389" s="2">
        <v>0</v>
      </c>
      <c r="FT389" s="2"/>
      <c r="FU389" s="2"/>
      <c r="FV389" s="2"/>
      <c r="FW389" s="2"/>
      <c r="FX389" s="2">
        <v>161</v>
      </c>
      <c r="FY389" s="2">
        <v>107</v>
      </c>
      <c r="FZ389" s="2"/>
      <c r="GA389" s="2" t="s">
        <v>3</v>
      </c>
      <c r="GB389" s="2"/>
      <c r="GC389" s="2"/>
      <c r="GD389" s="2">
        <v>0</v>
      </c>
      <c r="GE389" s="2"/>
      <c r="GF389" s="2">
        <v>1202100556</v>
      </c>
      <c r="GG389" s="2">
        <v>2</v>
      </c>
      <c r="GH389" s="2">
        <v>1</v>
      </c>
      <c r="GI389" s="2">
        <v>-2</v>
      </c>
      <c r="GJ389" s="2">
        <v>0</v>
      </c>
      <c r="GK389" s="2">
        <f>ROUND(R389*(R12)/100,2)</f>
        <v>0</v>
      </c>
      <c r="GL389" s="2">
        <f t="shared" si="332"/>
        <v>0</v>
      </c>
      <c r="GM389" s="2">
        <f t="shared" si="333"/>
        <v>0</v>
      </c>
      <c r="GN389" s="2">
        <f t="shared" si="334"/>
        <v>0</v>
      </c>
      <c r="GO389" s="2">
        <f t="shared" si="335"/>
        <v>0</v>
      </c>
      <c r="GP389" s="2">
        <f t="shared" si="336"/>
        <v>0</v>
      </c>
      <c r="GQ389" s="2"/>
      <c r="GR389" s="2">
        <v>0</v>
      </c>
      <c r="GS389" s="2">
        <v>0</v>
      </c>
      <c r="GT389" s="2">
        <v>0</v>
      </c>
      <c r="GU389" s="2" t="s">
        <v>3</v>
      </c>
      <c r="GV389" s="2">
        <f t="shared" si="337"/>
        <v>0</v>
      </c>
      <c r="GW389" s="2">
        <v>1</v>
      </c>
      <c r="GX389" s="2">
        <f t="shared" si="338"/>
        <v>0</v>
      </c>
      <c r="GY389" s="2"/>
      <c r="GZ389" s="2"/>
      <c r="HA389" s="2">
        <v>0</v>
      </c>
      <c r="HB389" s="2">
        <v>0</v>
      </c>
      <c r="HC389" s="2">
        <f t="shared" si="339"/>
        <v>0</v>
      </c>
      <c r="HD389" s="2"/>
      <c r="HE389" s="2" t="s">
        <v>3</v>
      </c>
      <c r="HF389" s="2" t="s">
        <v>3</v>
      </c>
      <c r="HG389" s="2"/>
      <c r="HH389" s="2"/>
      <c r="HI389" s="2"/>
      <c r="HJ389" s="2"/>
      <c r="HK389" s="2"/>
      <c r="HL389" s="2"/>
      <c r="HM389" s="2" t="s">
        <v>3</v>
      </c>
      <c r="HN389" s="2" t="s">
        <v>3</v>
      </c>
      <c r="HO389" s="2" t="s">
        <v>3</v>
      </c>
      <c r="HP389" s="2" t="s">
        <v>3</v>
      </c>
      <c r="HQ389" s="2" t="s">
        <v>3</v>
      </c>
      <c r="HR389" s="2"/>
      <c r="HS389" s="2">
        <v>0</v>
      </c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>
        <v>0</v>
      </c>
      <c r="IL389" s="2"/>
      <c r="IM389" s="2"/>
      <c r="IN389" s="2"/>
      <c r="IO389" s="2"/>
      <c r="IP389" s="2"/>
      <c r="IQ389" s="2"/>
      <c r="IR389" s="2"/>
      <c r="IS389" s="2"/>
      <c r="IT389" s="2"/>
      <c r="IU389" s="2"/>
    </row>
    <row r="390" spans="1:255" x14ac:dyDescent="0.2">
      <c r="A390">
        <v>18</v>
      </c>
      <c r="B390">
        <v>1</v>
      </c>
      <c r="C390">
        <v>70</v>
      </c>
      <c r="E390" t="s">
        <v>433</v>
      </c>
      <c r="F390" t="s">
        <v>434</v>
      </c>
      <c r="G390" t="s">
        <v>435</v>
      </c>
      <c r="H390" t="s">
        <v>85</v>
      </c>
      <c r="I390">
        <f>I388*J390</f>
        <v>0</v>
      </c>
      <c r="J390">
        <v>100</v>
      </c>
      <c r="K390">
        <v>100</v>
      </c>
      <c r="O390">
        <f t="shared" si="303"/>
        <v>0</v>
      </c>
      <c r="P390">
        <f t="shared" si="304"/>
        <v>0</v>
      </c>
      <c r="Q390">
        <f>(ROUND((ROUND(((ET390)*AV390*I390),2)*BB390),2)+ROUND((ROUND(((AE390-(EU390))*AV390*I390),2)*BS390),2))</f>
        <v>0</v>
      </c>
      <c r="R390">
        <f t="shared" si="306"/>
        <v>0</v>
      </c>
      <c r="S390">
        <f t="shared" si="307"/>
        <v>0</v>
      </c>
      <c r="T390">
        <f t="shared" si="308"/>
        <v>0</v>
      </c>
      <c r="U390">
        <f t="shared" si="309"/>
        <v>0</v>
      </c>
      <c r="V390">
        <f t="shared" si="310"/>
        <v>0</v>
      </c>
      <c r="W390">
        <f t="shared" si="311"/>
        <v>0</v>
      </c>
      <c r="X390">
        <f t="shared" si="312"/>
        <v>0</v>
      </c>
      <c r="Y390">
        <f t="shared" si="313"/>
        <v>0</v>
      </c>
      <c r="AA390">
        <v>56610029</v>
      </c>
      <c r="AB390">
        <f t="shared" si="314"/>
        <v>165.8</v>
      </c>
      <c r="AC390">
        <f t="shared" si="315"/>
        <v>165.8</v>
      </c>
      <c r="AD390">
        <f>ROUND((((ET390)-(EU390))+AE390),6)</f>
        <v>0</v>
      </c>
      <c r="AE390">
        <f>ROUND((EU390),6)</f>
        <v>0</v>
      </c>
      <c r="AF390">
        <f>ROUND((EV390),6)</f>
        <v>0</v>
      </c>
      <c r="AG390">
        <f t="shared" si="319"/>
        <v>0</v>
      </c>
      <c r="AH390">
        <f>(EW390)</f>
        <v>0</v>
      </c>
      <c r="AI390">
        <f>(EX390)</f>
        <v>0</v>
      </c>
      <c r="AJ390">
        <f t="shared" si="322"/>
        <v>0</v>
      </c>
      <c r="AK390">
        <v>165.8</v>
      </c>
      <c r="AL390">
        <v>165.8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1</v>
      </c>
      <c r="AW390">
        <v>1.002</v>
      </c>
      <c r="AZ390">
        <v>1</v>
      </c>
      <c r="BA390">
        <v>1</v>
      </c>
      <c r="BB390">
        <v>1</v>
      </c>
      <c r="BC390">
        <v>17.93</v>
      </c>
      <c r="BD390" t="s">
        <v>3</v>
      </c>
      <c r="BE390" t="s">
        <v>3</v>
      </c>
      <c r="BF390" t="s">
        <v>3</v>
      </c>
      <c r="BG390" t="s">
        <v>3</v>
      </c>
      <c r="BH390">
        <v>3</v>
      </c>
      <c r="BI390">
        <v>1</v>
      </c>
      <c r="BJ390" t="s">
        <v>436</v>
      </c>
      <c r="BM390">
        <v>146</v>
      </c>
      <c r="BN390">
        <v>0</v>
      </c>
      <c r="BO390" t="s">
        <v>434</v>
      </c>
      <c r="BP390">
        <v>1</v>
      </c>
      <c r="BQ390">
        <v>30</v>
      </c>
      <c r="BR390">
        <v>0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 t="s">
        <v>3</v>
      </c>
      <c r="BZ390">
        <v>0</v>
      </c>
      <c r="CA390">
        <v>0</v>
      </c>
      <c r="CB390" t="s">
        <v>3</v>
      </c>
      <c r="CE390">
        <v>30</v>
      </c>
      <c r="CF390">
        <v>0</v>
      </c>
      <c r="CG390">
        <v>0</v>
      </c>
      <c r="CM390">
        <v>0</v>
      </c>
      <c r="CN390" t="s">
        <v>3</v>
      </c>
      <c r="CO390">
        <v>0</v>
      </c>
      <c r="CP390">
        <f t="shared" si="323"/>
        <v>0</v>
      </c>
      <c r="CQ390">
        <f t="shared" si="324"/>
        <v>2978.71</v>
      </c>
      <c r="CR390">
        <f>(ROUND((ROUND(((ET390)*AV390*1),2)*BB390),2)+ROUND((ROUND(((AE390-(EU390))*AV390*1),2)*BS390),2))</f>
        <v>0</v>
      </c>
      <c r="CS390">
        <f t="shared" si="326"/>
        <v>0</v>
      </c>
      <c r="CT390">
        <f t="shared" si="327"/>
        <v>0</v>
      </c>
      <c r="CU390">
        <f t="shared" si="328"/>
        <v>0</v>
      </c>
      <c r="CV390">
        <f t="shared" si="329"/>
        <v>0</v>
      </c>
      <c r="CW390">
        <f t="shared" si="330"/>
        <v>0</v>
      </c>
      <c r="CX390">
        <f t="shared" si="331"/>
        <v>0</v>
      </c>
      <c r="CY390">
        <f>S390*(BZ390/100)</f>
        <v>0</v>
      </c>
      <c r="CZ390">
        <f>S390*(CA390/100)</f>
        <v>0</v>
      </c>
      <c r="DC390" t="s">
        <v>3</v>
      </c>
      <c r="DD390" t="s">
        <v>3</v>
      </c>
      <c r="DE390" t="s">
        <v>3</v>
      </c>
      <c r="DF390" t="s">
        <v>3</v>
      </c>
      <c r="DG390" t="s">
        <v>3</v>
      </c>
      <c r="DH390" t="s">
        <v>3</v>
      </c>
      <c r="DI390" t="s">
        <v>3</v>
      </c>
      <c r="DJ390" t="s">
        <v>3</v>
      </c>
      <c r="DK390" t="s">
        <v>3</v>
      </c>
      <c r="DL390" t="s">
        <v>3</v>
      </c>
      <c r="DM390" t="s">
        <v>3</v>
      </c>
      <c r="DN390">
        <v>161</v>
      </c>
      <c r="DO390">
        <v>107</v>
      </c>
      <c r="DP390">
        <v>1.0469999999999999</v>
      </c>
      <c r="DQ390">
        <v>1.002</v>
      </c>
      <c r="DU390">
        <v>1007</v>
      </c>
      <c r="DV390" t="s">
        <v>85</v>
      </c>
      <c r="DW390" t="s">
        <v>85</v>
      </c>
      <c r="DX390">
        <v>1</v>
      </c>
      <c r="DZ390" t="s">
        <v>3</v>
      </c>
      <c r="EA390" t="s">
        <v>3</v>
      </c>
      <c r="EB390" t="s">
        <v>3</v>
      </c>
      <c r="EC390" t="s">
        <v>3</v>
      </c>
      <c r="EE390">
        <v>51696185</v>
      </c>
      <c r="EF390">
        <v>30</v>
      </c>
      <c r="EG390" t="s">
        <v>23</v>
      </c>
      <c r="EH390">
        <v>0</v>
      </c>
      <c r="EI390" t="s">
        <v>3</v>
      </c>
      <c r="EJ390">
        <v>1</v>
      </c>
      <c r="EK390">
        <v>146</v>
      </c>
      <c r="EL390" t="s">
        <v>289</v>
      </c>
      <c r="EM390" t="s">
        <v>290</v>
      </c>
      <c r="EO390" t="s">
        <v>3</v>
      </c>
      <c r="EQ390">
        <v>0</v>
      </c>
      <c r="ER390">
        <v>165.8</v>
      </c>
      <c r="ES390">
        <v>165.8</v>
      </c>
      <c r="ET390">
        <v>0</v>
      </c>
      <c r="EU390">
        <v>0</v>
      </c>
      <c r="EV390">
        <v>0</v>
      </c>
      <c r="EW390">
        <v>0</v>
      </c>
      <c r="EX390">
        <v>0</v>
      </c>
      <c r="FQ390">
        <v>0</v>
      </c>
      <c r="FR390">
        <v>0</v>
      </c>
      <c r="FS390">
        <v>0</v>
      </c>
      <c r="FX390">
        <v>161</v>
      </c>
      <c r="FY390">
        <v>107</v>
      </c>
      <c r="GA390" t="s">
        <v>3</v>
      </c>
      <c r="GD390">
        <v>0</v>
      </c>
      <c r="GF390">
        <v>1202100556</v>
      </c>
      <c r="GG390">
        <v>2</v>
      </c>
      <c r="GH390">
        <v>1</v>
      </c>
      <c r="GI390">
        <v>2</v>
      </c>
      <c r="GJ390">
        <v>0</v>
      </c>
      <c r="GK390">
        <f>ROUND(R390*(S12)/100,2)</f>
        <v>0</v>
      </c>
      <c r="GL390">
        <f t="shared" si="332"/>
        <v>0</v>
      </c>
      <c r="GM390">
        <f t="shared" si="333"/>
        <v>0</v>
      </c>
      <c r="GN390">
        <f t="shared" si="334"/>
        <v>0</v>
      </c>
      <c r="GO390">
        <f t="shared" si="335"/>
        <v>0</v>
      </c>
      <c r="GP390">
        <f t="shared" si="336"/>
        <v>0</v>
      </c>
      <c r="GR390">
        <v>0</v>
      </c>
      <c r="GS390">
        <v>3</v>
      </c>
      <c r="GT390">
        <v>0</v>
      </c>
      <c r="GU390" t="s">
        <v>3</v>
      </c>
      <c r="GV390">
        <f t="shared" si="337"/>
        <v>0</v>
      </c>
      <c r="GW390">
        <v>1</v>
      </c>
      <c r="GX390">
        <f t="shared" si="338"/>
        <v>0</v>
      </c>
      <c r="HA390">
        <v>0</v>
      </c>
      <c r="HB390">
        <v>0</v>
      </c>
      <c r="HC390">
        <f t="shared" si="339"/>
        <v>0</v>
      </c>
      <c r="HE390" t="s">
        <v>3</v>
      </c>
      <c r="HF390" t="s">
        <v>3</v>
      </c>
      <c r="HM390" t="s">
        <v>3</v>
      </c>
      <c r="HN390" t="s">
        <v>3</v>
      </c>
      <c r="HO390" t="s">
        <v>3</v>
      </c>
      <c r="HP390" t="s">
        <v>3</v>
      </c>
      <c r="HQ390" t="s">
        <v>3</v>
      </c>
      <c r="HS390">
        <v>0</v>
      </c>
      <c r="IK390">
        <v>0</v>
      </c>
    </row>
    <row r="391" spans="1:255" x14ac:dyDescent="0.2">
      <c r="A391" s="2">
        <v>17</v>
      </c>
      <c r="B391" s="2">
        <v>1</v>
      </c>
      <c r="C391" s="2"/>
      <c r="D391" s="2">
        <f>ROW(EtalonRes!A662)</f>
        <v>662</v>
      </c>
      <c r="E391" s="2" t="s">
        <v>437</v>
      </c>
      <c r="F391" s="2" t="s">
        <v>438</v>
      </c>
      <c r="G391" s="2" t="s">
        <v>439</v>
      </c>
      <c r="H391" s="2" t="s">
        <v>440</v>
      </c>
      <c r="I391" s="2">
        <v>0</v>
      </c>
      <c r="J391" s="2">
        <v>0</v>
      </c>
      <c r="K391" s="2">
        <v>0</v>
      </c>
      <c r="L391" s="2"/>
      <c r="M391" s="2"/>
      <c r="N391" s="2"/>
      <c r="O391" s="2">
        <f t="shared" si="303"/>
        <v>0</v>
      </c>
      <c r="P391" s="2">
        <f t="shared" si="304"/>
        <v>0</v>
      </c>
      <c r="Q391" s="2">
        <f>(ROUND((ROUND((((ET391*1.05))*AV391*I391),2)*BB391),2)+ROUND((ROUND(((AE391-((EU391*1.05)))*AV391*I391),2)*BS391),2))</f>
        <v>0</v>
      </c>
      <c r="R391" s="2">
        <f t="shared" si="306"/>
        <v>0</v>
      </c>
      <c r="S391" s="2">
        <f t="shared" si="307"/>
        <v>0</v>
      </c>
      <c r="T391" s="2">
        <f t="shared" si="308"/>
        <v>0</v>
      </c>
      <c r="U391" s="2">
        <f t="shared" si="309"/>
        <v>0</v>
      </c>
      <c r="V391" s="2">
        <f t="shared" si="310"/>
        <v>0</v>
      </c>
      <c r="W391" s="2">
        <f t="shared" si="311"/>
        <v>0</v>
      </c>
      <c r="X391" s="2">
        <f t="shared" si="312"/>
        <v>0</v>
      </c>
      <c r="Y391" s="2">
        <f t="shared" si="313"/>
        <v>0</v>
      </c>
      <c r="Z391" s="2"/>
      <c r="AA391" s="2">
        <v>56622490</v>
      </c>
      <c r="AB391" s="2">
        <f t="shared" si="314"/>
        <v>712.73249999999996</v>
      </c>
      <c r="AC391" s="2">
        <f t="shared" si="315"/>
        <v>23.88</v>
      </c>
      <c r="AD391" s="2">
        <f>ROUND(((((ET391*1.05))-((EU391*1.05)))+AE391),6)</f>
        <v>174.2895</v>
      </c>
      <c r="AE391" s="2">
        <f>ROUND(((EU391*1.05)),6)</f>
        <v>13.513500000000001</v>
      </c>
      <c r="AF391" s="2">
        <f>ROUND(((EV391*1.05)),6)</f>
        <v>514.56299999999999</v>
      </c>
      <c r="AG391" s="2">
        <f t="shared" si="319"/>
        <v>0</v>
      </c>
      <c r="AH391" s="2">
        <f>((EW391*1.05))</f>
        <v>48.089999999999996</v>
      </c>
      <c r="AI391" s="2">
        <f>((EX391*1.05))</f>
        <v>0</v>
      </c>
      <c r="AJ391" s="2">
        <f t="shared" si="322"/>
        <v>0</v>
      </c>
      <c r="AK391" s="2">
        <v>679.93</v>
      </c>
      <c r="AL391" s="2">
        <v>23.88</v>
      </c>
      <c r="AM391" s="2">
        <v>165.99</v>
      </c>
      <c r="AN391" s="2">
        <v>12.87</v>
      </c>
      <c r="AO391" s="2">
        <v>490.06</v>
      </c>
      <c r="AP391" s="2">
        <v>0</v>
      </c>
      <c r="AQ391" s="2">
        <v>45.8</v>
      </c>
      <c r="AR391" s="2">
        <v>0</v>
      </c>
      <c r="AS391" s="2">
        <v>0</v>
      </c>
      <c r="AT391" s="2">
        <v>134</v>
      </c>
      <c r="AU391" s="2">
        <v>83</v>
      </c>
      <c r="AV391" s="2">
        <v>1.0469999999999999</v>
      </c>
      <c r="AW391" s="2">
        <v>1.006</v>
      </c>
      <c r="AX391" s="2"/>
      <c r="AY391" s="2"/>
      <c r="AZ391" s="2">
        <v>1</v>
      </c>
      <c r="BA391" s="2">
        <v>1</v>
      </c>
      <c r="BB391" s="2">
        <v>1</v>
      </c>
      <c r="BC391" s="2">
        <v>1</v>
      </c>
      <c r="BD391" s="2" t="s">
        <v>3</v>
      </c>
      <c r="BE391" s="2" t="s">
        <v>3</v>
      </c>
      <c r="BF391" s="2" t="s">
        <v>3</v>
      </c>
      <c r="BG391" s="2" t="s">
        <v>3</v>
      </c>
      <c r="BH391" s="2">
        <v>0</v>
      </c>
      <c r="BI391" s="2">
        <v>1</v>
      </c>
      <c r="BJ391" s="2" t="s">
        <v>441</v>
      </c>
      <c r="BK391" s="2"/>
      <c r="BL391" s="2"/>
      <c r="BM391" s="2">
        <v>161</v>
      </c>
      <c r="BN391" s="2">
        <v>0</v>
      </c>
      <c r="BO391" s="2" t="s">
        <v>3</v>
      </c>
      <c r="BP391" s="2">
        <v>0</v>
      </c>
      <c r="BQ391" s="2">
        <v>30</v>
      </c>
      <c r="BR391" s="2">
        <v>0</v>
      </c>
      <c r="BS391" s="2">
        <v>1</v>
      </c>
      <c r="BT391" s="2">
        <v>1</v>
      </c>
      <c r="BU391" s="2">
        <v>1</v>
      </c>
      <c r="BV391" s="2">
        <v>1</v>
      </c>
      <c r="BW391" s="2">
        <v>1</v>
      </c>
      <c r="BX391" s="2">
        <v>1</v>
      </c>
      <c r="BY391" s="2" t="s">
        <v>3</v>
      </c>
      <c r="BZ391" s="2">
        <v>134</v>
      </c>
      <c r="CA391" s="2">
        <v>83</v>
      </c>
      <c r="CB391" s="2" t="s">
        <v>3</v>
      </c>
      <c r="CC391" s="2"/>
      <c r="CD391" s="2"/>
      <c r="CE391" s="2">
        <v>30</v>
      </c>
      <c r="CF391" s="2">
        <v>0</v>
      </c>
      <c r="CG391" s="2">
        <v>0</v>
      </c>
      <c r="CH391" s="2"/>
      <c r="CI391" s="2"/>
      <c r="CJ391" s="2"/>
      <c r="CK391" s="2"/>
      <c r="CL391" s="2"/>
      <c r="CM391" s="2">
        <v>0</v>
      </c>
      <c r="CN391" s="2" t="s">
        <v>708</v>
      </c>
      <c r="CO391" s="2">
        <v>0</v>
      </c>
      <c r="CP391" s="2">
        <f t="shared" si="323"/>
        <v>0</v>
      </c>
      <c r="CQ391" s="2">
        <f t="shared" si="324"/>
        <v>24.02</v>
      </c>
      <c r="CR391" s="2">
        <f>(ROUND((ROUND((((ET391*1.05))*AV391*1),2)*BB391),2)+ROUND((ROUND(((AE391-((EU391*1.05)))*AV391*1),2)*BS391),2))</f>
        <v>182.48</v>
      </c>
      <c r="CS391" s="2">
        <f t="shared" si="326"/>
        <v>14.15</v>
      </c>
      <c r="CT391" s="2">
        <f t="shared" si="327"/>
        <v>538.75</v>
      </c>
      <c r="CU391" s="2">
        <f t="shared" si="328"/>
        <v>0</v>
      </c>
      <c r="CV391" s="2">
        <f t="shared" si="329"/>
        <v>50.350229999999996</v>
      </c>
      <c r="CW391" s="2">
        <f t="shared" si="330"/>
        <v>0</v>
      </c>
      <c r="CX391" s="2">
        <f t="shared" si="331"/>
        <v>0</v>
      </c>
      <c r="CY391" s="2">
        <f>((S391*BZ391)/100)</f>
        <v>0</v>
      </c>
      <c r="CZ391" s="2">
        <f>((S391*CA391)/100)</f>
        <v>0</v>
      </c>
      <c r="DA391" s="2"/>
      <c r="DB391" s="2">
        <v>143</v>
      </c>
      <c r="DC391" s="2" t="s">
        <v>3</v>
      </c>
      <c r="DD391" s="2" t="s">
        <v>3</v>
      </c>
      <c r="DE391" s="2" t="s">
        <v>22</v>
      </c>
      <c r="DF391" s="2" t="s">
        <v>22</v>
      </c>
      <c r="DG391" s="2" t="s">
        <v>22</v>
      </c>
      <c r="DH391" s="2" t="s">
        <v>3</v>
      </c>
      <c r="DI391" s="2" t="s">
        <v>22</v>
      </c>
      <c r="DJ391" s="2" t="s">
        <v>22</v>
      </c>
      <c r="DK391" s="2" t="s">
        <v>3</v>
      </c>
      <c r="DL391" s="2" t="s">
        <v>3</v>
      </c>
      <c r="DM391" s="2" t="s">
        <v>3</v>
      </c>
      <c r="DN391" s="2">
        <v>0</v>
      </c>
      <c r="DO391" s="2">
        <v>0</v>
      </c>
      <c r="DP391" s="2">
        <v>1</v>
      </c>
      <c r="DQ391" s="2">
        <v>1</v>
      </c>
      <c r="DR391" s="2"/>
      <c r="DS391" s="2"/>
      <c r="DT391" s="2"/>
      <c r="DU391" s="2">
        <v>1013</v>
      </c>
      <c r="DV391" s="2" t="s">
        <v>440</v>
      </c>
      <c r="DW391" s="2" t="s">
        <v>440</v>
      </c>
      <c r="DX391" s="2">
        <v>1</v>
      </c>
      <c r="DY391" s="2"/>
      <c r="DZ391" s="2" t="s">
        <v>3</v>
      </c>
      <c r="EA391" s="2" t="s">
        <v>3</v>
      </c>
      <c r="EB391" s="2" t="s">
        <v>3</v>
      </c>
      <c r="EC391" s="2" t="s">
        <v>3</v>
      </c>
      <c r="ED391" s="2"/>
      <c r="EE391" s="2">
        <v>51696200</v>
      </c>
      <c r="EF391" s="2">
        <v>30</v>
      </c>
      <c r="EG391" s="2" t="s">
        <v>23</v>
      </c>
      <c r="EH391" s="2">
        <v>0</v>
      </c>
      <c r="EI391" s="2" t="s">
        <v>3</v>
      </c>
      <c r="EJ391" s="2">
        <v>1</v>
      </c>
      <c r="EK391" s="2">
        <v>161</v>
      </c>
      <c r="EL391" s="2" t="s">
        <v>442</v>
      </c>
      <c r="EM391" s="2" t="s">
        <v>443</v>
      </c>
      <c r="EN391" s="2"/>
      <c r="EO391" s="2" t="s">
        <v>26</v>
      </c>
      <c r="EP391" s="2"/>
      <c r="EQ391" s="2">
        <v>131072</v>
      </c>
      <c r="ER391" s="2">
        <v>679.93</v>
      </c>
      <c r="ES391" s="2">
        <v>23.88</v>
      </c>
      <c r="ET391" s="2">
        <v>165.99</v>
      </c>
      <c r="EU391" s="2">
        <v>12.87</v>
      </c>
      <c r="EV391" s="2">
        <v>490.06</v>
      </c>
      <c r="EW391" s="2">
        <v>45.8</v>
      </c>
      <c r="EX391" s="2">
        <v>0</v>
      </c>
      <c r="EY391" s="2">
        <v>0</v>
      </c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>
        <v>0</v>
      </c>
      <c r="FR391" s="2">
        <v>0</v>
      </c>
      <c r="FS391" s="2">
        <v>0</v>
      </c>
      <c r="FT391" s="2"/>
      <c r="FU391" s="2"/>
      <c r="FV391" s="2"/>
      <c r="FW391" s="2"/>
      <c r="FX391" s="2">
        <v>134</v>
      </c>
      <c r="FY391" s="2">
        <v>83</v>
      </c>
      <c r="FZ391" s="2"/>
      <c r="GA391" s="2" t="s">
        <v>3</v>
      </c>
      <c r="GB391" s="2"/>
      <c r="GC391" s="2"/>
      <c r="GD391" s="2">
        <v>0</v>
      </c>
      <c r="GE391" s="2"/>
      <c r="GF391" s="2">
        <v>1649813325</v>
      </c>
      <c r="GG391" s="2">
        <v>2</v>
      </c>
      <c r="GH391" s="2">
        <v>1</v>
      </c>
      <c r="GI391" s="2">
        <v>-2</v>
      </c>
      <c r="GJ391" s="2">
        <v>0</v>
      </c>
      <c r="GK391" s="2">
        <f>ROUND(R391*(R12)/100,2)</f>
        <v>0</v>
      </c>
      <c r="GL391" s="2">
        <f t="shared" si="332"/>
        <v>0</v>
      </c>
      <c r="GM391" s="2">
        <f t="shared" si="333"/>
        <v>0</v>
      </c>
      <c r="GN391" s="2">
        <f t="shared" si="334"/>
        <v>0</v>
      </c>
      <c r="GO391" s="2">
        <f t="shared" si="335"/>
        <v>0</v>
      </c>
      <c r="GP391" s="2">
        <f t="shared" si="336"/>
        <v>0</v>
      </c>
      <c r="GQ391" s="2"/>
      <c r="GR391" s="2">
        <v>0</v>
      </c>
      <c r="GS391" s="2">
        <v>0</v>
      </c>
      <c r="GT391" s="2">
        <v>0</v>
      </c>
      <c r="GU391" s="2" t="s">
        <v>3</v>
      </c>
      <c r="GV391" s="2">
        <f t="shared" si="337"/>
        <v>0</v>
      </c>
      <c r="GW391" s="2">
        <v>1</v>
      </c>
      <c r="GX391" s="2">
        <f t="shared" si="338"/>
        <v>0</v>
      </c>
      <c r="GY391" s="2"/>
      <c r="GZ391" s="2"/>
      <c r="HA391" s="2">
        <v>0</v>
      </c>
      <c r="HB391" s="2">
        <v>0</v>
      </c>
      <c r="HC391" s="2">
        <f t="shared" si="339"/>
        <v>0</v>
      </c>
      <c r="HD391" s="2"/>
      <c r="HE391" s="2" t="s">
        <v>3</v>
      </c>
      <c r="HF391" s="2" t="s">
        <v>3</v>
      </c>
      <c r="HG391" s="2"/>
      <c r="HH391" s="2"/>
      <c r="HI391" s="2"/>
      <c r="HJ391" s="2"/>
      <c r="HK391" s="2"/>
      <c r="HL391" s="2"/>
      <c r="HM391" s="2" t="s">
        <v>3</v>
      </c>
      <c r="HN391" s="2" t="s">
        <v>3</v>
      </c>
      <c r="HO391" s="2" t="s">
        <v>3</v>
      </c>
      <c r="HP391" s="2" t="s">
        <v>3</v>
      </c>
      <c r="HQ391" s="2" t="s">
        <v>3</v>
      </c>
      <c r="HR391" s="2"/>
      <c r="HS391" s="2">
        <v>0</v>
      </c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>
        <v>0</v>
      </c>
      <c r="IL391" s="2"/>
      <c r="IM391" s="2"/>
      <c r="IN391" s="2"/>
      <c r="IO391" s="2"/>
      <c r="IP391" s="2"/>
      <c r="IQ391" s="2"/>
      <c r="IR391" s="2"/>
      <c r="IS391" s="2"/>
      <c r="IT391" s="2"/>
      <c r="IU391" s="2"/>
    </row>
    <row r="392" spans="1:255" x14ac:dyDescent="0.2">
      <c r="A392">
        <v>17</v>
      </c>
      <c r="B392">
        <v>1</v>
      </c>
      <c r="D392">
        <f>ROW(EtalonRes!A668)</f>
        <v>668</v>
      </c>
      <c r="E392" t="s">
        <v>437</v>
      </c>
      <c r="F392" t="s">
        <v>438</v>
      </c>
      <c r="G392" t="s">
        <v>439</v>
      </c>
      <c r="H392" t="s">
        <v>440</v>
      </c>
      <c r="I392">
        <v>0</v>
      </c>
      <c r="J392">
        <v>0</v>
      </c>
      <c r="K392">
        <v>0</v>
      </c>
      <c r="O392">
        <f t="shared" si="303"/>
        <v>0</v>
      </c>
      <c r="P392">
        <f t="shared" si="304"/>
        <v>0</v>
      </c>
      <c r="Q392">
        <f>(ROUND((ROUND((((ET392*1.05))*AV392*I392),2)*BB392),2)+ROUND((ROUND(((AE392-((EU392*1.05)))*AV392*I392),2)*BS392),2))</f>
        <v>0</v>
      </c>
      <c r="R392">
        <f t="shared" si="306"/>
        <v>0</v>
      </c>
      <c r="S392">
        <f t="shared" si="307"/>
        <v>0</v>
      </c>
      <c r="T392">
        <f t="shared" si="308"/>
        <v>0</v>
      </c>
      <c r="U392">
        <f t="shared" si="309"/>
        <v>0</v>
      </c>
      <c r="V392">
        <f t="shared" si="310"/>
        <v>0</v>
      </c>
      <c r="W392">
        <f t="shared" si="311"/>
        <v>0</v>
      </c>
      <c r="X392">
        <f t="shared" si="312"/>
        <v>0</v>
      </c>
      <c r="Y392">
        <f t="shared" si="313"/>
        <v>0</v>
      </c>
      <c r="AA392">
        <v>56610029</v>
      </c>
      <c r="AB392">
        <f t="shared" si="314"/>
        <v>712.73249999999996</v>
      </c>
      <c r="AC392">
        <f t="shared" si="315"/>
        <v>23.88</v>
      </c>
      <c r="AD392">
        <f>ROUND(((((ET392*1.05))-((EU392*1.05)))+AE392),6)</f>
        <v>174.2895</v>
      </c>
      <c r="AE392">
        <f>ROUND(((EU392*1.05)),6)</f>
        <v>13.513500000000001</v>
      </c>
      <c r="AF392">
        <f>ROUND(((EV392*1.05)),6)</f>
        <v>514.56299999999999</v>
      </c>
      <c r="AG392">
        <f t="shared" si="319"/>
        <v>0</v>
      </c>
      <c r="AH392">
        <f>((EW392*1.05))</f>
        <v>48.089999999999996</v>
      </c>
      <c r="AI392">
        <f>((EX392*1.05))</f>
        <v>0</v>
      </c>
      <c r="AJ392">
        <f t="shared" si="322"/>
        <v>0</v>
      </c>
      <c r="AK392">
        <v>679.93</v>
      </c>
      <c r="AL392">
        <v>23.88</v>
      </c>
      <c r="AM392">
        <v>165.99</v>
      </c>
      <c r="AN392">
        <v>12.87</v>
      </c>
      <c r="AO392">
        <v>490.06</v>
      </c>
      <c r="AP392">
        <v>0</v>
      </c>
      <c r="AQ392">
        <v>45.8</v>
      </c>
      <c r="AR392">
        <v>0</v>
      </c>
      <c r="AS392">
        <v>0</v>
      </c>
      <c r="AT392">
        <v>109</v>
      </c>
      <c r="AU392">
        <v>41</v>
      </c>
      <c r="AV392">
        <v>1.0469999999999999</v>
      </c>
      <c r="AW392">
        <v>1.006</v>
      </c>
      <c r="AZ392">
        <v>1</v>
      </c>
      <c r="BA392">
        <v>34.51</v>
      </c>
      <c r="BB392">
        <v>10.83</v>
      </c>
      <c r="BC392">
        <v>9.42</v>
      </c>
      <c r="BD392" t="s">
        <v>3</v>
      </c>
      <c r="BE392" t="s">
        <v>3</v>
      </c>
      <c r="BF392" t="s">
        <v>3</v>
      </c>
      <c r="BG392" t="s">
        <v>3</v>
      </c>
      <c r="BH392">
        <v>0</v>
      </c>
      <c r="BI392">
        <v>1</v>
      </c>
      <c r="BJ392" t="s">
        <v>441</v>
      </c>
      <c r="BM392">
        <v>161</v>
      </c>
      <c r="BN392">
        <v>0</v>
      </c>
      <c r="BO392" t="s">
        <v>438</v>
      </c>
      <c r="BP392">
        <v>1</v>
      </c>
      <c r="BQ392">
        <v>30</v>
      </c>
      <c r="BR392">
        <v>0</v>
      </c>
      <c r="BS392">
        <v>34.51</v>
      </c>
      <c r="BT392">
        <v>1</v>
      </c>
      <c r="BU392">
        <v>1</v>
      </c>
      <c r="BV392">
        <v>1</v>
      </c>
      <c r="BW392">
        <v>1</v>
      </c>
      <c r="BX392">
        <v>1</v>
      </c>
      <c r="BY392" t="s">
        <v>3</v>
      </c>
      <c r="BZ392">
        <v>109</v>
      </c>
      <c r="CA392">
        <v>41</v>
      </c>
      <c r="CB392" t="s">
        <v>3</v>
      </c>
      <c r="CE392">
        <v>30</v>
      </c>
      <c r="CF392">
        <v>0</v>
      </c>
      <c r="CG392">
        <v>0</v>
      </c>
      <c r="CM392">
        <v>0</v>
      </c>
      <c r="CN392" t="s">
        <v>708</v>
      </c>
      <c r="CO392">
        <v>0</v>
      </c>
      <c r="CP392">
        <f t="shared" si="323"/>
        <v>0</v>
      </c>
      <c r="CQ392">
        <f t="shared" si="324"/>
        <v>226.27</v>
      </c>
      <c r="CR392">
        <f>(ROUND((ROUND((((ET392*1.05))*AV392*1),2)*BB392),2)+ROUND((ROUND(((AE392-((EU392*1.05)))*AV392*1),2)*BS392),2))</f>
        <v>1976.26</v>
      </c>
      <c r="CS392">
        <f t="shared" si="326"/>
        <v>488.32</v>
      </c>
      <c r="CT392">
        <f t="shared" si="327"/>
        <v>18592.259999999998</v>
      </c>
      <c r="CU392">
        <f t="shared" si="328"/>
        <v>0</v>
      </c>
      <c r="CV392">
        <f t="shared" si="329"/>
        <v>50.350229999999996</v>
      </c>
      <c r="CW392">
        <f t="shared" si="330"/>
        <v>0</v>
      </c>
      <c r="CX392">
        <f t="shared" si="331"/>
        <v>0</v>
      </c>
      <c r="CY392">
        <f>S392*(BZ392/100)</f>
        <v>0</v>
      </c>
      <c r="CZ392">
        <f>S392*(CA392/100)</f>
        <v>0</v>
      </c>
      <c r="DB392">
        <v>144</v>
      </c>
      <c r="DC392" t="s">
        <v>3</v>
      </c>
      <c r="DD392" t="s">
        <v>3</v>
      </c>
      <c r="DE392" t="s">
        <v>22</v>
      </c>
      <c r="DF392" t="s">
        <v>22</v>
      </c>
      <c r="DG392" t="s">
        <v>22</v>
      </c>
      <c r="DH392" t="s">
        <v>3</v>
      </c>
      <c r="DI392" t="s">
        <v>22</v>
      </c>
      <c r="DJ392" t="s">
        <v>22</v>
      </c>
      <c r="DK392" t="s">
        <v>3</v>
      </c>
      <c r="DL392" t="s">
        <v>3</v>
      </c>
      <c r="DM392" t="s">
        <v>3</v>
      </c>
      <c r="DN392">
        <v>134</v>
      </c>
      <c r="DO392">
        <v>83</v>
      </c>
      <c r="DP392">
        <v>1.0469999999999999</v>
      </c>
      <c r="DQ392">
        <v>1.006</v>
      </c>
      <c r="DU392">
        <v>1013</v>
      </c>
      <c r="DV392" t="s">
        <v>440</v>
      </c>
      <c r="DW392" t="s">
        <v>440</v>
      </c>
      <c r="DX392">
        <v>1</v>
      </c>
      <c r="DZ392" t="s">
        <v>3</v>
      </c>
      <c r="EA392" t="s">
        <v>3</v>
      </c>
      <c r="EB392" t="s">
        <v>3</v>
      </c>
      <c r="EC392" t="s">
        <v>3</v>
      </c>
      <c r="EE392">
        <v>51696200</v>
      </c>
      <c r="EF392">
        <v>30</v>
      </c>
      <c r="EG392" t="s">
        <v>23</v>
      </c>
      <c r="EH392">
        <v>0</v>
      </c>
      <c r="EI392" t="s">
        <v>3</v>
      </c>
      <c r="EJ392">
        <v>1</v>
      </c>
      <c r="EK392">
        <v>161</v>
      </c>
      <c r="EL392" t="s">
        <v>442</v>
      </c>
      <c r="EM392" t="s">
        <v>443</v>
      </c>
      <c r="EO392" t="s">
        <v>26</v>
      </c>
      <c r="EQ392">
        <v>131072</v>
      </c>
      <c r="ER392">
        <v>679.93</v>
      </c>
      <c r="ES392">
        <v>23.88</v>
      </c>
      <c r="ET392">
        <v>165.99</v>
      </c>
      <c r="EU392">
        <v>12.87</v>
      </c>
      <c r="EV392">
        <v>490.06</v>
      </c>
      <c r="EW392">
        <v>45.8</v>
      </c>
      <c r="EX392">
        <v>0</v>
      </c>
      <c r="EY392">
        <v>0</v>
      </c>
      <c r="FQ392">
        <v>0</v>
      </c>
      <c r="FR392">
        <v>0</v>
      </c>
      <c r="FS392">
        <v>0</v>
      </c>
      <c r="FX392">
        <v>134</v>
      </c>
      <c r="FY392">
        <v>83</v>
      </c>
      <c r="GA392" t="s">
        <v>3</v>
      </c>
      <c r="GD392">
        <v>0</v>
      </c>
      <c r="GF392">
        <v>1649813325</v>
      </c>
      <c r="GG392">
        <v>2</v>
      </c>
      <c r="GH392">
        <v>1</v>
      </c>
      <c r="GI392">
        <v>2</v>
      </c>
      <c r="GJ392">
        <v>0</v>
      </c>
      <c r="GK392">
        <f>ROUND(R392*(S12)/100,2)</f>
        <v>0</v>
      </c>
      <c r="GL392">
        <f t="shared" si="332"/>
        <v>0</v>
      </c>
      <c r="GM392">
        <f t="shared" si="333"/>
        <v>0</v>
      </c>
      <c r="GN392">
        <f t="shared" si="334"/>
        <v>0</v>
      </c>
      <c r="GO392">
        <f t="shared" si="335"/>
        <v>0</v>
      </c>
      <c r="GP392">
        <f t="shared" si="336"/>
        <v>0</v>
      </c>
      <c r="GR392">
        <v>0</v>
      </c>
      <c r="GS392">
        <v>3</v>
      </c>
      <c r="GT392">
        <v>0</v>
      </c>
      <c r="GU392" t="s">
        <v>3</v>
      </c>
      <c r="GV392">
        <f t="shared" si="337"/>
        <v>0</v>
      </c>
      <c r="GW392">
        <v>1</v>
      </c>
      <c r="GX392">
        <f t="shared" si="338"/>
        <v>0</v>
      </c>
      <c r="HA392">
        <v>0</v>
      </c>
      <c r="HB392">
        <v>0</v>
      </c>
      <c r="HC392">
        <f t="shared" si="339"/>
        <v>0</v>
      </c>
      <c r="HE392" t="s">
        <v>3</v>
      </c>
      <c r="HF392" t="s">
        <v>3</v>
      </c>
      <c r="HM392" t="s">
        <v>3</v>
      </c>
      <c r="HN392" t="s">
        <v>3</v>
      </c>
      <c r="HO392" t="s">
        <v>3</v>
      </c>
      <c r="HP392" t="s">
        <v>3</v>
      </c>
      <c r="HQ392" t="s">
        <v>3</v>
      </c>
      <c r="HS392">
        <v>0</v>
      </c>
      <c r="IK392">
        <v>0</v>
      </c>
    </row>
    <row r="394" spans="1:255" x14ac:dyDescent="0.2">
      <c r="A394" s="3">
        <v>51</v>
      </c>
      <c r="B394" s="3">
        <f>B363</f>
        <v>1</v>
      </c>
      <c r="C394" s="3">
        <f>A363</f>
        <v>5</v>
      </c>
      <c r="D394" s="3">
        <f>ROW(A363)</f>
        <v>363</v>
      </c>
      <c r="E394" s="3"/>
      <c r="F394" s="3" t="str">
        <f>IF(F363&lt;&gt;"",F363,"")</f>
        <v>Новый подраздел</v>
      </c>
      <c r="G394" s="3" t="str">
        <f>IF(G363&lt;&gt;"",G363,"")</f>
        <v>Тротуарная плитка</v>
      </c>
      <c r="H394" s="3">
        <v>0</v>
      </c>
      <c r="I394" s="3"/>
      <c r="J394" s="3"/>
      <c r="K394" s="3"/>
      <c r="L394" s="3"/>
      <c r="M394" s="3"/>
      <c r="N394" s="3"/>
      <c r="O394" s="3">
        <f t="shared" ref="O394:T394" si="340">ROUND(AB394,2)</f>
        <v>0</v>
      </c>
      <c r="P394" s="3">
        <f t="shared" si="340"/>
        <v>0</v>
      </c>
      <c r="Q394" s="3">
        <f t="shared" si="340"/>
        <v>0</v>
      </c>
      <c r="R394" s="3">
        <f t="shared" si="340"/>
        <v>0</v>
      </c>
      <c r="S394" s="3">
        <f t="shared" si="340"/>
        <v>0</v>
      </c>
      <c r="T394" s="3">
        <f t="shared" si="340"/>
        <v>0</v>
      </c>
      <c r="U394" s="3">
        <f>AH394</f>
        <v>0</v>
      </c>
      <c r="V394" s="3">
        <f>AI394</f>
        <v>0</v>
      </c>
      <c r="W394" s="3">
        <f>ROUND(AJ394,2)</f>
        <v>0</v>
      </c>
      <c r="X394" s="3">
        <f>ROUND(AK394,2)</f>
        <v>0</v>
      </c>
      <c r="Y394" s="3">
        <f>ROUND(AL394,2)</f>
        <v>0</v>
      </c>
      <c r="Z394" s="3"/>
      <c r="AA394" s="3"/>
      <c r="AB394" s="3">
        <f>ROUND(SUMIF(AA367:AA392,"=56622490",O367:O392),2)</f>
        <v>0</v>
      </c>
      <c r="AC394" s="3">
        <f>ROUND(SUMIF(AA367:AA392,"=56622490",P367:P392),2)</f>
        <v>0</v>
      </c>
      <c r="AD394" s="3">
        <f>ROUND(SUMIF(AA367:AA392,"=56622490",Q367:Q392),2)</f>
        <v>0</v>
      </c>
      <c r="AE394" s="3">
        <f>ROUND(SUMIF(AA367:AA392,"=56622490",R367:R392),2)</f>
        <v>0</v>
      </c>
      <c r="AF394" s="3">
        <f>ROUND(SUMIF(AA367:AA392,"=56622490",S367:S392),2)</f>
        <v>0</v>
      </c>
      <c r="AG394" s="3">
        <f>ROUND(SUMIF(AA367:AA392,"=56622490",T367:T392),2)</f>
        <v>0</v>
      </c>
      <c r="AH394" s="3">
        <f>SUMIF(AA367:AA392,"=56622490",U367:U392)</f>
        <v>0</v>
      </c>
      <c r="AI394" s="3">
        <f>SUMIF(AA367:AA392,"=56622490",V367:V392)</f>
        <v>0</v>
      </c>
      <c r="AJ394" s="3">
        <f>ROUND(SUMIF(AA367:AA392,"=56622490",W367:W392),2)</f>
        <v>0</v>
      </c>
      <c r="AK394" s="3">
        <f>ROUND(SUMIF(AA367:AA392,"=56622490",X367:X392),2)</f>
        <v>0</v>
      </c>
      <c r="AL394" s="3">
        <f>ROUND(SUMIF(AA367:AA392,"=56622490",Y367:Y392),2)</f>
        <v>0</v>
      </c>
      <c r="AM394" s="3"/>
      <c r="AN394" s="3"/>
      <c r="AO394" s="3">
        <f t="shared" ref="AO394:BD394" si="341">ROUND(BX394,2)</f>
        <v>0</v>
      </c>
      <c r="AP394" s="3">
        <f t="shared" si="341"/>
        <v>0</v>
      </c>
      <c r="AQ394" s="3">
        <f t="shared" si="341"/>
        <v>0</v>
      </c>
      <c r="AR394" s="3">
        <f t="shared" si="341"/>
        <v>0</v>
      </c>
      <c r="AS394" s="3">
        <f t="shared" si="341"/>
        <v>0</v>
      </c>
      <c r="AT394" s="3">
        <f t="shared" si="341"/>
        <v>0</v>
      </c>
      <c r="AU394" s="3">
        <f t="shared" si="341"/>
        <v>0</v>
      </c>
      <c r="AV394" s="3">
        <f t="shared" si="341"/>
        <v>0</v>
      </c>
      <c r="AW394" s="3">
        <f t="shared" si="341"/>
        <v>0</v>
      </c>
      <c r="AX394" s="3">
        <f t="shared" si="341"/>
        <v>0</v>
      </c>
      <c r="AY394" s="3">
        <f t="shared" si="341"/>
        <v>0</v>
      </c>
      <c r="AZ394" s="3">
        <f t="shared" si="341"/>
        <v>0</v>
      </c>
      <c r="BA394" s="3">
        <f t="shared" si="341"/>
        <v>0</v>
      </c>
      <c r="BB394" s="3">
        <f t="shared" si="341"/>
        <v>0</v>
      </c>
      <c r="BC394" s="3">
        <f t="shared" si="341"/>
        <v>0</v>
      </c>
      <c r="BD394" s="3">
        <f t="shared" si="341"/>
        <v>0</v>
      </c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>
        <f>ROUND(SUMIF(AA367:AA392,"=56622490",FQ367:FQ392),2)</f>
        <v>0</v>
      </c>
      <c r="BY394" s="3">
        <f>ROUND(SUMIF(AA367:AA392,"=56622490",FR367:FR392),2)</f>
        <v>0</v>
      </c>
      <c r="BZ394" s="3">
        <f>ROUND(SUMIF(AA367:AA392,"=56622490",GL367:GL392),2)</f>
        <v>0</v>
      </c>
      <c r="CA394" s="3">
        <f>ROUND(SUMIF(AA367:AA392,"=56622490",GM367:GM392),2)</f>
        <v>0</v>
      </c>
      <c r="CB394" s="3">
        <f>ROUND(SUMIF(AA367:AA392,"=56622490",GN367:GN392),2)</f>
        <v>0</v>
      </c>
      <c r="CC394" s="3">
        <f>ROUND(SUMIF(AA367:AA392,"=56622490",GO367:GO392),2)</f>
        <v>0</v>
      </c>
      <c r="CD394" s="3">
        <f>ROUND(SUMIF(AA367:AA392,"=56622490",GP367:GP392),2)</f>
        <v>0</v>
      </c>
      <c r="CE394" s="3">
        <f>AC394-BX394</f>
        <v>0</v>
      </c>
      <c r="CF394" s="3">
        <f>AC394-BY394</f>
        <v>0</v>
      </c>
      <c r="CG394" s="3">
        <f>BX394-BZ394</f>
        <v>0</v>
      </c>
      <c r="CH394" s="3">
        <f>AC394-BX394-BY394+BZ394</f>
        <v>0</v>
      </c>
      <c r="CI394" s="3">
        <f>BY394-BZ394</f>
        <v>0</v>
      </c>
      <c r="CJ394" s="3">
        <f>ROUND(SUMIF(AA367:AA392,"=56622490",GX367:GX392),2)</f>
        <v>0</v>
      </c>
      <c r="CK394" s="3">
        <f>ROUND(SUMIF(AA367:AA392,"=56622490",GY367:GY392),2)</f>
        <v>0</v>
      </c>
      <c r="CL394" s="3">
        <f>ROUND(SUMIF(AA367:AA392,"=56622490",GZ367:GZ392),2)</f>
        <v>0</v>
      </c>
      <c r="CM394" s="3">
        <f>ROUND(SUMIF(AA367:AA392,"=56622490",HD367:HD392),2)</f>
        <v>0</v>
      </c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4">
        <f t="shared" ref="DG394:DL394" si="342">ROUND(DT394,2)</f>
        <v>0</v>
      </c>
      <c r="DH394" s="4">
        <f t="shared" si="342"/>
        <v>0</v>
      </c>
      <c r="DI394" s="4">
        <f t="shared" si="342"/>
        <v>0</v>
      </c>
      <c r="DJ394" s="4">
        <f t="shared" si="342"/>
        <v>0</v>
      </c>
      <c r="DK394" s="4">
        <f t="shared" si="342"/>
        <v>0</v>
      </c>
      <c r="DL394" s="4">
        <f t="shared" si="342"/>
        <v>0</v>
      </c>
      <c r="DM394" s="4">
        <f>DZ394</f>
        <v>0</v>
      </c>
      <c r="DN394" s="4">
        <f>EA394</f>
        <v>0</v>
      </c>
      <c r="DO394" s="4">
        <f>ROUND(EB394,2)</f>
        <v>0</v>
      </c>
      <c r="DP394" s="4">
        <f>ROUND(EC394,2)</f>
        <v>0</v>
      </c>
      <c r="DQ394" s="4">
        <f>ROUND(ED394,2)</f>
        <v>0</v>
      </c>
      <c r="DR394" s="4"/>
      <c r="DS394" s="4"/>
      <c r="DT394" s="4">
        <f>ROUND(SUMIF(AA367:AA392,"=56610029",O367:O392),2)</f>
        <v>0</v>
      </c>
      <c r="DU394" s="4">
        <f>ROUND(SUMIF(AA367:AA392,"=56610029",P367:P392),2)</f>
        <v>0</v>
      </c>
      <c r="DV394" s="4">
        <f>ROUND(SUMIF(AA367:AA392,"=56610029",Q367:Q392),2)</f>
        <v>0</v>
      </c>
      <c r="DW394" s="4">
        <f>ROUND(SUMIF(AA367:AA392,"=56610029",R367:R392),2)</f>
        <v>0</v>
      </c>
      <c r="DX394" s="4">
        <f>ROUND(SUMIF(AA367:AA392,"=56610029",S367:S392),2)</f>
        <v>0</v>
      </c>
      <c r="DY394" s="4">
        <f>ROUND(SUMIF(AA367:AA392,"=56610029",T367:T392),2)</f>
        <v>0</v>
      </c>
      <c r="DZ394" s="4">
        <f>SUMIF(AA367:AA392,"=56610029",U367:U392)</f>
        <v>0</v>
      </c>
      <c r="EA394" s="4">
        <f>SUMIF(AA367:AA392,"=56610029",V367:V392)</f>
        <v>0</v>
      </c>
      <c r="EB394" s="4">
        <f>ROUND(SUMIF(AA367:AA392,"=56610029",W367:W392),2)</f>
        <v>0</v>
      </c>
      <c r="EC394" s="4">
        <f>ROUND(SUMIF(AA367:AA392,"=56610029",X367:X392),2)</f>
        <v>0</v>
      </c>
      <c r="ED394" s="4">
        <f>ROUND(SUMIF(AA367:AA392,"=56610029",Y367:Y392),2)</f>
        <v>0</v>
      </c>
      <c r="EE394" s="4"/>
      <c r="EF394" s="4"/>
      <c r="EG394" s="4">
        <f t="shared" ref="EG394:EV394" si="343">ROUND(FP394,2)</f>
        <v>0</v>
      </c>
      <c r="EH394" s="4">
        <f t="shared" si="343"/>
        <v>0</v>
      </c>
      <c r="EI394" s="4">
        <f t="shared" si="343"/>
        <v>0</v>
      </c>
      <c r="EJ394" s="4">
        <f t="shared" si="343"/>
        <v>0</v>
      </c>
      <c r="EK394" s="4">
        <f t="shared" si="343"/>
        <v>0</v>
      </c>
      <c r="EL394" s="4">
        <f t="shared" si="343"/>
        <v>0</v>
      </c>
      <c r="EM394" s="4">
        <f t="shared" si="343"/>
        <v>0</v>
      </c>
      <c r="EN394" s="4">
        <f t="shared" si="343"/>
        <v>0</v>
      </c>
      <c r="EO394" s="4">
        <f t="shared" si="343"/>
        <v>0</v>
      </c>
      <c r="EP394" s="4">
        <f t="shared" si="343"/>
        <v>0</v>
      </c>
      <c r="EQ394" s="4">
        <f t="shared" si="343"/>
        <v>0</v>
      </c>
      <c r="ER394" s="4">
        <f t="shared" si="343"/>
        <v>0</v>
      </c>
      <c r="ES394" s="4">
        <f t="shared" si="343"/>
        <v>0</v>
      </c>
      <c r="ET394" s="4">
        <f t="shared" si="343"/>
        <v>0</v>
      </c>
      <c r="EU394" s="4">
        <f t="shared" si="343"/>
        <v>0</v>
      </c>
      <c r="EV394" s="4">
        <f t="shared" si="343"/>
        <v>0</v>
      </c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>
        <f>ROUND(SUMIF(AA367:AA392,"=56610029",FQ367:FQ392),2)</f>
        <v>0</v>
      </c>
      <c r="FQ394" s="4">
        <f>ROUND(SUMIF(AA367:AA392,"=56610029",FR367:FR392),2)</f>
        <v>0</v>
      </c>
      <c r="FR394" s="4">
        <f>ROUND(SUMIF(AA367:AA392,"=56610029",GL367:GL392),2)</f>
        <v>0</v>
      </c>
      <c r="FS394" s="4">
        <f>ROUND(SUMIF(AA367:AA392,"=56610029",GM367:GM392),2)</f>
        <v>0</v>
      </c>
      <c r="FT394" s="4">
        <f>ROUND(SUMIF(AA367:AA392,"=56610029",GN367:GN392),2)</f>
        <v>0</v>
      </c>
      <c r="FU394" s="4">
        <f>ROUND(SUMIF(AA367:AA392,"=56610029",GO367:GO392),2)</f>
        <v>0</v>
      </c>
      <c r="FV394" s="4">
        <f>ROUND(SUMIF(AA367:AA392,"=56610029",GP367:GP392),2)</f>
        <v>0</v>
      </c>
      <c r="FW394" s="4">
        <f>DU394-FP394</f>
        <v>0</v>
      </c>
      <c r="FX394" s="4">
        <f>DU394-FQ394</f>
        <v>0</v>
      </c>
      <c r="FY394" s="4">
        <f>FP394-FR394</f>
        <v>0</v>
      </c>
      <c r="FZ394" s="4">
        <f>DU394-FP394-FQ394+FR394</f>
        <v>0</v>
      </c>
      <c r="GA394" s="4">
        <f>FQ394-FR394</f>
        <v>0</v>
      </c>
      <c r="GB394" s="4">
        <f>ROUND(SUMIF(AA367:AA392,"=56610029",GX367:GX392),2)</f>
        <v>0</v>
      </c>
      <c r="GC394" s="4">
        <f>ROUND(SUMIF(AA367:AA392,"=56610029",GY367:GY392),2)</f>
        <v>0</v>
      </c>
      <c r="GD394" s="4">
        <f>ROUND(SUMIF(AA367:AA392,"=56610029",GZ367:GZ392),2)</f>
        <v>0</v>
      </c>
      <c r="GE394" s="4">
        <f>ROUND(SUMIF(AA367:AA392,"=56610029",HD367:HD392),2)</f>
        <v>0</v>
      </c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>
        <v>0</v>
      </c>
    </row>
    <row r="396" spans="1:255" x14ac:dyDescent="0.2">
      <c r="A396" s="5">
        <v>50</v>
      </c>
      <c r="B396" s="5">
        <v>0</v>
      </c>
      <c r="C396" s="5">
        <v>0</v>
      </c>
      <c r="D396" s="5">
        <v>1</v>
      </c>
      <c r="E396" s="5">
        <v>201</v>
      </c>
      <c r="F396" s="5">
        <f>ROUND(Source!O394,O396)</f>
        <v>0</v>
      </c>
      <c r="G396" s="5" t="s">
        <v>103</v>
      </c>
      <c r="H396" s="5" t="s">
        <v>104</v>
      </c>
      <c r="I396" s="5"/>
      <c r="J396" s="5"/>
      <c r="K396" s="5">
        <v>201</v>
      </c>
      <c r="L396" s="5">
        <v>1</v>
      </c>
      <c r="M396" s="5">
        <v>3</v>
      </c>
      <c r="N396" s="5" t="s">
        <v>3</v>
      </c>
      <c r="O396" s="5">
        <v>2</v>
      </c>
      <c r="P396" s="5">
        <f>ROUND(Source!DG394,O396)</f>
        <v>0</v>
      </c>
      <c r="Q396" s="5"/>
      <c r="R396" s="5"/>
      <c r="S396" s="5"/>
      <c r="T396" s="5"/>
      <c r="U396" s="5"/>
      <c r="V396" s="5"/>
      <c r="W396" s="5">
        <v>0</v>
      </c>
      <c r="X396" s="5">
        <v>1</v>
      </c>
      <c r="Y396" s="5">
        <v>0</v>
      </c>
      <c r="Z396" s="5">
        <v>0</v>
      </c>
      <c r="AA396" s="5">
        <v>1</v>
      </c>
      <c r="AB396" s="5">
        <v>0</v>
      </c>
    </row>
    <row r="397" spans="1:255" x14ac:dyDescent="0.2">
      <c r="A397" s="5">
        <v>50</v>
      </c>
      <c r="B397" s="5">
        <v>0</v>
      </c>
      <c r="C397" s="5">
        <v>0</v>
      </c>
      <c r="D397" s="5">
        <v>1</v>
      </c>
      <c r="E397" s="5">
        <v>202</v>
      </c>
      <c r="F397" s="5">
        <f>ROUND(Source!P394,O397)</f>
        <v>0</v>
      </c>
      <c r="G397" s="5" t="s">
        <v>105</v>
      </c>
      <c r="H397" s="5" t="s">
        <v>106</v>
      </c>
      <c r="I397" s="5"/>
      <c r="J397" s="5"/>
      <c r="K397" s="5">
        <v>202</v>
      </c>
      <c r="L397" s="5">
        <v>2</v>
      </c>
      <c r="M397" s="5">
        <v>3</v>
      </c>
      <c r="N397" s="5" t="s">
        <v>3</v>
      </c>
      <c r="O397" s="5">
        <v>2</v>
      </c>
      <c r="P397" s="5">
        <f>ROUND(Source!DH394,O397)</f>
        <v>0</v>
      </c>
      <c r="Q397" s="5"/>
      <c r="R397" s="5"/>
      <c r="S397" s="5"/>
      <c r="T397" s="5"/>
      <c r="U397" s="5"/>
      <c r="V397" s="5"/>
      <c r="W397" s="5">
        <v>0</v>
      </c>
      <c r="X397" s="5">
        <v>1</v>
      </c>
      <c r="Y397" s="5">
        <v>0</v>
      </c>
      <c r="Z397" s="5">
        <v>0</v>
      </c>
      <c r="AA397" s="5">
        <v>1</v>
      </c>
      <c r="AB397" s="5">
        <v>0</v>
      </c>
    </row>
    <row r="398" spans="1:255" x14ac:dyDescent="0.2">
      <c r="A398" s="5">
        <v>50</v>
      </c>
      <c r="B398" s="5">
        <v>0</v>
      </c>
      <c r="C398" s="5">
        <v>0</v>
      </c>
      <c r="D398" s="5">
        <v>1</v>
      </c>
      <c r="E398" s="5">
        <v>222</v>
      </c>
      <c r="F398" s="5">
        <f>ROUND(Source!AO394,O398)</f>
        <v>0</v>
      </c>
      <c r="G398" s="5" t="s">
        <v>107</v>
      </c>
      <c r="H398" s="5" t="s">
        <v>108</v>
      </c>
      <c r="I398" s="5"/>
      <c r="J398" s="5"/>
      <c r="K398" s="5">
        <v>222</v>
      </c>
      <c r="L398" s="5">
        <v>3</v>
      </c>
      <c r="M398" s="5">
        <v>3</v>
      </c>
      <c r="N398" s="5" t="s">
        <v>3</v>
      </c>
      <c r="O398" s="5">
        <v>2</v>
      </c>
      <c r="P398" s="5">
        <f>ROUND(Source!EG394,O398)</f>
        <v>0</v>
      </c>
      <c r="Q398" s="5"/>
      <c r="R398" s="5"/>
      <c r="S398" s="5"/>
      <c r="T398" s="5"/>
      <c r="U398" s="5"/>
      <c r="V398" s="5"/>
      <c r="W398" s="5">
        <v>0</v>
      </c>
      <c r="X398" s="5">
        <v>1</v>
      </c>
      <c r="Y398" s="5">
        <v>0</v>
      </c>
      <c r="Z398" s="5">
        <v>0</v>
      </c>
      <c r="AA398" s="5">
        <v>1</v>
      </c>
      <c r="AB398" s="5">
        <v>0</v>
      </c>
    </row>
    <row r="399" spans="1:255" x14ac:dyDescent="0.2">
      <c r="A399" s="5">
        <v>50</v>
      </c>
      <c r="B399" s="5">
        <v>0</v>
      </c>
      <c r="C399" s="5">
        <v>0</v>
      </c>
      <c r="D399" s="5">
        <v>1</v>
      </c>
      <c r="E399" s="5">
        <v>225</v>
      </c>
      <c r="F399" s="5">
        <f>ROUND(Source!AV394,O399)</f>
        <v>0</v>
      </c>
      <c r="G399" s="5" t="s">
        <v>109</v>
      </c>
      <c r="H399" s="5" t="s">
        <v>110</v>
      </c>
      <c r="I399" s="5"/>
      <c r="J399" s="5"/>
      <c r="K399" s="5">
        <v>225</v>
      </c>
      <c r="L399" s="5">
        <v>4</v>
      </c>
      <c r="M399" s="5">
        <v>3</v>
      </c>
      <c r="N399" s="5" t="s">
        <v>3</v>
      </c>
      <c r="O399" s="5">
        <v>2</v>
      </c>
      <c r="P399" s="5">
        <f>ROUND(Source!EN394,O399)</f>
        <v>0</v>
      </c>
      <c r="Q399" s="5"/>
      <c r="R399" s="5"/>
      <c r="S399" s="5"/>
      <c r="T399" s="5"/>
      <c r="U399" s="5"/>
      <c r="V399" s="5"/>
      <c r="W399" s="5">
        <v>0</v>
      </c>
      <c r="X399" s="5">
        <v>1</v>
      </c>
      <c r="Y399" s="5">
        <v>0</v>
      </c>
      <c r="Z399" s="5">
        <v>0</v>
      </c>
      <c r="AA399" s="5">
        <v>1</v>
      </c>
      <c r="AB399" s="5">
        <v>0</v>
      </c>
    </row>
    <row r="400" spans="1:255" x14ac:dyDescent="0.2">
      <c r="A400" s="5">
        <v>50</v>
      </c>
      <c r="B400" s="5">
        <v>0</v>
      </c>
      <c r="C400" s="5">
        <v>0</v>
      </c>
      <c r="D400" s="5">
        <v>1</v>
      </c>
      <c r="E400" s="5">
        <v>226</v>
      </c>
      <c r="F400" s="5">
        <f>ROUND(Source!AW394,O400)</f>
        <v>0</v>
      </c>
      <c r="G400" s="5" t="s">
        <v>111</v>
      </c>
      <c r="H400" s="5" t="s">
        <v>112</v>
      </c>
      <c r="I400" s="5"/>
      <c r="J400" s="5"/>
      <c r="K400" s="5">
        <v>226</v>
      </c>
      <c r="L400" s="5">
        <v>5</v>
      </c>
      <c r="M400" s="5">
        <v>3</v>
      </c>
      <c r="N400" s="5" t="s">
        <v>3</v>
      </c>
      <c r="O400" s="5">
        <v>2</v>
      </c>
      <c r="P400" s="5">
        <f>ROUND(Source!EO394,O400)</f>
        <v>0</v>
      </c>
      <c r="Q400" s="5"/>
      <c r="R400" s="5"/>
      <c r="S400" s="5"/>
      <c r="T400" s="5"/>
      <c r="U400" s="5"/>
      <c r="V400" s="5"/>
      <c r="W400" s="5">
        <v>0</v>
      </c>
      <c r="X400" s="5">
        <v>1</v>
      </c>
      <c r="Y400" s="5">
        <v>0</v>
      </c>
      <c r="Z400" s="5">
        <v>0</v>
      </c>
      <c r="AA400" s="5">
        <v>1</v>
      </c>
      <c r="AB400" s="5">
        <v>0</v>
      </c>
    </row>
    <row r="401" spans="1:28" x14ac:dyDescent="0.2">
      <c r="A401" s="5">
        <v>50</v>
      </c>
      <c r="B401" s="5">
        <v>0</v>
      </c>
      <c r="C401" s="5">
        <v>0</v>
      </c>
      <c r="D401" s="5">
        <v>1</v>
      </c>
      <c r="E401" s="5">
        <v>227</v>
      </c>
      <c r="F401" s="5">
        <f>ROUND(Source!AX394,O401)</f>
        <v>0</v>
      </c>
      <c r="G401" s="5" t="s">
        <v>113</v>
      </c>
      <c r="H401" s="5" t="s">
        <v>114</v>
      </c>
      <c r="I401" s="5"/>
      <c r="J401" s="5"/>
      <c r="K401" s="5">
        <v>227</v>
      </c>
      <c r="L401" s="5">
        <v>6</v>
      </c>
      <c r="M401" s="5">
        <v>3</v>
      </c>
      <c r="N401" s="5" t="s">
        <v>3</v>
      </c>
      <c r="O401" s="5">
        <v>2</v>
      </c>
      <c r="P401" s="5">
        <f>ROUND(Source!EP394,O401)</f>
        <v>0</v>
      </c>
      <c r="Q401" s="5"/>
      <c r="R401" s="5"/>
      <c r="S401" s="5"/>
      <c r="T401" s="5"/>
      <c r="U401" s="5"/>
      <c r="V401" s="5"/>
      <c r="W401" s="5">
        <v>0</v>
      </c>
      <c r="X401" s="5">
        <v>1</v>
      </c>
      <c r="Y401" s="5">
        <v>0</v>
      </c>
      <c r="Z401" s="5">
        <v>0</v>
      </c>
      <c r="AA401" s="5">
        <v>1</v>
      </c>
      <c r="AB401" s="5">
        <v>0</v>
      </c>
    </row>
    <row r="402" spans="1:28" x14ac:dyDescent="0.2">
      <c r="A402" s="5">
        <v>50</v>
      </c>
      <c r="B402" s="5">
        <v>0</v>
      </c>
      <c r="C402" s="5">
        <v>0</v>
      </c>
      <c r="D402" s="5">
        <v>1</v>
      </c>
      <c r="E402" s="5">
        <v>228</v>
      </c>
      <c r="F402" s="5">
        <f>ROUND(Source!AY394,O402)</f>
        <v>0</v>
      </c>
      <c r="G402" s="5" t="s">
        <v>115</v>
      </c>
      <c r="H402" s="5" t="s">
        <v>116</v>
      </c>
      <c r="I402" s="5"/>
      <c r="J402" s="5"/>
      <c r="K402" s="5">
        <v>228</v>
      </c>
      <c r="L402" s="5">
        <v>7</v>
      </c>
      <c r="M402" s="5">
        <v>3</v>
      </c>
      <c r="N402" s="5" t="s">
        <v>3</v>
      </c>
      <c r="O402" s="5">
        <v>2</v>
      </c>
      <c r="P402" s="5">
        <f>ROUND(Source!EQ394,O402)</f>
        <v>0</v>
      </c>
      <c r="Q402" s="5"/>
      <c r="R402" s="5"/>
      <c r="S402" s="5"/>
      <c r="T402" s="5"/>
      <c r="U402" s="5"/>
      <c r="V402" s="5"/>
      <c r="W402" s="5">
        <v>0</v>
      </c>
      <c r="X402" s="5">
        <v>1</v>
      </c>
      <c r="Y402" s="5">
        <v>0</v>
      </c>
      <c r="Z402" s="5">
        <v>0</v>
      </c>
      <c r="AA402" s="5">
        <v>1</v>
      </c>
      <c r="AB402" s="5">
        <v>0</v>
      </c>
    </row>
    <row r="403" spans="1:28" x14ac:dyDescent="0.2">
      <c r="A403" s="5">
        <v>50</v>
      </c>
      <c r="B403" s="5">
        <v>0</v>
      </c>
      <c r="C403" s="5">
        <v>0</v>
      </c>
      <c r="D403" s="5">
        <v>1</v>
      </c>
      <c r="E403" s="5">
        <v>216</v>
      </c>
      <c r="F403" s="5">
        <f>ROUND(Source!AP394,O403)</f>
        <v>0</v>
      </c>
      <c r="G403" s="5" t="s">
        <v>117</v>
      </c>
      <c r="H403" s="5" t="s">
        <v>118</v>
      </c>
      <c r="I403" s="5"/>
      <c r="J403" s="5"/>
      <c r="K403" s="5">
        <v>216</v>
      </c>
      <c r="L403" s="5">
        <v>8</v>
      </c>
      <c r="M403" s="5">
        <v>3</v>
      </c>
      <c r="N403" s="5" t="s">
        <v>3</v>
      </c>
      <c r="O403" s="5">
        <v>2</v>
      </c>
      <c r="P403" s="5">
        <f>ROUND(Source!EH394,O403)</f>
        <v>0</v>
      </c>
      <c r="Q403" s="5"/>
      <c r="R403" s="5"/>
      <c r="S403" s="5"/>
      <c r="T403" s="5"/>
      <c r="U403" s="5"/>
      <c r="V403" s="5"/>
      <c r="W403" s="5">
        <v>0</v>
      </c>
      <c r="X403" s="5">
        <v>1</v>
      </c>
      <c r="Y403" s="5">
        <v>0</v>
      </c>
      <c r="Z403" s="5">
        <v>0</v>
      </c>
      <c r="AA403" s="5">
        <v>1</v>
      </c>
      <c r="AB403" s="5">
        <v>0</v>
      </c>
    </row>
    <row r="404" spans="1:28" x14ac:dyDescent="0.2">
      <c r="A404" s="5">
        <v>50</v>
      </c>
      <c r="B404" s="5">
        <v>0</v>
      </c>
      <c r="C404" s="5">
        <v>0</v>
      </c>
      <c r="D404" s="5">
        <v>1</v>
      </c>
      <c r="E404" s="5">
        <v>223</v>
      </c>
      <c r="F404" s="5">
        <f>ROUND(Source!AQ394,O404)</f>
        <v>0</v>
      </c>
      <c r="G404" s="5" t="s">
        <v>119</v>
      </c>
      <c r="H404" s="5" t="s">
        <v>120</v>
      </c>
      <c r="I404" s="5"/>
      <c r="J404" s="5"/>
      <c r="K404" s="5">
        <v>223</v>
      </c>
      <c r="L404" s="5">
        <v>9</v>
      </c>
      <c r="M404" s="5">
        <v>3</v>
      </c>
      <c r="N404" s="5" t="s">
        <v>3</v>
      </c>
      <c r="O404" s="5">
        <v>2</v>
      </c>
      <c r="P404" s="5">
        <f>ROUND(Source!EI394,O404)</f>
        <v>0</v>
      </c>
      <c r="Q404" s="5"/>
      <c r="R404" s="5"/>
      <c r="S404" s="5"/>
      <c r="T404" s="5"/>
      <c r="U404" s="5"/>
      <c r="V404" s="5"/>
      <c r="W404" s="5">
        <v>0</v>
      </c>
      <c r="X404" s="5">
        <v>1</v>
      </c>
      <c r="Y404" s="5">
        <v>0</v>
      </c>
      <c r="Z404" s="5">
        <v>0</v>
      </c>
      <c r="AA404" s="5">
        <v>1</v>
      </c>
      <c r="AB404" s="5">
        <v>0</v>
      </c>
    </row>
    <row r="405" spans="1:28" x14ac:dyDescent="0.2">
      <c r="A405" s="5">
        <v>50</v>
      </c>
      <c r="B405" s="5">
        <v>0</v>
      </c>
      <c r="C405" s="5">
        <v>0</v>
      </c>
      <c r="D405" s="5">
        <v>1</v>
      </c>
      <c r="E405" s="5">
        <v>229</v>
      </c>
      <c r="F405" s="5">
        <f>ROUND(Source!AZ394,O405)</f>
        <v>0</v>
      </c>
      <c r="G405" s="5" t="s">
        <v>121</v>
      </c>
      <c r="H405" s="5" t="s">
        <v>122</v>
      </c>
      <c r="I405" s="5"/>
      <c r="J405" s="5"/>
      <c r="K405" s="5">
        <v>229</v>
      </c>
      <c r="L405" s="5">
        <v>10</v>
      </c>
      <c r="M405" s="5">
        <v>3</v>
      </c>
      <c r="N405" s="5" t="s">
        <v>3</v>
      </c>
      <c r="O405" s="5">
        <v>2</v>
      </c>
      <c r="P405" s="5">
        <f>ROUND(Source!ER394,O405)</f>
        <v>0</v>
      </c>
      <c r="Q405" s="5"/>
      <c r="R405" s="5"/>
      <c r="S405" s="5"/>
      <c r="T405" s="5"/>
      <c r="U405" s="5"/>
      <c r="V405" s="5"/>
      <c r="W405" s="5">
        <v>0</v>
      </c>
      <c r="X405" s="5">
        <v>1</v>
      </c>
      <c r="Y405" s="5">
        <v>0</v>
      </c>
      <c r="Z405" s="5">
        <v>0</v>
      </c>
      <c r="AA405" s="5">
        <v>1</v>
      </c>
      <c r="AB405" s="5">
        <v>0</v>
      </c>
    </row>
    <row r="406" spans="1:28" x14ac:dyDescent="0.2">
      <c r="A406" s="5">
        <v>50</v>
      </c>
      <c r="B406" s="5">
        <v>0</v>
      </c>
      <c r="C406" s="5">
        <v>0</v>
      </c>
      <c r="D406" s="5">
        <v>1</v>
      </c>
      <c r="E406" s="5">
        <v>203</v>
      </c>
      <c r="F406" s="5">
        <f>ROUND(Source!Q394,O406)</f>
        <v>0</v>
      </c>
      <c r="G406" s="5" t="s">
        <v>123</v>
      </c>
      <c r="H406" s="5" t="s">
        <v>124</v>
      </c>
      <c r="I406" s="5"/>
      <c r="J406" s="5"/>
      <c r="K406" s="5">
        <v>203</v>
      </c>
      <c r="L406" s="5">
        <v>11</v>
      </c>
      <c r="M406" s="5">
        <v>3</v>
      </c>
      <c r="N406" s="5" t="s">
        <v>3</v>
      </c>
      <c r="O406" s="5">
        <v>2</v>
      </c>
      <c r="P406" s="5">
        <f>ROUND(Source!DI394,O406)</f>
        <v>0</v>
      </c>
      <c r="Q406" s="5"/>
      <c r="R406" s="5"/>
      <c r="S406" s="5"/>
      <c r="T406" s="5"/>
      <c r="U406" s="5"/>
      <c r="V406" s="5"/>
      <c r="W406" s="5">
        <v>0</v>
      </c>
      <c r="X406" s="5">
        <v>1</v>
      </c>
      <c r="Y406" s="5">
        <v>0</v>
      </c>
      <c r="Z406" s="5">
        <v>0</v>
      </c>
      <c r="AA406" s="5">
        <v>1</v>
      </c>
      <c r="AB406" s="5">
        <v>0</v>
      </c>
    </row>
    <row r="407" spans="1:28" x14ac:dyDescent="0.2">
      <c r="A407" s="5">
        <v>50</v>
      </c>
      <c r="B407" s="5">
        <v>0</v>
      </c>
      <c r="C407" s="5">
        <v>0</v>
      </c>
      <c r="D407" s="5">
        <v>1</v>
      </c>
      <c r="E407" s="5">
        <v>231</v>
      </c>
      <c r="F407" s="5">
        <f>ROUND(Source!BB394,O407)</f>
        <v>0</v>
      </c>
      <c r="G407" s="5" t="s">
        <v>125</v>
      </c>
      <c r="H407" s="5" t="s">
        <v>126</v>
      </c>
      <c r="I407" s="5"/>
      <c r="J407" s="5"/>
      <c r="K407" s="5">
        <v>231</v>
      </c>
      <c r="L407" s="5">
        <v>12</v>
      </c>
      <c r="M407" s="5">
        <v>3</v>
      </c>
      <c r="N407" s="5" t="s">
        <v>3</v>
      </c>
      <c r="O407" s="5">
        <v>2</v>
      </c>
      <c r="P407" s="5">
        <f>ROUND(Source!ET394,O407)</f>
        <v>0</v>
      </c>
      <c r="Q407" s="5"/>
      <c r="R407" s="5"/>
      <c r="S407" s="5"/>
      <c r="T407" s="5"/>
      <c r="U407" s="5"/>
      <c r="V407" s="5"/>
      <c r="W407" s="5">
        <v>0</v>
      </c>
      <c r="X407" s="5">
        <v>1</v>
      </c>
      <c r="Y407" s="5">
        <v>0</v>
      </c>
      <c r="Z407" s="5">
        <v>0</v>
      </c>
      <c r="AA407" s="5">
        <v>1</v>
      </c>
      <c r="AB407" s="5">
        <v>0</v>
      </c>
    </row>
    <row r="408" spans="1:28" x14ac:dyDescent="0.2">
      <c r="A408" s="5">
        <v>50</v>
      </c>
      <c r="B408" s="5">
        <v>0</v>
      </c>
      <c r="C408" s="5">
        <v>0</v>
      </c>
      <c r="D408" s="5">
        <v>1</v>
      </c>
      <c r="E408" s="5">
        <v>204</v>
      </c>
      <c r="F408" s="5">
        <f>ROUND(Source!R394,O408)</f>
        <v>0</v>
      </c>
      <c r="G408" s="5" t="s">
        <v>127</v>
      </c>
      <c r="H408" s="5" t="s">
        <v>128</v>
      </c>
      <c r="I408" s="5"/>
      <c r="J408" s="5"/>
      <c r="K408" s="5">
        <v>204</v>
      </c>
      <c r="L408" s="5">
        <v>13</v>
      </c>
      <c r="M408" s="5">
        <v>3</v>
      </c>
      <c r="N408" s="5" t="s">
        <v>3</v>
      </c>
      <c r="O408" s="5">
        <v>2</v>
      </c>
      <c r="P408" s="5">
        <f>ROUND(Source!DJ394,O408)</f>
        <v>0</v>
      </c>
      <c r="Q408" s="5"/>
      <c r="R408" s="5"/>
      <c r="S408" s="5"/>
      <c r="T408" s="5"/>
      <c r="U408" s="5"/>
      <c r="V408" s="5"/>
      <c r="W408" s="5">
        <v>0</v>
      </c>
      <c r="X408" s="5">
        <v>1</v>
      </c>
      <c r="Y408" s="5">
        <v>0</v>
      </c>
      <c r="Z408" s="5">
        <v>0</v>
      </c>
      <c r="AA408" s="5">
        <v>1</v>
      </c>
      <c r="AB408" s="5">
        <v>0</v>
      </c>
    </row>
    <row r="409" spans="1:28" x14ac:dyDescent="0.2">
      <c r="A409" s="5">
        <v>50</v>
      </c>
      <c r="B409" s="5">
        <v>0</v>
      </c>
      <c r="C409" s="5">
        <v>0</v>
      </c>
      <c r="D409" s="5">
        <v>1</v>
      </c>
      <c r="E409" s="5">
        <v>205</v>
      </c>
      <c r="F409" s="5">
        <f>ROUND(Source!S394,O409)</f>
        <v>0</v>
      </c>
      <c r="G409" s="5" t="s">
        <v>129</v>
      </c>
      <c r="H409" s="5" t="s">
        <v>130</v>
      </c>
      <c r="I409" s="5"/>
      <c r="J409" s="5"/>
      <c r="K409" s="5">
        <v>205</v>
      </c>
      <c r="L409" s="5">
        <v>14</v>
      </c>
      <c r="M409" s="5">
        <v>3</v>
      </c>
      <c r="N409" s="5" t="s">
        <v>3</v>
      </c>
      <c r="O409" s="5">
        <v>2</v>
      </c>
      <c r="P409" s="5">
        <f>ROUND(Source!DK394,O409)</f>
        <v>0</v>
      </c>
      <c r="Q409" s="5"/>
      <c r="R409" s="5"/>
      <c r="S409" s="5"/>
      <c r="T409" s="5"/>
      <c r="U409" s="5"/>
      <c r="V409" s="5"/>
      <c r="W409" s="5">
        <v>0</v>
      </c>
      <c r="X409" s="5">
        <v>1</v>
      </c>
      <c r="Y409" s="5">
        <v>0</v>
      </c>
      <c r="Z409" s="5">
        <v>0</v>
      </c>
      <c r="AA409" s="5">
        <v>1</v>
      </c>
      <c r="AB409" s="5">
        <v>0</v>
      </c>
    </row>
    <row r="410" spans="1:28" x14ac:dyDescent="0.2">
      <c r="A410" s="5">
        <v>50</v>
      </c>
      <c r="B410" s="5">
        <v>0</v>
      </c>
      <c r="C410" s="5">
        <v>0</v>
      </c>
      <c r="D410" s="5">
        <v>1</v>
      </c>
      <c r="E410" s="5">
        <v>232</v>
      </c>
      <c r="F410" s="5">
        <f>ROUND(Source!BC394,O410)</f>
        <v>0</v>
      </c>
      <c r="G410" s="5" t="s">
        <v>131</v>
      </c>
      <c r="H410" s="5" t="s">
        <v>132</v>
      </c>
      <c r="I410" s="5"/>
      <c r="J410" s="5"/>
      <c r="K410" s="5">
        <v>232</v>
      </c>
      <c r="L410" s="5">
        <v>15</v>
      </c>
      <c r="M410" s="5">
        <v>3</v>
      </c>
      <c r="N410" s="5" t="s">
        <v>3</v>
      </c>
      <c r="O410" s="5">
        <v>2</v>
      </c>
      <c r="P410" s="5">
        <f>ROUND(Source!EU394,O410)</f>
        <v>0</v>
      </c>
      <c r="Q410" s="5"/>
      <c r="R410" s="5"/>
      <c r="S410" s="5"/>
      <c r="T410" s="5"/>
      <c r="U410" s="5"/>
      <c r="V410" s="5"/>
      <c r="W410" s="5">
        <v>0</v>
      </c>
      <c r="X410" s="5">
        <v>1</v>
      </c>
      <c r="Y410" s="5">
        <v>0</v>
      </c>
      <c r="Z410" s="5">
        <v>0</v>
      </c>
      <c r="AA410" s="5">
        <v>1</v>
      </c>
      <c r="AB410" s="5">
        <v>0</v>
      </c>
    </row>
    <row r="411" spans="1:28" x14ac:dyDescent="0.2">
      <c r="A411" s="5">
        <v>50</v>
      </c>
      <c r="B411" s="5">
        <v>0</v>
      </c>
      <c r="C411" s="5">
        <v>0</v>
      </c>
      <c r="D411" s="5">
        <v>1</v>
      </c>
      <c r="E411" s="5">
        <v>214</v>
      </c>
      <c r="F411" s="5">
        <f>ROUND(Source!AS394,O411)</f>
        <v>0</v>
      </c>
      <c r="G411" s="5" t="s">
        <v>133</v>
      </c>
      <c r="H411" s="5" t="s">
        <v>134</v>
      </c>
      <c r="I411" s="5"/>
      <c r="J411" s="5"/>
      <c r="K411" s="5">
        <v>214</v>
      </c>
      <c r="L411" s="5">
        <v>16</v>
      </c>
      <c r="M411" s="5">
        <v>3</v>
      </c>
      <c r="N411" s="5" t="s">
        <v>3</v>
      </c>
      <c r="O411" s="5">
        <v>2</v>
      </c>
      <c r="P411" s="5">
        <f>ROUND(Source!EK394,O411)</f>
        <v>0</v>
      </c>
      <c r="Q411" s="5"/>
      <c r="R411" s="5"/>
      <c r="S411" s="5"/>
      <c r="T411" s="5"/>
      <c r="U411" s="5"/>
      <c r="V411" s="5"/>
      <c r="W411" s="5">
        <v>0</v>
      </c>
      <c r="X411" s="5">
        <v>1</v>
      </c>
      <c r="Y411" s="5">
        <v>0</v>
      </c>
      <c r="Z411" s="5">
        <v>0</v>
      </c>
      <c r="AA411" s="5">
        <v>1</v>
      </c>
      <c r="AB411" s="5">
        <v>0</v>
      </c>
    </row>
    <row r="412" spans="1:28" x14ac:dyDescent="0.2">
      <c r="A412" s="5">
        <v>50</v>
      </c>
      <c r="B412" s="5">
        <v>0</v>
      </c>
      <c r="C412" s="5">
        <v>0</v>
      </c>
      <c r="D412" s="5">
        <v>1</v>
      </c>
      <c r="E412" s="5">
        <v>215</v>
      </c>
      <c r="F412" s="5">
        <f>ROUND(Source!AT394,O412)</f>
        <v>0</v>
      </c>
      <c r="G412" s="5" t="s">
        <v>135</v>
      </c>
      <c r="H412" s="5" t="s">
        <v>136</v>
      </c>
      <c r="I412" s="5"/>
      <c r="J412" s="5"/>
      <c r="K412" s="5">
        <v>215</v>
      </c>
      <c r="L412" s="5">
        <v>17</v>
      </c>
      <c r="M412" s="5">
        <v>3</v>
      </c>
      <c r="N412" s="5" t="s">
        <v>3</v>
      </c>
      <c r="O412" s="5">
        <v>2</v>
      </c>
      <c r="P412" s="5">
        <f>ROUND(Source!EL394,O412)</f>
        <v>0</v>
      </c>
      <c r="Q412" s="5"/>
      <c r="R412" s="5"/>
      <c r="S412" s="5"/>
      <c r="T412" s="5"/>
      <c r="U412" s="5"/>
      <c r="V412" s="5"/>
      <c r="W412" s="5">
        <v>0</v>
      </c>
      <c r="X412" s="5">
        <v>1</v>
      </c>
      <c r="Y412" s="5">
        <v>0</v>
      </c>
      <c r="Z412" s="5">
        <v>0</v>
      </c>
      <c r="AA412" s="5">
        <v>1</v>
      </c>
      <c r="AB412" s="5">
        <v>0</v>
      </c>
    </row>
    <row r="413" spans="1:28" x14ac:dyDescent="0.2">
      <c r="A413" s="5">
        <v>50</v>
      </c>
      <c r="B413" s="5">
        <v>0</v>
      </c>
      <c r="C413" s="5">
        <v>0</v>
      </c>
      <c r="D413" s="5">
        <v>1</v>
      </c>
      <c r="E413" s="5">
        <v>217</v>
      </c>
      <c r="F413" s="5">
        <f>ROUND(Source!AU394,O413)</f>
        <v>0</v>
      </c>
      <c r="G413" s="5" t="s">
        <v>137</v>
      </c>
      <c r="H413" s="5" t="s">
        <v>138</v>
      </c>
      <c r="I413" s="5"/>
      <c r="J413" s="5"/>
      <c r="K413" s="5">
        <v>217</v>
      </c>
      <c r="L413" s="5">
        <v>18</v>
      </c>
      <c r="M413" s="5">
        <v>3</v>
      </c>
      <c r="N413" s="5" t="s">
        <v>3</v>
      </c>
      <c r="O413" s="5">
        <v>2</v>
      </c>
      <c r="P413" s="5">
        <f>ROUND(Source!EM394,O413)</f>
        <v>0</v>
      </c>
      <c r="Q413" s="5"/>
      <c r="R413" s="5"/>
      <c r="S413" s="5"/>
      <c r="T413" s="5"/>
      <c r="U413" s="5"/>
      <c r="V413" s="5"/>
      <c r="W413" s="5">
        <v>0</v>
      </c>
      <c r="X413" s="5">
        <v>1</v>
      </c>
      <c r="Y413" s="5">
        <v>0</v>
      </c>
      <c r="Z413" s="5">
        <v>0</v>
      </c>
      <c r="AA413" s="5">
        <v>1</v>
      </c>
      <c r="AB413" s="5">
        <v>0</v>
      </c>
    </row>
    <row r="414" spans="1:28" x14ac:dyDescent="0.2">
      <c r="A414" s="5">
        <v>50</v>
      </c>
      <c r="B414" s="5">
        <v>0</v>
      </c>
      <c r="C414" s="5">
        <v>0</v>
      </c>
      <c r="D414" s="5">
        <v>1</v>
      </c>
      <c r="E414" s="5">
        <v>230</v>
      </c>
      <c r="F414" s="5">
        <f>ROUND(Source!BA394,O414)</f>
        <v>0</v>
      </c>
      <c r="G414" s="5" t="s">
        <v>139</v>
      </c>
      <c r="H414" s="5" t="s">
        <v>140</v>
      </c>
      <c r="I414" s="5"/>
      <c r="J414" s="5"/>
      <c r="K414" s="5">
        <v>230</v>
      </c>
      <c r="L414" s="5">
        <v>19</v>
      </c>
      <c r="M414" s="5">
        <v>3</v>
      </c>
      <c r="N414" s="5" t="s">
        <v>3</v>
      </c>
      <c r="O414" s="5">
        <v>2</v>
      </c>
      <c r="P414" s="5">
        <f>ROUND(Source!ES394,O414)</f>
        <v>0</v>
      </c>
      <c r="Q414" s="5"/>
      <c r="R414" s="5"/>
      <c r="S414" s="5"/>
      <c r="T414" s="5"/>
      <c r="U414" s="5"/>
      <c r="V414" s="5"/>
      <c r="W414" s="5">
        <v>0</v>
      </c>
      <c r="X414" s="5">
        <v>1</v>
      </c>
      <c r="Y414" s="5">
        <v>0</v>
      </c>
      <c r="Z414" s="5">
        <v>0</v>
      </c>
      <c r="AA414" s="5">
        <v>1</v>
      </c>
      <c r="AB414" s="5">
        <v>0</v>
      </c>
    </row>
    <row r="415" spans="1:28" x14ac:dyDescent="0.2">
      <c r="A415" s="5">
        <v>50</v>
      </c>
      <c r="B415" s="5">
        <v>0</v>
      </c>
      <c r="C415" s="5">
        <v>0</v>
      </c>
      <c r="D415" s="5">
        <v>1</v>
      </c>
      <c r="E415" s="5">
        <v>206</v>
      </c>
      <c r="F415" s="5">
        <f>ROUND(Source!T394,O415)</f>
        <v>0</v>
      </c>
      <c r="G415" s="5" t="s">
        <v>141</v>
      </c>
      <c r="H415" s="5" t="s">
        <v>142</v>
      </c>
      <c r="I415" s="5"/>
      <c r="J415" s="5"/>
      <c r="K415" s="5">
        <v>206</v>
      </c>
      <c r="L415" s="5">
        <v>20</v>
      </c>
      <c r="M415" s="5">
        <v>3</v>
      </c>
      <c r="N415" s="5" t="s">
        <v>3</v>
      </c>
      <c r="O415" s="5">
        <v>2</v>
      </c>
      <c r="P415" s="5">
        <f>ROUND(Source!DL394,O415)</f>
        <v>0</v>
      </c>
      <c r="Q415" s="5"/>
      <c r="R415" s="5"/>
      <c r="S415" s="5"/>
      <c r="T415" s="5"/>
      <c r="U415" s="5"/>
      <c r="V415" s="5"/>
      <c r="W415" s="5">
        <v>0</v>
      </c>
      <c r="X415" s="5">
        <v>1</v>
      </c>
      <c r="Y415" s="5">
        <v>0</v>
      </c>
      <c r="Z415" s="5">
        <v>0</v>
      </c>
      <c r="AA415" s="5">
        <v>1</v>
      </c>
      <c r="AB415" s="5">
        <v>0</v>
      </c>
    </row>
    <row r="416" spans="1:28" x14ac:dyDescent="0.2">
      <c r="A416" s="5">
        <v>50</v>
      </c>
      <c r="B416" s="5">
        <v>0</v>
      </c>
      <c r="C416" s="5">
        <v>0</v>
      </c>
      <c r="D416" s="5">
        <v>1</v>
      </c>
      <c r="E416" s="5">
        <v>207</v>
      </c>
      <c r="F416" s="5">
        <f>Source!U394</f>
        <v>0</v>
      </c>
      <c r="G416" s="5" t="s">
        <v>143</v>
      </c>
      <c r="H416" s="5" t="s">
        <v>144</v>
      </c>
      <c r="I416" s="5"/>
      <c r="J416" s="5"/>
      <c r="K416" s="5">
        <v>207</v>
      </c>
      <c r="L416" s="5">
        <v>21</v>
      </c>
      <c r="M416" s="5">
        <v>3</v>
      </c>
      <c r="N416" s="5" t="s">
        <v>3</v>
      </c>
      <c r="O416" s="5">
        <v>-1</v>
      </c>
      <c r="P416" s="5">
        <f>Source!DM394</f>
        <v>0</v>
      </c>
      <c r="Q416" s="5"/>
      <c r="R416" s="5"/>
      <c r="S416" s="5"/>
      <c r="T416" s="5"/>
      <c r="U416" s="5"/>
      <c r="V416" s="5"/>
      <c r="W416" s="5">
        <v>0</v>
      </c>
      <c r="X416" s="5">
        <v>1</v>
      </c>
      <c r="Y416" s="5">
        <v>0</v>
      </c>
      <c r="Z416" s="5">
        <v>0</v>
      </c>
      <c r="AA416" s="5">
        <v>1</v>
      </c>
      <c r="AB416" s="5">
        <v>0</v>
      </c>
    </row>
    <row r="417" spans="1:206" x14ac:dyDescent="0.2">
      <c r="A417" s="5">
        <v>50</v>
      </c>
      <c r="B417" s="5">
        <v>0</v>
      </c>
      <c r="C417" s="5">
        <v>0</v>
      </c>
      <c r="D417" s="5">
        <v>1</v>
      </c>
      <c r="E417" s="5">
        <v>208</v>
      </c>
      <c r="F417" s="5">
        <f>Source!V394</f>
        <v>0</v>
      </c>
      <c r="G417" s="5" t="s">
        <v>145</v>
      </c>
      <c r="H417" s="5" t="s">
        <v>146</v>
      </c>
      <c r="I417" s="5"/>
      <c r="J417" s="5"/>
      <c r="K417" s="5">
        <v>208</v>
      </c>
      <c r="L417" s="5">
        <v>22</v>
      </c>
      <c r="M417" s="5">
        <v>3</v>
      </c>
      <c r="N417" s="5" t="s">
        <v>3</v>
      </c>
      <c r="O417" s="5">
        <v>-1</v>
      </c>
      <c r="P417" s="5">
        <f>Source!DN394</f>
        <v>0</v>
      </c>
      <c r="Q417" s="5"/>
      <c r="R417" s="5"/>
      <c r="S417" s="5"/>
      <c r="T417" s="5"/>
      <c r="U417" s="5"/>
      <c r="V417" s="5"/>
      <c r="W417" s="5">
        <v>0</v>
      </c>
      <c r="X417" s="5">
        <v>1</v>
      </c>
      <c r="Y417" s="5">
        <v>0</v>
      </c>
      <c r="Z417" s="5">
        <v>0</v>
      </c>
      <c r="AA417" s="5">
        <v>1</v>
      </c>
      <c r="AB417" s="5">
        <v>0</v>
      </c>
    </row>
    <row r="418" spans="1:206" x14ac:dyDescent="0.2">
      <c r="A418" s="5">
        <v>50</v>
      </c>
      <c r="B418" s="5">
        <v>0</v>
      </c>
      <c r="C418" s="5">
        <v>0</v>
      </c>
      <c r="D418" s="5">
        <v>1</v>
      </c>
      <c r="E418" s="5">
        <v>209</v>
      </c>
      <c r="F418" s="5">
        <f>ROUND(Source!W394,O418)</f>
        <v>0</v>
      </c>
      <c r="G418" s="5" t="s">
        <v>147</v>
      </c>
      <c r="H418" s="5" t="s">
        <v>148</v>
      </c>
      <c r="I418" s="5"/>
      <c r="J418" s="5"/>
      <c r="K418" s="5">
        <v>209</v>
      </c>
      <c r="L418" s="5">
        <v>23</v>
      </c>
      <c r="M418" s="5">
        <v>3</v>
      </c>
      <c r="N418" s="5" t="s">
        <v>3</v>
      </c>
      <c r="O418" s="5">
        <v>2</v>
      </c>
      <c r="P418" s="5">
        <f>ROUND(Source!DO394,O418)</f>
        <v>0</v>
      </c>
      <c r="Q418" s="5"/>
      <c r="R418" s="5"/>
      <c r="S418" s="5"/>
      <c r="T418" s="5"/>
      <c r="U418" s="5"/>
      <c r="V418" s="5"/>
      <c r="W418" s="5">
        <v>0</v>
      </c>
      <c r="X418" s="5">
        <v>1</v>
      </c>
      <c r="Y418" s="5">
        <v>0</v>
      </c>
      <c r="Z418" s="5">
        <v>0</v>
      </c>
      <c r="AA418" s="5">
        <v>1</v>
      </c>
      <c r="AB418" s="5">
        <v>0</v>
      </c>
    </row>
    <row r="419" spans="1:206" x14ac:dyDescent="0.2">
      <c r="A419" s="5">
        <v>50</v>
      </c>
      <c r="B419" s="5">
        <v>0</v>
      </c>
      <c r="C419" s="5">
        <v>0</v>
      </c>
      <c r="D419" s="5">
        <v>1</v>
      </c>
      <c r="E419" s="5">
        <v>233</v>
      </c>
      <c r="F419" s="5">
        <f>ROUND(Source!BD394,O419)</f>
        <v>0</v>
      </c>
      <c r="G419" s="5" t="s">
        <v>149</v>
      </c>
      <c r="H419" s="5" t="s">
        <v>150</v>
      </c>
      <c r="I419" s="5"/>
      <c r="J419" s="5"/>
      <c r="K419" s="5">
        <v>233</v>
      </c>
      <c r="L419" s="5">
        <v>24</v>
      </c>
      <c r="M419" s="5">
        <v>3</v>
      </c>
      <c r="N419" s="5" t="s">
        <v>3</v>
      </c>
      <c r="O419" s="5">
        <v>2</v>
      </c>
      <c r="P419" s="5">
        <f>ROUND(Source!EV394,O419)</f>
        <v>0</v>
      </c>
      <c r="Q419" s="5"/>
      <c r="R419" s="5"/>
      <c r="S419" s="5"/>
      <c r="T419" s="5"/>
      <c r="U419" s="5"/>
      <c r="V419" s="5"/>
      <c r="W419" s="5">
        <v>0</v>
      </c>
      <c r="X419" s="5">
        <v>1</v>
      </c>
      <c r="Y419" s="5">
        <v>0</v>
      </c>
      <c r="Z419" s="5">
        <v>0</v>
      </c>
      <c r="AA419" s="5">
        <v>1</v>
      </c>
      <c r="AB419" s="5">
        <v>0</v>
      </c>
    </row>
    <row r="420" spans="1:206" x14ac:dyDescent="0.2">
      <c r="A420" s="5">
        <v>50</v>
      </c>
      <c r="B420" s="5">
        <v>0</v>
      </c>
      <c r="C420" s="5">
        <v>0</v>
      </c>
      <c r="D420" s="5">
        <v>1</v>
      </c>
      <c r="E420" s="5">
        <v>210</v>
      </c>
      <c r="F420" s="5">
        <f>ROUND(Source!X394,O420)</f>
        <v>0</v>
      </c>
      <c r="G420" s="5" t="s">
        <v>151</v>
      </c>
      <c r="H420" s="5" t="s">
        <v>152</v>
      </c>
      <c r="I420" s="5"/>
      <c r="J420" s="5"/>
      <c r="K420" s="5">
        <v>210</v>
      </c>
      <c r="L420" s="5">
        <v>25</v>
      </c>
      <c r="M420" s="5">
        <v>3</v>
      </c>
      <c r="N420" s="5" t="s">
        <v>3</v>
      </c>
      <c r="O420" s="5">
        <v>2</v>
      </c>
      <c r="P420" s="5">
        <f>ROUND(Source!DP394,O420)</f>
        <v>0</v>
      </c>
      <c r="Q420" s="5"/>
      <c r="R420" s="5"/>
      <c r="S420" s="5"/>
      <c r="T420" s="5"/>
      <c r="U420" s="5"/>
      <c r="V420" s="5"/>
      <c r="W420" s="5">
        <v>0</v>
      </c>
      <c r="X420" s="5">
        <v>1</v>
      </c>
      <c r="Y420" s="5">
        <v>0</v>
      </c>
      <c r="Z420" s="5">
        <v>0</v>
      </c>
      <c r="AA420" s="5">
        <v>1</v>
      </c>
      <c r="AB420" s="5">
        <v>0</v>
      </c>
    </row>
    <row r="421" spans="1:206" x14ac:dyDescent="0.2">
      <c r="A421" s="5">
        <v>50</v>
      </c>
      <c r="B421" s="5">
        <v>0</v>
      </c>
      <c r="C421" s="5">
        <v>0</v>
      </c>
      <c r="D421" s="5">
        <v>1</v>
      </c>
      <c r="E421" s="5">
        <v>211</v>
      </c>
      <c r="F421" s="5">
        <f>ROUND(Source!Y394,O421)</f>
        <v>0</v>
      </c>
      <c r="G421" s="5" t="s">
        <v>153</v>
      </c>
      <c r="H421" s="5" t="s">
        <v>154</v>
      </c>
      <c r="I421" s="5"/>
      <c r="J421" s="5"/>
      <c r="K421" s="5">
        <v>211</v>
      </c>
      <c r="L421" s="5">
        <v>26</v>
      </c>
      <c r="M421" s="5">
        <v>3</v>
      </c>
      <c r="N421" s="5" t="s">
        <v>3</v>
      </c>
      <c r="O421" s="5">
        <v>2</v>
      </c>
      <c r="P421" s="5">
        <f>ROUND(Source!DQ394,O421)</f>
        <v>0</v>
      </c>
      <c r="Q421" s="5"/>
      <c r="R421" s="5"/>
      <c r="S421" s="5"/>
      <c r="T421" s="5"/>
      <c r="U421" s="5"/>
      <c r="V421" s="5"/>
      <c r="W421" s="5">
        <v>0</v>
      </c>
      <c r="X421" s="5">
        <v>1</v>
      </c>
      <c r="Y421" s="5">
        <v>0</v>
      </c>
      <c r="Z421" s="5">
        <v>0</v>
      </c>
      <c r="AA421" s="5">
        <v>1</v>
      </c>
      <c r="AB421" s="5">
        <v>0</v>
      </c>
    </row>
    <row r="422" spans="1:206" x14ac:dyDescent="0.2">
      <c r="A422" s="5">
        <v>50</v>
      </c>
      <c r="B422" s="5">
        <v>0</v>
      </c>
      <c r="C422" s="5">
        <v>0</v>
      </c>
      <c r="D422" s="5">
        <v>1</v>
      </c>
      <c r="E422" s="5">
        <v>224</v>
      </c>
      <c r="F422" s="5">
        <f>ROUND(Source!AR394,O422)</f>
        <v>0</v>
      </c>
      <c r="G422" s="5" t="s">
        <v>155</v>
      </c>
      <c r="H422" s="5" t="s">
        <v>156</v>
      </c>
      <c r="I422" s="5"/>
      <c r="J422" s="5"/>
      <c r="K422" s="5">
        <v>224</v>
      </c>
      <c r="L422" s="5">
        <v>27</v>
      </c>
      <c r="M422" s="5">
        <v>3</v>
      </c>
      <c r="N422" s="5" t="s">
        <v>3</v>
      </c>
      <c r="O422" s="5">
        <v>2</v>
      </c>
      <c r="P422" s="5">
        <f>ROUND(Source!EJ394,O422)</f>
        <v>0</v>
      </c>
      <c r="Q422" s="5"/>
      <c r="R422" s="5"/>
      <c r="S422" s="5"/>
      <c r="T422" s="5"/>
      <c r="U422" s="5"/>
      <c r="V422" s="5"/>
      <c r="W422" s="5">
        <v>0</v>
      </c>
      <c r="X422" s="5">
        <v>1</v>
      </c>
      <c r="Y422" s="5">
        <v>0</v>
      </c>
      <c r="Z422" s="5">
        <v>0</v>
      </c>
      <c r="AA422" s="5">
        <v>1</v>
      </c>
      <c r="AB422" s="5">
        <v>0</v>
      </c>
    </row>
    <row r="424" spans="1:206" x14ac:dyDescent="0.2">
      <c r="A424" s="3">
        <v>51</v>
      </c>
      <c r="B424" s="3">
        <f>B178</f>
        <v>1</v>
      </c>
      <c r="C424" s="3">
        <f>A178</f>
        <v>4</v>
      </c>
      <c r="D424" s="3">
        <f>ROW(A178)</f>
        <v>178</v>
      </c>
      <c r="E424" s="3"/>
      <c r="F424" s="3" t="str">
        <f>IF(F178&lt;&gt;"",F178,"")</f>
        <v>Новый раздел</v>
      </c>
      <c r="G424" s="3" t="str">
        <f>IF(G178&lt;&gt;"",G178,"")</f>
        <v>Благоустройство</v>
      </c>
      <c r="H424" s="3">
        <v>0</v>
      </c>
      <c r="I424" s="3"/>
      <c r="J424" s="3"/>
      <c r="K424" s="3"/>
      <c r="L424" s="3"/>
      <c r="M424" s="3"/>
      <c r="N424" s="3"/>
      <c r="O424" s="3">
        <f t="shared" ref="O424:T424" si="344">ROUND(O221+O282+O333+O394+AB424,2)</f>
        <v>4893.83</v>
      </c>
      <c r="P424" s="3">
        <f t="shared" si="344"/>
        <v>4041.47</v>
      </c>
      <c r="Q424" s="3">
        <f t="shared" si="344"/>
        <v>542.92999999999995</v>
      </c>
      <c r="R424" s="3">
        <f t="shared" si="344"/>
        <v>62.03</v>
      </c>
      <c r="S424" s="3">
        <f t="shared" si="344"/>
        <v>309.43</v>
      </c>
      <c r="T424" s="3">
        <f t="shared" si="344"/>
        <v>0</v>
      </c>
      <c r="U424" s="3">
        <f>U221+U282+U333+U394+AH424</f>
        <v>28.376860692600001</v>
      </c>
      <c r="V424" s="3">
        <f>V221+V282+V333+V394+AI424</f>
        <v>0</v>
      </c>
      <c r="W424" s="3">
        <f>ROUND(W221+W282+W333+W394+AJ424,2)</f>
        <v>0</v>
      </c>
      <c r="X424" s="3">
        <f>ROUND(X221+X282+X333+X394+AK424,2)</f>
        <v>501.51</v>
      </c>
      <c r="Y424" s="3">
        <f>ROUND(Y221+Y282+Y333+Y394+AL424,2)</f>
        <v>291.33999999999997</v>
      </c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>
        <f t="shared" ref="AO424:BD424" si="345">ROUND(AO221+AO282+AO333+AO394+BX424,2)</f>
        <v>0</v>
      </c>
      <c r="AP424" s="3">
        <f t="shared" si="345"/>
        <v>0</v>
      </c>
      <c r="AQ424" s="3">
        <f t="shared" si="345"/>
        <v>0</v>
      </c>
      <c r="AR424" s="3">
        <f t="shared" si="345"/>
        <v>5795.26</v>
      </c>
      <c r="AS424" s="3">
        <f t="shared" si="345"/>
        <v>5795.26</v>
      </c>
      <c r="AT424" s="3">
        <f t="shared" si="345"/>
        <v>0</v>
      </c>
      <c r="AU424" s="3">
        <f t="shared" si="345"/>
        <v>0</v>
      </c>
      <c r="AV424" s="3">
        <f t="shared" si="345"/>
        <v>4041.47</v>
      </c>
      <c r="AW424" s="3">
        <f t="shared" si="345"/>
        <v>4041.47</v>
      </c>
      <c r="AX424" s="3">
        <f t="shared" si="345"/>
        <v>0</v>
      </c>
      <c r="AY424" s="3">
        <f t="shared" si="345"/>
        <v>4041.47</v>
      </c>
      <c r="AZ424" s="3">
        <f t="shared" si="345"/>
        <v>0</v>
      </c>
      <c r="BA424" s="3">
        <f t="shared" si="345"/>
        <v>0</v>
      </c>
      <c r="BB424" s="3">
        <f t="shared" si="345"/>
        <v>0</v>
      </c>
      <c r="BC424" s="3">
        <f t="shared" si="345"/>
        <v>0</v>
      </c>
      <c r="BD424" s="3">
        <f t="shared" si="345"/>
        <v>0</v>
      </c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4">
        <f t="shared" ref="DG424:DL424" si="346">ROUND(DG221+DG282+DG333+DG394+DT424,2)</f>
        <v>63747.25</v>
      </c>
      <c r="DH424" s="4">
        <f t="shared" si="346"/>
        <v>46261.52</v>
      </c>
      <c r="DI424" s="4">
        <f t="shared" si="346"/>
        <v>6807.3</v>
      </c>
      <c r="DJ424" s="4">
        <f t="shared" si="346"/>
        <v>2140.66</v>
      </c>
      <c r="DK424" s="4">
        <f t="shared" si="346"/>
        <v>10678.43</v>
      </c>
      <c r="DL424" s="4">
        <f t="shared" si="346"/>
        <v>0</v>
      </c>
      <c r="DM424" s="4">
        <f>DM221+DM282+DM333+DM394+DZ424</f>
        <v>28.376860692600001</v>
      </c>
      <c r="DN424" s="4">
        <f>DN221+DN282+DN333+DN394+EA424</f>
        <v>0</v>
      </c>
      <c r="DO424" s="4">
        <f>ROUND(DO221+DO282+DO333+DO394+EB424,2)</f>
        <v>0</v>
      </c>
      <c r="DP424" s="4">
        <f>ROUND(DP221+DP282+DP333+DP394+EC424,2)</f>
        <v>11245.12</v>
      </c>
      <c r="DQ424" s="4">
        <f>ROUND(DQ221+DQ282+DQ333+DQ394+ED424,2)</f>
        <v>5161.09</v>
      </c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>
        <f t="shared" ref="EG424:EV424" si="347">ROUND(EG221+EG282+EG333+EG394+FP424,2)</f>
        <v>0</v>
      </c>
      <c r="EH424" s="4">
        <f t="shared" si="347"/>
        <v>0</v>
      </c>
      <c r="EI424" s="4">
        <f t="shared" si="347"/>
        <v>0</v>
      </c>
      <c r="EJ424" s="4">
        <f t="shared" si="347"/>
        <v>83578.5</v>
      </c>
      <c r="EK424" s="4">
        <f t="shared" si="347"/>
        <v>83578.5</v>
      </c>
      <c r="EL424" s="4">
        <f t="shared" si="347"/>
        <v>0</v>
      </c>
      <c r="EM424" s="4">
        <f t="shared" si="347"/>
        <v>0</v>
      </c>
      <c r="EN424" s="4">
        <f t="shared" si="347"/>
        <v>46261.52</v>
      </c>
      <c r="EO424" s="4">
        <f t="shared" si="347"/>
        <v>46261.52</v>
      </c>
      <c r="EP424" s="4">
        <f t="shared" si="347"/>
        <v>0</v>
      </c>
      <c r="EQ424" s="4">
        <f t="shared" si="347"/>
        <v>46261.52</v>
      </c>
      <c r="ER424" s="4">
        <f t="shared" si="347"/>
        <v>0</v>
      </c>
      <c r="ES424" s="4">
        <f t="shared" si="347"/>
        <v>0</v>
      </c>
      <c r="ET424" s="4">
        <f t="shared" si="347"/>
        <v>0</v>
      </c>
      <c r="EU424" s="4">
        <f t="shared" si="347"/>
        <v>0</v>
      </c>
      <c r="EV424" s="4">
        <f t="shared" si="347"/>
        <v>0</v>
      </c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>
        <v>0</v>
      </c>
    </row>
    <row r="426" spans="1:206" x14ac:dyDescent="0.2">
      <c r="A426" s="5">
        <v>50</v>
      </c>
      <c r="B426" s="5">
        <v>0</v>
      </c>
      <c r="C426" s="5">
        <v>0</v>
      </c>
      <c r="D426" s="5">
        <v>1</v>
      </c>
      <c r="E426" s="5">
        <v>201</v>
      </c>
      <c r="F426" s="5">
        <f>ROUND(Source!O424,O426)</f>
        <v>4893.83</v>
      </c>
      <c r="G426" s="5" t="s">
        <v>103</v>
      </c>
      <c r="H426" s="5" t="s">
        <v>104</v>
      </c>
      <c r="I426" s="5"/>
      <c r="J426" s="5"/>
      <c r="K426" s="5">
        <v>201</v>
      </c>
      <c r="L426" s="5">
        <v>1</v>
      </c>
      <c r="M426" s="5">
        <v>3</v>
      </c>
      <c r="N426" s="5" t="s">
        <v>3</v>
      </c>
      <c r="O426" s="5">
        <v>2</v>
      </c>
      <c r="P426" s="5">
        <f>ROUND(Source!DG424,O426)</f>
        <v>63747.25</v>
      </c>
      <c r="Q426" s="5"/>
      <c r="R426" s="5"/>
      <c r="S426" s="5"/>
      <c r="T426" s="5"/>
      <c r="U426" s="5"/>
      <c r="V426" s="5"/>
      <c r="W426" s="5">
        <v>4893.83</v>
      </c>
      <c r="X426" s="5">
        <v>1</v>
      </c>
      <c r="Y426" s="5">
        <v>4893.83</v>
      </c>
      <c r="Z426" s="5">
        <v>63747.25</v>
      </c>
      <c r="AA426" s="5">
        <v>1</v>
      </c>
      <c r="AB426" s="5">
        <v>63747.25</v>
      </c>
    </row>
    <row r="427" spans="1:206" x14ac:dyDescent="0.2">
      <c r="A427" s="5">
        <v>50</v>
      </c>
      <c r="B427" s="5">
        <v>0</v>
      </c>
      <c r="C427" s="5">
        <v>0</v>
      </c>
      <c r="D427" s="5">
        <v>1</v>
      </c>
      <c r="E427" s="5">
        <v>202</v>
      </c>
      <c r="F427" s="5">
        <f>ROUND(Source!P424,O427)</f>
        <v>4041.47</v>
      </c>
      <c r="G427" s="5" t="s">
        <v>105</v>
      </c>
      <c r="H427" s="5" t="s">
        <v>106</v>
      </c>
      <c r="I427" s="5"/>
      <c r="J427" s="5"/>
      <c r="K427" s="5">
        <v>202</v>
      </c>
      <c r="L427" s="5">
        <v>2</v>
      </c>
      <c r="M427" s="5">
        <v>3</v>
      </c>
      <c r="N427" s="5" t="s">
        <v>3</v>
      </c>
      <c r="O427" s="5">
        <v>2</v>
      </c>
      <c r="P427" s="5">
        <f>ROUND(Source!DH424,O427)</f>
        <v>46261.52</v>
      </c>
      <c r="Q427" s="5"/>
      <c r="R427" s="5"/>
      <c r="S427" s="5"/>
      <c r="T427" s="5"/>
      <c r="U427" s="5"/>
      <c r="V427" s="5"/>
      <c r="W427" s="5">
        <v>4041.47</v>
      </c>
      <c r="X427" s="5">
        <v>1</v>
      </c>
      <c r="Y427" s="5">
        <v>4041.47</v>
      </c>
      <c r="Z427" s="5">
        <v>46261.52</v>
      </c>
      <c r="AA427" s="5">
        <v>1</v>
      </c>
      <c r="AB427" s="5">
        <v>46261.52</v>
      </c>
    </row>
    <row r="428" spans="1:206" x14ac:dyDescent="0.2">
      <c r="A428" s="5">
        <v>50</v>
      </c>
      <c r="B428" s="5">
        <v>0</v>
      </c>
      <c r="C428" s="5">
        <v>0</v>
      </c>
      <c r="D428" s="5">
        <v>1</v>
      </c>
      <c r="E428" s="5">
        <v>222</v>
      </c>
      <c r="F428" s="5">
        <f>ROUND(Source!AO424,O428)</f>
        <v>0</v>
      </c>
      <c r="G428" s="5" t="s">
        <v>107</v>
      </c>
      <c r="H428" s="5" t="s">
        <v>108</v>
      </c>
      <c r="I428" s="5"/>
      <c r="J428" s="5"/>
      <c r="K428" s="5">
        <v>222</v>
      </c>
      <c r="L428" s="5">
        <v>3</v>
      </c>
      <c r="M428" s="5">
        <v>3</v>
      </c>
      <c r="N428" s="5" t="s">
        <v>3</v>
      </c>
      <c r="O428" s="5">
        <v>2</v>
      </c>
      <c r="P428" s="5">
        <f>ROUND(Source!EG424,O428)</f>
        <v>0</v>
      </c>
      <c r="Q428" s="5"/>
      <c r="R428" s="5"/>
      <c r="S428" s="5"/>
      <c r="T428" s="5"/>
      <c r="U428" s="5"/>
      <c r="V428" s="5"/>
      <c r="W428" s="5">
        <v>0</v>
      </c>
      <c r="X428" s="5">
        <v>1</v>
      </c>
      <c r="Y428" s="5">
        <v>0</v>
      </c>
      <c r="Z428" s="5">
        <v>0</v>
      </c>
      <c r="AA428" s="5">
        <v>1</v>
      </c>
      <c r="AB428" s="5">
        <v>0</v>
      </c>
    </row>
    <row r="429" spans="1:206" x14ac:dyDescent="0.2">
      <c r="A429" s="5">
        <v>50</v>
      </c>
      <c r="B429" s="5">
        <v>0</v>
      </c>
      <c r="C429" s="5">
        <v>0</v>
      </c>
      <c r="D429" s="5">
        <v>1</v>
      </c>
      <c r="E429" s="5">
        <v>225</v>
      </c>
      <c r="F429" s="5">
        <f>ROUND(Source!AV424,O429)</f>
        <v>4041.47</v>
      </c>
      <c r="G429" s="5" t="s">
        <v>109</v>
      </c>
      <c r="H429" s="5" t="s">
        <v>110</v>
      </c>
      <c r="I429" s="5"/>
      <c r="J429" s="5"/>
      <c r="K429" s="5">
        <v>225</v>
      </c>
      <c r="L429" s="5">
        <v>4</v>
      </c>
      <c r="M429" s="5">
        <v>3</v>
      </c>
      <c r="N429" s="5" t="s">
        <v>3</v>
      </c>
      <c r="O429" s="5">
        <v>2</v>
      </c>
      <c r="P429" s="5">
        <f>ROUND(Source!EN424,O429)</f>
        <v>46261.52</v>
      </c>
      <c r="Q429" s="5"/>
      <c r="R429" s="5"/>
      <c r="S429" s="5"/>
      <c r="T429" s="5"/>
      <c r="U429" s="5"/>
      <c r="V429" s="5"/>
      <c r="W429" s="5">
        <v>4041.47</v>
      </c>
      <c r="X429" s="5">
        <v>1</v>
      </c>
      <c r="Y429" s="5">
        <v>4041.47</v>
      </c>
      <c r="Z429" s="5">
        <v>46261.52</v>
      </c>
      <c r="AA429" s="5">
        <v>1</v>
      </c>
      <c r="AB429" s="5">
        <v>46261.52</v>
      </c>
    </row>
    <row r="430" spans="1:206" x14ac:dyDescent="0.2">
      <c r="A430" s="5">
        <v>50</v>
      </c>
      <c r="B430" s="5">
        <v>0</v>
      </c>
      <c r="C430" s="5">
        <v>0</v>
      </c>
      <c r="D430" s="5">
        <v>1</v>
      </c>
      <c r="E430" s="5">
        <v>226</v>
      </c>
      <c r="F430" s="5">
        <f>ROUND(Source!AW424,O430)</f>
        <v>4041.47</v>
      </c>
      <c r="G430" s="5" t="s">
        <v>111</v>
      </c>
      <c r="H430" s="5" t="s">
        <v>112</v>
      </c>
      <c r="I430" s="5"/>
      <c r="J430" s="5"/>
      <c r="K430" s="5">
        <v>226</v>
      </c>
      <c r="L430" s="5">
        <v>5</v>
      </c>
      <c r="M430" s="5">
        <v>3</v>
      </c>
      <c r="N430" s="5" t="s">
        <v>3</v>
      </c>
      <c r="O430" s="5">
        <v>2</v>
      </c>
      <c r="P430" s="5">
        <f>ROUND(Source!EO424,O430)</f>
        <v>46261.52</v>
      </c>
      <c r="Q430" s="5"/>
      <c r="R430" s="5"/>
      <c r="S430" s="5"/>
      <c r="T430" s="5"/>
      <c r="U430" s="5"/>
      <c r="V430" s="5"/>
      <c r="W430" s="5">
        <v>4041.47</v>
      </c>
      <c r="X430" s="5">
        <v>1</v>
      </c>
      <c r="Y430" s="5">
        <v>4041.47</v>
      </c>
      <c r="Z430" s="5">
        <v>46261.52</v>
      </c>
      <c r="AA430" s="5">
        <v>1</v>
      </c>
      <c r="AB430" s="5">
        <v>46261.52</v>
      </c>
    </row>
    <row r="431" spans="1:206" x14ac:dyDescent="0.2">
      <c r="A431" s="5">
        <v>50</v>
      </c>
      <c r="B431" s="5">
        <v>0</v>
      </c>
      <c r="C431" s="5">
        <v>0</v>
      </c>
      <c r="D431" s="5">
        <v>1</v>
      </c>
      <c r="E431" s="5">
        <v>227</v>
      </c>
      <c r="F431" s="5">
        <f>ROUND(Source!AX424,O431)</f>
        <v>0</v>
      </c>
      <c r="G431" s="5" t="s">
        <v>113</v>
      </c>
      <c r="H431" s="5" t="s">
        <v>114</v>
      </c>
      <c r="I431" s="5"/>
      <c r="J431" s="5"/>
      <c r="K431" s="5">
        <v>227</v>
      </c>
      <c r="L431" s="5">
        <v>6</v>
      </c>
      <c r="M431" s="5">
        <v>3</v>
      </c>
      <c r="N431" s="5" t="s">
        <v>3</v>
      </c>
      <c r="O431" s="5">
        <v>2</v>
      </c>
      <c r="P431" s="5">
        <f>ROUND(Source!EP424,O431)</f>
        <v>0</v>
      </c>
      <c r="Q431" s="5"/>
      <c r="R431" s="5"/>
      <c r="S431" s="5"/>
      <c r="T431" s="5"/>
      <c r="U431" s="5"/>
      <c r="V431" s="5"/>
      <c r="W431" s="5">
        <v>0</v>
      </c>
      <c r="X431" s="5">
        <v>1</v>
      </c>
      <c r="Y431" s="5">
        <v>0</v>
      </c>
      <c r="Z431" s="5">
        <v>0</v>
      </c>
      <c r="AA431" s="5">
        <v>1</v>
      </c>
      <c r="AB431" s="5">
        <v>0</v>
      </c>
    </row>
    <row r="432" spans="1:206" x14ac:dyDescent="0.2">
      <c r="A432" s="5">
        <v>50</v>
      </c>
      <c r="B432" s="5">
        <v>0</v>
      </c>
      <c r="C432" s="5">
        <v>0</v>
      </c>
      <c r="D432" s="5">
        <v>1</v>
      </c>
      <c r="E432" s="5">
        <v>228</v>
      </c>
      <c r="F432" s="5">
        <f>ROUND(Source!AY424,O432)</f>
        <v>4041.47</v>
      </c>
      <c r="G432" s="5" t="s">
        <v>115</v>
      </c>
      <c r="H432" s="5" t="s">
        <v>116</v>
      </c>
      <c r="I432" s="5"/>
      <c r="J432" s="5"/>
      <c r="K432" s="5">
        <v>228</v>
      </c>
      <c r="L432" s="5">
        <v>7</v>
      </c>
      <c r="M432" s="5">
        <v>3</v>
      </c>
      <c r="N432" s="5" t="s">
        <v>3</v>
      </c>
      <c r="O432" s="5">
        <v>2</v>
      </c>
      <c r="P432" s="5">
        <f>ROUND(Source!EQ424,O432)</f>
        <v>46261.52</v>
      </c>
      <c r="Q432" s="5"/>
      <c r="R432" s="5"/>
      <c r="S432" s="5"/>
      <c r="T432" s="5"/>
      <c r="U432" s="5"/>
      <c r="V432" s="5"/>
      <c r="W432" s="5">
        <v>4041.47</v>
      </c>
      <c r="X432" s="5">
        <v>1</v>
      </c>
      <c r="Y432" s="5">
        <v>4041.47</v>
      </c>
      <c r="Z432" s="5">
        <v>46261.52</v>
      </c>
      <c r="AA432" s="5">
        <v>1</v>
      </c>
      <c r="AB432" s="5">
        <v>46261.52</v>
      </c>
    </row>
    <row r="433" spans="1:28" x14ac:dyDescent="0.2">
      <c r="A433" s="5">
        <v>50</v>
      </c>
      <c r="B433" s="5">
        <v>0</v>
      </c>
      <c r="C433" s="5">
        <v>0</v>
      </c>
      <c r="D433" s="5">
        <v>1</v>
      </c>
      <c r="E433" s="5">
        <v>216</v>
      </c>
      <c r="F433" s="5">
        <f>ROUND(Source!AP424,O433)</f>
        <v>0</v>
      </c>
      <c r="G433" s="5" t="s">
        <v>117</v>
      </c>
      <c r="H433" s="5" t="s">
        <v>118</v>
      </c>
      <c r="I433" s="5"/>
      <c r="J433" s="5"/>
      <c r="K433" s="5">
        <v>216</v>
      </c>
      <c r="L433" s="5">
        <v>8</v>
      </c>
      <c r="M433" s="5">
        <v>3</v>
      </c>
      <c r="N433" s="5" t="s">
        <v>3</v>
      </c>
      <c r="O433" s="5">
        <v>2</v>
      </c>
      <c r="P433" s="5">
        <f>ROUND(Source!EH424,O433)</f>
        <v>0</v>
      </c>
      <c r="Q433" s="5"/>
      <c r="R433" s="5"/>
      <c r="S433" s="5"/>
      <c r="T433" s="5"/>
      <c r="U433" s="5"/>
      <c r="V433" s="5"/>
      <c r="W433" s="5">
        <v>0</v>
      </c>
      <c r="X433" s="5">
        <v>1</v>
      </c>
      <c r="Y433" s="5">
        <v>0</v>
      </c>
      <c r="Z433" s="5">
        <v>0</v>
      </c>
      <c r="AA433" s="5">
        <v>1</v>
      </c>
      <c r="AB433" s="5">
        <v>0</v>
      </c>
    </row>
    <row r="434" spans="1:28" x14ac:dyDescent="0.2">
      <c r="A434" s="5">
        <v>50</v>
      </c>
      <c r="B434" s="5">
        <v>0</v>
      </c>
      <c r="C434" s="5">
        <v>0</v>
      </c>
      <c r="D434" s="5">
        <v>1</v>
      </c>
      <c r="E434" s="5">
        <v>223</v>
      </c>
      <c r="F434" s="5">
        <f>ROUND(Source!AQ424,O434)</f>
        <v>0</v>
      </c>
      <c r="G434" s="5" t="s">
        <v>119</v>
      </c>
      <c r="H434" s="5" t="s">
        <v>120</v>
      </c>
      <c r="I434" s="5"/>
      <c r="J434" s="5"/>
      <c r="K434" s="5">
        <v>223</v>
      </c>
      <c r="L434" s="5">
        <v>9</v>
      </c>
      <c r="M434" s="5">
        <v>3</v>
      </c>
      <c r="N434" s="5" t="s">
        <v>3</v>
      </c>
      <c r="O434" s="5">
        <v>2</v>
      </c>
      <c r="P434" s="5">
        <f>ROUND(Source!EI424,O434)</f>
        <v>0</v>
      </c>
      <c r="Q434" s="5"/>
      <c r="R434" s="5"/>
      <c r="S434" s="5"/>
      <c r="T434" s="5"/>
      <c r="U434" s="5"/>
      <c r="V434" s="5"/>
      <c r="W434" s="5">
        <v>0</v>
      </c>
      <c r="X434" s="5">
        <v>1</v>
      </c>
      <c r="Y434" s="5">
        <v>0</v>
      </c>
      <c r="Z434" s="5">
        <v>0</v>
      </c>
      <c r="AA434" s="5">
        <v>1</v>
      </c>
      <c r="AB434" s="5">
        <v>0</v>
      </c>
    </row>
    <row r="435" spans="1:28" x14ac:dyDescent="0.2">
      <c r="A435" s="5">
        <v>50</v>
      </c>
      <c r="B435" s="5">
        <v>0</v>
      </c>
      <c r="C435" s="5">
        <v>0</v>
      </c>
      <c r="D435" s="5">
        <v>1</v>
      </c>
      <c r="E435" s="5">
        <v>229</v>
      </c>
      <c r="F435" s="5">
        <f>ROUND(Source!AZ424,O435)</f>
        <v>0</v>
      </c>
      <c r="G435" s="5" t="s">
        <v>121</v>
      </c>
      <c r="H435" s="5" t="s">
        <v>122</v>
      </c>
      <c r="I435" s="5"/>
      <c r="J435" s="5"/>
      <c r="K435" s="5">
        <v>229</v>
      </c>
      <c r="L435" s="5">
        <v>10</v>
      </c>
      <c r="M435" s="5">
        <v>3</v>
      </c>
      <c r="N435" s="5" t="s">
        <v>3</v>
      </c>
      <c r="O435" s="5">
        <v>2</v>
      </c>
      <c r="P435" s="5">
        <f>ROUND(Source!ER424,O435)</f>
        <v>0</v>
      </c>
      <c r="Q435" s="5"/>
      <c r="R435" s="5"/>
      <c r="S435" s="5"/>
      <c r="T435" s="5"/>
      <c r="U435" s="5"/>
      <c r="V435" s="5"/>
      <c r="W435" s="5">
        <v>0</v>
      </c>
      <c r="X435" s="5">
        <v>1</v>
      </c>
      <c r="Y435" s="5">
        <v>0</v>
      </c>
      <c r="Z435" s="5">
        <v>0</v>
      </c>
      <c r="AA435" s="5">
        <v>1</v>
      </c>
      <c r="AB435" s="5">
        <v>0</v>
      </c>
    </row>
    <row r="436" spans="1:28" x14ac:dyDescent="0.2">
      <c r="A436" s="5">
        <v>50</v>
      </c>
      <c r="B436" s="5">
        <v>0</v>
      </c>
      <c r="C436" s="5">
        <v>0</v>
      </c>
      <c r="D436" s="5">
        <v>1</v>
      </c>
      <c r="E436" s="5">
        <v>203</v>
      </c>
      <c r="F436" s="5">
        <f>ROUND(Source!Q424,O436)</f>
        <v>542.92999999999995</v>
      </c>
      <c r="G436" s="5" t="s">
        <v>123</v>
      </c>
      <c r="H436" s="5" t="s">
        <v>124</v>
      </c>
      <c r="I436" s="5"/>
      <c r="J436" s="5"/>
      <c r="K436" s="5">
        <v>203</v>
      </c>
      <c r="L436" s="5">
        <v>11</v>
      </c>
      <c r="M436" s="5">
        <v>3</v>
      </c>
      <c r="N436" s="5" t="s">
        <v>3</v>
      </c>
      <c r="O436" s="5">
        <v>2</v>
      </c>
      <c r="P436" s="5">
        <f>ROUND(Source!DI424,O436)</f>
        <v>6807.3</v>
      </c>
      <c r="Q436" s="5"/>
      <c r="R436" s="5"/>
      <c r="S436" s="5"/>
      <c r="T436" s="5"/>
      <c r="U436" s="5"/>
      <c r="V436" s="5"/>
      <c r="W436" s="5">
        <v>542.92999999999995</v>
      </c>
      <c r="X436" s="5">
        <v>1</v>
      </c>
      <c r="Y436" s="5">
        <v>542.92999999999995</v>
      </c>
      <c r="Z436" s="5">
        <v>6807.3</v>
      </c>
      <c r="AA436" s="5">
        <v>1</v>
      </c>
      <c r="AB436" s="5">
        <v>6807.3</v>
      </c>
    </row>
    <row r="437" spans="1:28" x14ac:dyDescent="0.2">
      <c r="A437" s="5">
        <v>50</v>
      </c>
      <c r="B437" s="5">
        <v>0</v>
      </c>
      <c r="C437" s="5">
        <v>0</v>
      </c>
      <c r="D437" s="5">
        <v>1</v>
      </c>
      <c r="E437" s="5">
        <v>231</v>
      </c>
      <c r="F437" s="5">
        <f>ROUND(Source!BB424,O437)</f>
        <v>0</v>
      </c>
      <c r="G437" s="5" t="s">
        <v>125</v>
      </c>
      <c r="H437" s="5" t="s">
        <v>126</v>
      </c>
      <c r="I437" s="5"/>
      <c r="J437" s="5"/>
      <c r="K437" s="5">
        <v>231</v>
      </c>
      <c r="L437" s="5">
        <v>12</v>
      </c>
      <c r="M437" s="5">
        <v>3</v>
      </c>
      <c r="N437" s="5" t="s">
        <v>3</v>
      </c>
      <c r="O437" s="5">
        <v>2</v>
      </c>
      <c r="P437" s="5">
        <f>ROUND(Source!ET424,O437)</f>
        <v>0</v>
      </c>
      <c r="Q437" s="5"/>
      <c r="R437" s="5"/>
      <c r="S437" s="5"/>
      <c r="T437" s="5"/>
      <c r="U437" s="5"/>
      <c r="V437" s="5"/>
      <c r="W437" s="5">
        <v>0</v>
      </c>
      <c r="X437" s="5">
        <v>1</v>
      </c>
      <c r="Y437" s="5">
        <v>0</v>
      </c>
      <c r="Z437" s="5">
        <v>0</v>
      </c>
      <c r="AA437" s="5">
        <v>1</v>
      </c>
      <c r="AB437" s="5">
        <v>0</v>
      </c>
    </row>
    <row r="438" spans="1:28" x14ac:dyDescent="0.2">
      <c r="A438" s="5">
        <v>50</v>
      </c>
      <c r="B438" s="5">
        <v>0</v>
      </c>
      <c r="C438" s="5">
        <v>0</v>
      </c>
      <c r="D438" s="5">
        <v>1</v>
      </c>
      <c r="E438" s="5">
        <v>204</v>
      </c>
      <c r="F438" s="5">
        <f>ROUND(Source!R424,O438)</f>
        <v>62.03</v>
      </c>
      <c r="G438" s="5" t="s">
        <v>127</v>
      </c>
      <c r="H438" s="5" t="s">
        <v>128</v>
      </c>
      <c r="I438" s="5"/>
      <c r="J438" s="5"/>
      <c r="K438" s="5">
        <v>204</v>
      </c>
      <c r="L438" s="5">
        <v>13</v>
      </c>
      <c r="M438" s="5">
        <v>3</v>
      </c>
      <c r="N438" s="5" t="s">
        <v>3</v>
      </c>
      <c r="O438" s="5">
        <v>2</v>
      </c>
      <c r="P438" s="5">
        <f>ROUND(Source!DJ424,O438)</f>
        <v>2140.66</v>
      </c>
      <c r="Q438" s="5"/>
      <c r="R438" s="5"/>
      <c r="S438" s="5"/>
      <c r="T438" s="5"/>
      <c r="U438" s="5"/>
      <c r="V438" s="5"/>
      <c r="W438" s="5">
        <v>62.03</v>
      </c>
      <c r="X438" s="5">
        <v>1</v>
      </c>
      <c r="Y438" s="5">
        <v>62.03</v>
      </c>
      <c r="Z438" s="5">
        <v>2140.66</v>
      </c>
      <c r="AA438" s="5">
        <v>1</v>
      </c>
      <c r="AB438" s="5">
        <v>2140.66</v>
      </c>
    </row>
    <row r="439" spans="1:28" x14ac:dyDescent="0.2">
      <c r="A439" s="5">
        <v>50</v>
      </c>
      <c r="B439" s="5">
        <v>0</v>
      </c>
      <c r="C439" s="5">
        <v>0</v>
      </c>
      <c r="D439" s="5">
        <v>1</v>
      </c>
      <c r="E439" s="5">
        <v>205</v>
      </c>
      <c r="F439" s="5">
        <f>ROUND(Source!S424,O439)</f>
        <v>309.43</v>
      </c>
      <c r="G439" s="5" t="s">
        <v>129</v>
      </c>
      <c r="H439" s="5" t="s">
        <v>130</v>
      </c>
      <c r="I439" s="5"/>
      <c r="J439" s="5"/>
      <c r="K439" s="5">
        <v>205</v>
      </c>
      <c r="L439" s="5">
        <v>14</v>
      </c>
      <c r="M439" s="5">
        <v>3</v>
      </c>
      <c r="N439" s="5" t="s">
        <v>3</v>
      </c>
      <c r="O439" s="5">
        <v>2</v>
      </c>
      <c r="P439" s="5">
        <f>ROUND(Source!DK424,O439)</f>
        <v>10678.43</v>
      </c>
      <c r="Q439" s="5"/>
      <c r="R439" s="5"/>
      <c r="S439" s="5"/>
      <c r="T439" s="5"/>
      <c r="U439" s="5"/>
      <c r="V439" s="5"/>
      <c r="W439" s="5">
        <v>309.43</v>
      </c>
      <c r="X439" s="5">
        <v>1</v>
      </c>
      <c r="Y439" s="5">
        <v>309.43</v>
      </c>
      <c r="Z439" s="5">
        <v>10678.43</v>
      </c>
      <c r="AA439" s="5">
        <v>1</v>
      </c>
      <c r="AB439" s="5">
        <v>10678.43</v>
      </c>
    </row>
    <row r="440" spans="1:28" x14ac:dyDescent="0.2">
      <c r="A440" s="5">
        <v>50</v>
      </c>
      <c r="B440" s="5">
        <v>0</v>
      </c>
      <c r="C440" s="5">
        <v>0</v>
      </c>
      <c r="D440" s="5">
        <v>1</v>
      </c>
      <c r="E440" s="5">
        <v>232</v>
      </c>
      <c r="F440" s="5">
        <f>ROUND(Source!BC424,O440)</f>
        <v>0</v>
      </c>
      <c r="G440" s="5" t="s">
        <v>131</v>
      </c>
      <c r="H440" s="5" t="s">
        <v>132</v>
      </c>
      <c r="I440" s="5"/>
      <c r="J440" s="5"/>
      <c r="K440" s="5">
        <v>232</v>
      </c>
      <c r="L440" s="5">
        <v>15</v>
      </c>
      <c r="M440" s="5">
        <v>3</v>
      </c>
      <c r="N440" s="5" t="s">
        <v>3</v>
      </c>
      <c r="O440" s="5">
        <v>2</v>
      </c>
      <c r="P440" s="5">
        <f>ROUND(Source!EU424,O440)</f>
        <v>0</v>
      </c>
      <c r="Q440" s="5"/>
      <c r="R440" s="5"/>
      <c r="S440" s="5"/>
      <c r="T440" s="5"/>
      <c r="U440" s="5"/>
      <c r="V440" s="5"/>
      <c r="W440" s="5">
        <v>0</v>
      </c>
      <c r="X440" s="5">
        <v>1</v>
      </c>
      <c r="Y440" s="5">
        <v>0</v>
      </c>
      <c r="Z440" s="5">
        <v>0</v>
      </c>
      <c r="AA440" s="5">
        <v>1</v>
      </c>
      <c r="AB440" s="5">
        <v>0</v>
      </c>
    </row>
    <row r="441" spans="1:28" x14ac:dyDescent="0.2">
      <c r="A441" s="5">
        <v>50</v>
      </c>
      <c r="B441" s="5">
        <v>0</v>
      </c>
      <c r="C441" s="5">
        <v>0</v>
      </c>
      <c r="D441" s="5">
        <v>1</v>
      </c>
      <c r="E441" s="5">
        <v>214</v>
      </c>
      <c r="F441" s="5">
        <f>ROUND(Source!AS424,O441)</f>
        <v>5795.26</v>
      </c>
      <c r="G441" s="5" t="s">
        <v>133</v>
      </c>
      <c r="H441" s="5" t="s">
        <v>134</v>
      </c>
      <c r="I441" s="5"/>
      <c r="J441" s="5"/>
      <c r="K441" s="5">
        <v>214</v>
      </c>
      <c r="L441" s="5">
        <v>16</v>
      </c>
      <c r="M441" s="5">
        <v>3</v>
      </c>
      <c r="N441" s="5" t="s">
        <v>3</v>
      </c>
      <c r="O441" s="5">
        <v>2</v>
      </c>
      <c r="P441" s="5">
        <f>ROUND(Source!EK424,O441)</f>
        <v>83578.5</v>
      </c>
      <c r="Q441" s="5"/>
      <c r="R441" s="5"/>
      <c r="S441" s="5"/>
      <c r="T441" s="5"/>
      <c r="U441" s="5"/>
      <c r="V441" s="5"/>
      <c r="W441" s="5">
        <v>5795.26</v>
      </c>
      <c r="X441" s="5">
        <v>1</v>
      </c>
      <c r="Y441" s="5">
        <v>5795.26</v>
      </c>
      <c r="Z441" s="5">
        <v>83578.5</v>
      </c>
      <c r="AA441" s="5">
        <v>1</v>
      </c>
      <c r="AB441" s="5">
        <v>83578.5</v>
      </c>
    </row>
    <row r="442" spans="1:28" x14ac:dyDescent="0.2">
      <c r="A442" s="5">
        <v>50</v>
      </c>
      <c r="B442" s="5">
        <v>0</v>
      </c>
      <c r="C442" s="5">
        <v>0</v>
      </c>
      <c r="D442" s="5">
        <v>1</v>
      </c>
      <c r="E442" s="5">
        <v>215</v>
      </c>
      <c r="F442" s="5">
        <f>ROUND(Source!AT424,O442)</f>
        <v>0</v>
      </c>
      <c r="G442" s="5" t="s">
        <v>135</v>
      </c>
      <c r="H442" s="5" t="s">
        <v>136</v>
      </c>
      <c r="I442" s="5"/>
      <c r="J442" s="5"/>
      <c r="K442" s="5">
        <v>215</v>
      </c>
      <c r="L442" s="5">
        <v>17</v>
      </c>
      <c r="M442" s="5">
        <v>3</v>
      </c>
      <c r="N442" s="5" t="s">
        <v>3</v>
      </c>
      <c r="O442" s="5">
        <v>2</v>
      </c>
      <c r="P442" s="5">
        <f>ROUND(Source!EL424,O442)</f>
        <v>0</v>
      </c>
      <c r="Q442" s="5"/>
      <c r="R442" s="5"/>
      <c r="S442" s="5"/>
      <c r="T442" s="5"/>
      <c r="U442" s="5"/>
      <c r="V442" s="5"/>
      <c r="W442" s="5">
        <v>0</v>
      </c>
      <c r="X442" s="5">
        <v>1</v>
      </c>
      <c r="Y442" s="5">
        <v>0</v>
      </c>
      <c r="Z442" s="5">
        <v>0</v>
      </c>
      <c r="AA442" s="5">
        <v>1</v>
      </c>
      <c r="AB442" s="5">
        <v>0</v>
      </c>
    </row>
    <row r="443" spans="1:28" x14ac:dyDescent="0.2">
      <c r="A443" s="5">
        <v>50</v>
      </c>
      <c r="B443" s="5">
        <v>0</v>
      </c>
      <c r="C443" s="5">
        <v>0</v>
      </c>
      <c r="D443" s="5">
        <v>1</v>
      </c>
      <c r="E443" s="5">
        <v>217</v>
      </c>
      <c r="F443" s="5">
        <f>ROUND(Source!AU424,O443)</f>
        <v>0</v>
      </c>
      <c r="G443" s="5" t="s">
        <v>137</v>
      </c>
      <c r="H443" s="5" t="s">
        <v>138</v>
      </c>
      <c r="I443" s="5"/>
      <c r="J443" s="5"/>
      <c r="K443" s="5">
        <v>217</v>
      </c>
      <c r="L443" s="5">
        <v>18</v>
      </c>
      <c r="M443" s="5">
        <v>3</v>
      </c>
      <c r="N443" s="5" t="s">
        <v>3</v>
      </c>
      <c r="O443" s="5">
        <v>2</v>
      </c>
      <c r="P443" s="5">
        <f>ROUND(Source!EM424,O443)</f>
        <v>0</v>
      </c>
      <c r="Q443" s="5"/>
      <c r="R443" s="5"/>
      <c r="S443" s="5"/>
      <c r="T443" s="5"/>
      <c r="U443" s="5"/>
      <c r="V443" s="5"/>
      <c r="W443" s="5">
        <v>0</v>
      </c>
      <c r="X443" s="5">
        <v>1</v>
      </c>
      <c r="Y443" s="5">
        <v>0</v>
      </c>
      <c r="Z443" s="5">
        <v>0</v>
      </c>
      <c r="AA443" s="5">
        <v>1</v>
      </c>
      <c r="AB443" s="5">
        <v>0</v>
      </c>
    </row>
    <row r="444" spans="1:28" x14ac:dyDescent="0.2">
      <c r="A444" s="5">
        <v>50</v>
      </c>
      <c r="B444" s="5">
        <v>0</v>
      </c>
      <c r="C444" s="5">
        <v>0</v>
      </c>
      <c r="D444" s="5">
        <v>1</v>
      </c>
      <c r="E444" s="5">
        <v>230</v>
      </c>
      <c r="F444" s="5">
        <f>ROUND(Source!BA424,O444)</f>
        <v>0</v>
      </c>
      <c r="G444" s="5" t="s">
        <v>139</v>
      </c>
      <c r="H444" s="5" t="s">
        <v>140</v>
      </c>
      <c r="I444" s="5"/>
      <c r="J444" s="5"/>
      <c r="K444" s="5">
        <v>230</v>
      </c>
      <c r="L444" s="5">
        <v>19</v>
      </c>
      <c r="M444" s="5">
        <v>3</v>
      </c>
      <c r="N444" s="5" t="s">
        <v>3</v>
      </c>
      <c r="O444" s="5">
        <v>2</v>
      </c>
      <c r="P444" s="5">
        <f>ROUND(Source!ES424,O444)</f>
        <v>0</v>
      </c>
      <c r="Q444" s="5"/>
      <c r="R444" s="5"/>
      <c r="S444" s="5"/>
      <c r="T444" s="5"/>
      <c r="U444" s="5"/>
      <c r="V444" s="5"/>
      <c r="W444" s="5">
        <v>0</v>
      </c>
      <c r="X444" s="5">
        <v>1</v>
      </c>
      <c r="Y444" s="5">
        <v>0</v>
      </c>
      <c r="Z444" s="5">
        <v>0</v>
      </c>
      <c r="AA444" s="5">
        <v>1</v>
      </c>
      <c r="AB444" s="5">
        <v>0</v>
      </c>
    </row>
    <row r="445" spans="1:28" x14ac:dyDescent="0.2">
      <c r="A445" s="5">
        <v>50</v>
      </c>
      <c r="B445" s="5">
        <v>0</v>
      </c>
      <c r="C445" s="5">
        <v>0</v>
      </c>
      <c r="D445" s="5">
        <v>1</v>
      </c>
      <c r="E445" s="5">
        <v>206</v>
      </c>
      <c r="F445" s="5">
        <f>ROUND(Source!T424,O445)</f>
        <v>0</v>
      </c>
      <c r="G445" s="5" t="s">
        <v>141</v>
      </c>
      <c r="H445" s="5" t="s">
        <v>142</v>
      </c>
      <c r="I445" s="5"/>
      <c r="J445" s="5"/>
      <c r="K445" s="5">
        <v>206</v>
      </c>
      <c r="L445" s="5">
        <v>20</v>
      </c>
      <c r="M445" s="5">
        <v>3</v>
      </c>
      <c r="N445" s="5" t="s">
        <v>3</v>
      </c>
      <c r="O445" s="5">
        <v>2</v>
      </c>
      <c r="P445" s="5">
        <f>ROUND(Source!DL424,O445)</f>
        <v>0</v>
      </c>
      <c r="Q445" s="5"/>
      <c r="R445" s="5"/>
      <c r="S445" s="5"/>
      <c r="T445" s="5"/>
      <c r="U445" s="5"/>
      <c r="V445" s="5"/>
      <c r="W445" s="5">
        <v>0</v>
      </c>
      <c r="X445" s="5">
        <v>1</v>
      </c>
      <c r="Y445" s="5">
        <v>0</v>
      </c>
      <c r="Z445" s="5">
        <v>0</v>
      </c>
      <c r="AA445" s="5">
        <v>1</v>
      </c>
      <c r="AB445" s="5">
        <v>0</v>
      </c>
    </row>
    <row r="446" spans="1:28" x14ac:dyDescent="0.2">
      <c r="A446" s="5">
        <v>50</v>
      </c>
      <c r="B446" s="5">
        <v>0</v>
      </c>
      <c r="C446" s="5">
        <v>0</v>
      </c>
      <c r="D446" s="5">
        <v>1</v>
      </c>
      <c r="E446" s="5">
        <v>207</v>
      </c>
      <c r="F446" s="5">
        <f>Source!U424</f>
        <v>28.376860692600001</v>
      </c>
      <c r="G446" s="5" t="s">
        <v>143</v>
      </c>
      <c r="H446" s="5" t="s">
        <v>144</v>
      </c>
      <c r="I446" s="5"/>
      <c r="J446" s="5"/>
      <c r="K446" s="5">
        <v>207</v>
      </c>
      <c r="L446" s="5">
        <v>21</v>
      </c>
      <c r="M446" s="5">
        <v>3</v>
      </c>
      <c r="N446" s="5" t="s">
        <v>3</v>
      </c>
      <c r="O446" s="5">
        <v>-1</v>
      </c>
      <c r="P446" s="5">
        <f>Source!DM424</f>
        <v>28.376860692600001</v>
      </c>
      <c r="Q446" s="5"/>
      <c r="R446" s="5"/>
      <c r="S446" s="5"/>
      <c r="T446" s="5"/>
      <c r="U446" s="5"/>
      <c r="V446" s="5"/>
      <c r="W446" s="5">
        <v>28.376860692599998</v>
      </c>
      <c r="X446" s="5">
        <v>1</v>
      </c>
      <c r="Y446" s="5">
        <v>28.376860692599998</v>
      </c>
      <c r="Z446" s="5">
        <v>28.376860692599998</v>
      </c>
      <c r="AA446" s="5">
        <v>1</v>
      </c>
      <c r="AB446" s="5">
        <v>28.376860692599998</v>
      </c>
    </row>
    <row r="447" spans="1:28" x14ac:dyDescent="0.2">
      <c r="A447" s="5">
        <v>50</v>
      </c>
      <c r="B447" s="5">
        <v>0</v>
      </c>
      <c r="C447" s="5">
        <v>0</v>
      </c>
      <c r="D447" s="5">
        <v>1</v>
      </c>
      <c r="E447" s="5">
        <v>208</v>
      </c>
      <c r="F447" s="5">
        <f>Source!V424</f>
        <v>0</v>
      </c>
      <c r="G447" s="5" t="s">
        <v>145</v>
      </c>
      <c r="H447" s="5" t="s">
        <v>146</v>
      </c>
      <c r="I447" s="5"/>
      <c r="J447" s="5"/>
      <c r="K447" s="5">
        <v>208</v>
      </c>
      <c r="L447" s="5">
        <v>22</v>
      </c>
      <c r="M447" s="5">
        <v>3</v>
      </c>
      <c r="N447" s="5" t="s">
        <v>3</v>
      </c>
      <c r="O447" s="5">
        <v>-1</v>
      </c>
      <c r="P447" s="5">
        <f>Source!DN424</f>
        <v>0</v>
      </c>
      <c r="Q447" s="5"/>
      <c r="R447" s="5"/>
      <c r="S447" s="5"/>
      <c r="T447" s="5"/>
      <c r="U447" s="5"/>
      <c r="V447" s="5"/>
      <c r="W447" s="5">
        <v>0</v>
      </c>
      <c r="X447" s="5">
        <v>1</v>
      </c>
      <c r="Y447" s="5">
        <v>0</v>
      </c>
      <c r="Z447" s="5">
        <v>0</v>
      </c>
      <c r="AA447" s="5">
        <v>1</v>
      </c>
      <c r="AB447" s="5">
        <v>0</v>
      </c>
    </row>
    <row r="448" spans="1:28" x14ac:dyDescent="0.2">
      <c r="A448" s="5">
        <v>50</v>
      </c>
      <c r="B448" s="5">
        <v>0</v>
      </c>
      <c r="C448" s="5">
        <v>0</v>
      </c>
      <c r="D448" s="5">
        <v>1</v>
      </c>
      <c r="E448" s="5">
        <v>209</v>
      </c>
      <c r="F448" s="5">
        <f>ROUND(Source!W424,O448)</f>
        <v>0</v>
      </c>
      <c r="G448" s="5" t="s">
        <v>147</v>
      </c>
      <c r="H448" s="5" t="s">
        <v>148</v>
      </c>
      <c r="I448" s="5"/>
      <c r="J448" s="5"/>
      <c r="K448" s="5">
        <v>209</v>
      </c>
      <c r="L448" s="5">
        <v>23</v>
      </c>
      <c r="M448" s="5">
        <v>3</v>
      </c>
      <c r="N448" s="5" t="s">
        <v>3</v>
      </c>
      <c r="O448" s="5">
        <v>2</v>
      </c>
      <c r="P448" s="5">
        <f>ROUND(Source!DO424,O448)</f>
        <v>0</v>
      </c>
      <c r="Q448" s="5"/>
      <c r="R448" s="5"/>
      <c r="S448" s="5"/>
      <c r="T448" s="5"/>
      <c r="U448" s="5"/>
      <c r="V448" s="5"/>
      <c r="W448" s="5">
        <v>0</v>
      </c>
      <c r="X448" s="5">
        <v>1</v>
      </c>
      <c r="Y448" s="5">
        <v>0</v>
      </c>
      <c r="Z448" s="5">
        <v>0</v>
      </c>
      <c r="AA448" s="5">
        <v>1</v>
      </c>
      <c r="AB448" s="5">
        <v>0</v>
      </c>
    </row>
    <row r="449" spans="1:206" x14ac:dyDescent="0.2">
      <c r="A449" s="5">
        <v>50</v>
      </c>
      <c r="B449" s="5">
        <v>0</v>
      </c>
      <c r="C449" s="5">
        <v>0</v>
      </c>
      <c r="D449" s="5">
        <v>1</v>
      </c>
      <c r="E449" s="5">
        <v>233</v>
      </c>
      <c r="F449" s="5">
        <f>ROUND(Source!BD424,O449)</f>
        <v>0</v>
      </c>
      <c r="G449" s="5" t="s">
        <v>149</v>
      </c>
      <c r="H449" s="5" t="s">
        <v>150</v>
      </c>
      <c r="I449" s="5"/>
      <c r="J449" s="5"/>
      <c r="K449" s="5">
        <v>233</v>
      </c>
      <c r="L449" s="5">
        <v>24</v>
      </c>
      <c r="M449" s="5">
        <v>3</v>
      </c>
      <c r="N449" s="5" t="s">
        <v>3</v>
      </c>
      <c r="O449" s="5">
        <v>2</v>
      </c>
      <c r="P449" s="5">
        <f>ROUND(Source!EV424,O449)</f>
        <v>0</v>
      </c>
      <c r="Q449" s="5"/>
      <c r="R449" s="5"/>
      <c r="S449" s="5"/>
      <c r="T449" s="5"/>
      <c r="U449" s="5"/>
      <c r="V449" s="5"/>
      <c r="W449" s="5">
        <v>0</v>
      </c>
      <c r="X449" s="5">
        <v>1</v>
      </c>
      <c r="Y449" s="5">
        <v>0</v>
      </c>
      <c r="Z449" s="5">
        <v>0</v>
      </c>
      <c r="AA449" s="5">
        <v>1</v>
      </c>
      <c r="AB449" s="5">
        <v>0</v>
      </c>
    </row>
    <row r="450" spans="1:206" x14ac:dyDescent="0.2">
      <c r="A450" s="5">
        <v>50</v>
      </c>
      <c r="B450" s="5">
        <v>0</v>
      </c>
      <c r="C450" s="5">
        <v>0</v>
      </c>
      <c r="D450" s="5">
        <v>1</v>
      </c>
      <c r="E450" s="5">
        <v>210</v>
      </c>
      <c r="F450" s="5">
        <f>ROUND(Source!X424,O450)</f>
        <v>501.51</v>
      </c>
      <c r="G450" s="5" t="s">
        <v>151</v>
      </c>
      <c r="H450" s="5" t="s">
        <v>152</v>
      </c>
      <c r="I450" s="5"/>
      <c r="J450" s="5"/>
      <c r="K450" s="5">
        <v>210</v>
      </c>
      <c r="L450" s="5">
        <v>25</v>
      </c>
      <c r="M450" s="5">
        <v>3</v>
      </c>
      <c r="N450" s="5" t="s">
        <v>3</v>
      </c>
      <c r="O450" s="5">
        <v>2</v>
      </c>
      <c r="P450" s="5">
        <f>ROUND(Source!DP424,O450)</f>
        <v>11245.12</v>
      </c>
      <c r="Q450" s="5"/>
      <c r="R450" s="5"/>
      <c r="S450" s="5"/>
      <c r="T450" s="5"/>
      <c r="U450" s="5"/>
      <c r="V450" s="5"/>
      <c r="W450" s="5">
        <v>501.51</v>
      </c>
      <c r="X450" s="5">
        <v>1</v>
      </c>
      <c r="Y450" s="5">
        <v>501.51</v>
      </c>
      <c r="Z450" s="5">
        <v>11245.12</v>
      </c>
      <c r="AA450" s="5">
        <v>1</v>
      </c>
      <c r="AB450" s="5">
        <v>11245.12</v>
      </c>
    </row>
    <row r="451" spans="1:206" x14ac:dyDescent="0.2">
      <c r="A451" s="5">
        <v>50</v>
      </c>
      <c r="B451" s="5">
        <v>0</v>
      </c>
      <c r="C451" s="5">
        <v>0</v>
      </c>
      <c r="D451" s="5">
        <v>1</v>
      </c>
      <c r="E451" s="5">
        <v>211</v>
      </c>
      <c r="F451" s="5">
        <f>ROUND(Source!Y424,O451)</f>
        <v>291.33999999999997</v>
      </c>
      <c r="G451" s="5" t="s">
        <v>153</v>
      </c>
      <c r="H451" s="5" t="s">
        <v>154</v>
      </c>
      <c r="I451" s="5"/>
      <c r="J451" s="5"/>
      <c r="K451" s="5">
        <v>211</v>
      </c>
      <c r="L451" s="5">
        <v>26</v>
      </c>
      <c r="M451" s="5">
        <v>3</v>
      </c>
      <c r="N451" s="5" t="s">
        <v>3</v>
      </c>
      <c r="O451" s="5">
        <v>2</v>
      </c>
      <c r="P451" s="5">
        <f>ROUND(Source!DQ424,O451)</f>
        <v>5161.09</v>
      </c>
      <c r="Q451" s="5"/>
      <c r="R451" s="5"/>
      <c r="S451" s="5"/>
      <c r="T451" s="5"/>
      <c r="U451" s="5"/>
      <c r="V451" s="5"/>
      <c r="W451" s="5">
        <v>291.33999999999997</v>
      </c>
      <c r="X451" s="5">
        <v>1</v>
      </c>
      <c r="Y451" s="5">
        <v>291.33999999999997</v>
      </c>
      <c r="Z451" s="5">
        <v>5161.09</v>
      </c>
      <c r="AA451" s="5">
        <v>1</v>
      </c>
      <c r="AB451" s="5">
        <v>5161.09</v>
      </c>
    </row>
    <row r="452" spans="1:206" x14ac:dyDescent="0.2">
      <c r="A452" s="5">
        <v>50</v>
      </c>
      <c r="B452" s="5">
        <v>0</v>
      </c>
      <c r="C452" s="5">
        <v>0</v>
      </c>
      <c r="D452" s="5">
        <v>1</v>
      </c>
      <c r="E452" s="5">
        <v>224</v>
      </c>
      <c r="F452" s="5">
        <f>ROUND(Source!AR424,O452)</f>
        <v>5795.26</v>
      </c>
      <c r="G452" s="5" t="s">
        <v>155</v>
      </c>
      <c r="H452" s="5" t="s">
        <v>156</v>
      </c>
      <c r="I452" s="5"/>
      <c r="J452" s="5"/>
      <c r="K452" s="5">
        <v>224</v>
      </c>
      <c r="L452" s="5">
        <v>27</v>
      </c>
      <c r="M452" s="5">
        <v>3</v>
      </c>
      <c r="N452" s="5" t="s">
        <v>3</v>
      </c>
      <c r="O452" s="5">
        <v>2</v>
      </c>
      <c r="P452" s="5">
        <f>ROUND(Source!EJ424,O452)</f>
        <v>83578.5</v>
      </c>
      <c r="Q452" s="5"/>
      <c r="R452" s="5"/>
      <c r="S452" s="5"/>
      <c r="T452" s="5"/>
      <c r="U452" s="5"/>
      <c r="V452" s="5"/>
      <c r="W452" s="5">
        <v>5795.26</v>
      </c>
      <c r="X452" s="5">
        <v>1</v>
      </c>
      <c r="Y452" s="5">
        <v>5795.26</v>
      </c>
      <c r="Z452" s="5">
        <v>83578.5</v>
      </c>
      <c r="AA452" s="5">
        <v>1</v>
      </c>
      <c r="AB452" s="5">
        <v>83578.5</v>
      </c>
    </row>
    <row r="454" spans="1:206" x14ac:dyDescent="0.2">
      <c r="A454" s="3">
        <v>51</v>
      </c>
      <c r="B454" s="3">
        <f>B20</f>
        <v>1</v>
      </c>
      <c r="C454" s="3">
        <f>A20</f>
        <v>3</v>
      </c>
      <c r="D454" s="3">
        <f>ROW(A20)</f>
        <v>20</v>
      </c>
      <c r="E454" s="3"/>
      <c r="F454" s="3" t="str">
        <f>IF(F20&lt;&gt;"",F20,"")</f>
        <v>Новая локальная смета</v>
      </c>
      <c r="G454" s="3" t="str">
        <f>IF(G20&lt;&gt;"",G20,"")</f>
        <v>Строительство КЛ 10 кВ</v>
      </c>
      <c r="H454" s="3">
        <v>0</v>
      </c>
      <c r="I454" s="3"/>
      <c r="J454" s="3"/>
      <c r="K454" s="3"/>
      <c r="L454" s="3"/>
      <c r="M454" s="3"/>
      <c r="N454" s="3"/>
      <c r="O454" s="3">
        <f t="shared" ref="O454:T454" si="348">ROUND(O59+O148+O424+AB454,2)</f>
        <v>32252.82</v>
      </c>
      <c r="P454" s="3">
        <f t="shared" si="348"/>
        <v>30165.58</v>
      </c>
      <c r="Q454" s="3">
        <f t="shared" si="348"/>
        <v>1076.1500000000001</v>
      </c>
      <c r="R454" s="3">
        <f t="shared" si="348"/>
        <v>131.63999999999999</v>
      </c>
      <c r="S454" s="3">
        <f t="shared" si="348"/>
        <v>1011.09</v>
      </c>
      <c r="T454" s="3">
        <f t="shared" si="348"/>
        <v>0</v>
      </c>
      <c r="U454" s="3">
        <f>U59+U148+U424+AH454</f>
        <v>87.630625511079998</v>
      </c>
      <c r="V454" s="3">
        <f>V59+V148+V424+AI454</f>
        <v>0</v>
      </c>
      <c r="W454" s="3">
        <f>ROUND(W59+W148+W424+AJ454,2)</f>
        <v>0</v>
      </c>
      <c r="X454" s="3">
        <f>ROUND(X59+X148+X424+AK454,2)</f>
        <v>1277.81</v>
      </c>
      <c r="Y454" s="3">
        <f>ROUND(Y59+Y148+Y424+AL454,2)</f>
        <v>791.88</v>
      </c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>
        <f t="shared" ref="AO454:BD454" si="349">ROUND(AO59+AO148+AO424+BX454,2)</f>
        <v>0</v>
      </c>
      <c r="AP454" s="3">
        <f t="shared" si="349"/>
        <v>0</v>
      </c>
      <c r="AQ454" s="3">
        <f t="shared" si="349"/>
        <v>0</v>
      </c>
      <c r="AR454" s="3">
        <f t="shared" si="349"/>
        <v>34552.92</v>
      </c>
      <c r="AS454" s="3">
        <f t="shared" si="349"/>
        <v>6770.74</v>
      </c>
      <c r="AT454" s="3">
        <f t="shared" si="349"/>
        <v>27782.18</v>
      </c>
      <c r="AU454" s="3">
        <f t="shared" si="349"/>
        <v>0</v>
      </c>
      <c r="AV454" s="3">
        <f t="shared" si="349"/>
        <v>30165.58</v>
      </c>
      <c r="AW454" s="3">
        <f t="shared" si="349"/>
        <v>30165.58</v>
      </c>
      <c r="AX454" s="3">
        <f t="shared" si="349"/>
        <v>0</v>
      </c>
      <c r="AY454" s="3">
        <f t="shared" si="349"/>
        <v>30165.58</v>
      </c>
      <c r="AZ454" s="3">
        <f t="shared" si="349"/>
        <v>0</v>
      </c>
      <c r="BA454" s="3">
        <f t="shared" si="349"/>
        <v>0</v>
      </c>
      <c r="BB454" s="3">
        <f t="shared" si="349"/>
        <v>0</v>
      </c>
      <c r="BC454" s="3">
        <f t="shared" si="349"/>
        <v>0</v>
      </c>
      <c r="BD454" s="3">
        <f t="shared" si="349"/>
        <v>0</v>
      </c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4">
        <f t="shared" ref="DG454:DL454" si="350">ROUND(DG59+DG148+DG424+DT454,2)</f>
        <v>303069.08</v>
      </c>
      <c r="DH454" s="4">
        <f t="shared" si="350"/>
        <v>254724.46</v>
      </c>
      <c r="DI454" s="4">
        <f t="shared" si="350"/>
        <v>13451.9</v>
      </c>
      <c r="DJ454" s="4">
        <f t="shared" si="350"/>
        <v>4542.8999999999996</v>
      </c>
      <c r="DK454" s="4">
        <f t="shared" si="350"/>
        <v>34892.720000000001</v>
      </c>
      <c r="DL454" s="4">
        <f t="shared" si="350"/>
        <v>0</v>
      </c>
      <c r="DM454" s="4">
        <f>DM59+DM148+DM424+DZ454</f>
        <v>87.630625511079998</v>
      </c>
      <c r="DN454" s="4">
        <f>DN59+DN148+DN424+EA454</f>
        <v>0</v>
      </c>
      <c r="DO454" s="4">
        <f>ROUND(DO59+DO148+DO424+EB454,2)</f>
        <v>0</v>
      </c>
      <c r="DP454" s="4">
        <f>ROUND(DP59+DP148+DP424+EC454,2)</f>
        <v>33297.11</v>
      </c>
      <c r="DQ454" s="4">
        <f>ROUND(DQ59+DQ148+DQ424+ED454,2)</f>
        <v>15489.13</v>
      </c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>
        <f t="shared" ref="EG454:EV454" si="351">ROUND(EG59+EG148+EG424+FP454,2)</f>
        <v>0</v>
      </c>
      <c r="EH454" s="4">
        <f t="shared" si="351"/>
        <v>0</v>
      </c>
      <c r="EI454" s="4">
        <f t="shared" si="351"/>
        <v>0</v>
      </c>
      <c r="EJ454" s="4">
        <f t="shared" si="351"/>
        <v>359123.94</v>
      </c>
      <c r="EK454" s="4">
        <f t="shared" si="351"/>
        <v>99859.22</v>
      </c>
      <c r="EL454" s="4">
        <f t="shared" si="351"/>
        <v>259264.72</v>
      </c>
      <c r="EM454" s="4">
        <f t="shared" si="351"/>
        <v>0</v>
      </c>
      <c r="EN454" s="4">
        <f t="shared" si="351"/>
        <v>254724.46</v>
      </c>
      <c r="EO454" s="4">
        <f t="shared" si="351"/>
        <v>254724.46</v>
      </c>
      <c r="EP454" s="4">
        <f t="shared" si="351"/>
        <v>0</v>
      </c>
      <c r="EQ454" s="4">
        <f t="shared" si="351"/>
        <v>254724.46</v>
      </c>
      <c r="ER454" s="4">
        <f t="shared" si="351"/>
        <v>0</v>
      </c>
      <c r="ES454" s="4">
        <f t="shared" si="351"/>
        <v>0</v>
      </c>
      <c r="ET454" s="4">
        <f t="shared" si="351"/>
        <v>0</v>
      </c>
      <c r="EU454" s="4">
        <f t="shared" si="351"/>
        <v>0</v>
      </c>
      <c r="EV454" s="4">
        <f t="shared" si="351"/>
        <v>0</v>
      </c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>
        <v>0</v>
      </c>
    </row>
    <row r="456" spans="1:206" x14ac:dyDescent="0.2">
      <c r="A456" s="5">
        <v>50</v>
      </c>
      <c r="B456" s="5">
        <v>0</v>
      </c>
      <c r="C456" s="5">
        <v>0</v>
      </c>
      <c r="D456" s="5">
        <v>1</v>
      </c>
      <c r="E456" s="5">
        <v>201</v>
      </c>
      <c r="F456" s="5">
        <f>ROUND(Source!O454,O456)</f>
        <v>32252.82</v>
      </c>
      <c r="G456" s="5" t="s">
        <v>103</v>
      </c>
      <c r="H456" s="5" t="s">
        <v>104</v>
      </c>
      <c r="I456" s="5"/>
      <c r="J456" s="5"/>
      <c r="K456" s="5">
        <v>201</v>
      </c>
      <c r="L456" s="5">
        <v>1</v>
      </c>
      <c r="M456" s="5">
        <v>3</v>
      </c>
      <c r="N456" s="5" t="s">
        <v>3</v>
      </c>
      <c r="O456" s="5">
        <v>2</v>
      </c>
      <c r="P456" s="5">
        <f>ROUND(Source!DG454,O456)</f>
        <v>303069.08</v>
      </c>
      <c r="Q456" s="5"/>
      <c r="R456" s="5"/>
      <c r="S456" s="5"/>
      <c r="T456" s="5"/>
      <c r="U456" s="5"/>
      <c r="V456" s="5"/>
      <c r="W456" s="5">
        <v>32252.82</v>
      </c>
      <c r="X456" s="5">
        <v>1</v>
      </c>
      <c r="Y456" s="5">
        <v>32252.82</v>
      </c>
      <c r="Z456" s="5">
        <v>303069.08</v>
      </c>
      <c r="AA456" s="5">
        <v>1</v>
      </c>
      <c r="AB456" s="5">
        <v>303069.08</v>
      </c>
    </row>
    <row r="457" spans="1:206" x14ac:dyDescent="0.2">
      <c r="A457" s="5">
        <v>50</v>
      </c>
      <c r="B457" s="5">
        <v>0</v>
      </c>
      <c r="C457" s="5">
        <v>0</v>
      </c>
      <c r="D457" s="5">
        <v>1</v>
      </c>
      <c r="E457" s="5">
        <v>202</v>
      </c>
      <c r="F457" s="5">
        <f>ROUND(Source!P454,O457)</f>
        <v>30165.58</v>
      </c>
      <c r="G457" s="5" t="s">
        <v>105</v>
      </c>
      <c r="H457" s="5" t="s">
        <v>106</v>
      </c>
      <c r="I457" s="5"/>
      <c r="J457" s="5"/>
      <c r="K457" s="5">
        <v>202</v>
      </c>
      <c r="L457" s="5">
        <v>2</v>
      </c>
      <c r="M457" s="5">
        <v>3</v>
      </c>
      <c r="N457" s="5" t="s">
        <v>3</v>
      </c>
      <c r="O457" s="5">
        <v>2</v>
      </c>
      <c r="P457" s="5">
        <f>ROUND(Source!DH454,O457)</f>
        <v>254724.46</v>
      </c>
      <c r="Q457" s="5"/>
      <c r="R457" s="5"/>
      <c r="S457" s="5"/>
      <c r="T457" s="5"/>
      <c r="U457" s="5"/>
      <c r="V457" s="5"/>
      <c r="W457" s="5">
        <v>30165.58</v>
      </c>
      <c r="X457" s="5">
        <v>1</v>
      </c>
      <c r="Y457" s="5">
        <v>30165.58</v>
      </c>
      <c r="Z457" s="5">
        <v>254724.46</v>
      </c>
      <c r="AA457" s="5">
        <v>1</v>
      </c>
      <c r="AB457" s="5">
        <v>254724.46</v>
      </c>
    </row>
    <row r="458" spans="1:206" x14ac:dyDescent="0.2">
      <c r="A458" s="5">
        <v>50</v>
      </c>
      <c r="B458" s="5">
        <v>0</v>
      </c>
      <c r="C458" s="5">
        <v>0</v>
      </c>
      <c r="D458" s="5">
        <v>1</v>
      </c>
      <c r="E458" s="5">
        <v>222</v>
      </c>
      <c r="F458" s="5">
        <f>ROUND(Source!AO454,O458)</f>
        <v>0</v>
      </c>
      <c r="G458" s="5" t="s">
        <v>107</v>
      </c>
      <c r="H458" s="5" t="s">
        <v>108</v>
      </c>
      <c r="I458" s="5"/>
      <c r="J458" s="5"/>
      <c r="K458" s="5">
        <v>222</v>
      </c>
      <c r="L458" s="5">
        <v>3</v>
      </c>
      <c r="M458" s="5">
        <v>3</v>
      </c>
      <c r="N458" s="5" t="s">
        <v>3</v>
      </c>
      <c r="O458" s="5">
        <v>2</v>
      </c>
      <c r="P458" s="5">
        <f>ROUND(Source!EG454,O458)</f>
        <v>0</v>
      </c>
      <c r="Q458" s="5"/>
      <c r="R458" s="5"/>
      <c r="S458" s="5"/>
      <c r="T458" s="5"/>
      <c r="U458" s="5"/>
      <c r="V458" s="5"/>
      <c r="W458" s="5">
        <v>0</v>
      </c>
      <c r="X458" s="5">
        <v>1</v>
      </c>
      <c r="Y458" s="5">
        <v>0</v>
      </c>
      <c r="Z458" s="5">
        <v>0</v>
      </c>
      <c r="AA458" s="5">
        <v>1</v>
      </c>
      <c r="AB458" s="5">
        <v>0</v>
      </c>
    </row>
    <row r="459" spans="1:206" x14ac:dyDescent="0.2">
      <c r="A459" s="5">
        <v>50</v>
      </c>
      <c r="B459" s="5">
        <v>0</v>
      </c>
      <c r="C459" s="5">
        <v>0</v>
      </c>
      <c r="D459" s="5">
        <v>1</v>
      </c>
      <c r="E459" s="5">
        <v>225</v>
      </c>
      <c r="F459" s="5">
        <f>ROUND(Source!AV454,O459)</f>
        <v>30165.58</v>
      </c>
      <c r="G459" s="5" t="s">
        <v>109</v>
      </c>
      <c r="H459" s="5" t="s">
        <v>110</v>
      </c>
      <c r="I459" s="5"/>
      <c r="J459" s="5"/>
      <c r="K459" s="5">
        <v>225</v>
      </c>
      <c r="L459" s="5">
        <v>4</v>
      </c>
      <c r="M459" s="5">
        <v>3</v>
      </c>
      <c r="N459" s="5" t="s">
        <v>3</v>
      </c>
      <c r="O459" s="5">
        <v>2</v>
      </c>
      <c r="P459" s="5">
        <f>ROUND(Source!EN454,O459)</f>
        <v>254724.46</v>
      </c>
      <c r="Q459" s="5"/>
      <c r="R459" s="5"/>
      <c r="S459" s="5"/>
      <c r="T459" s="5"/>
      <c r="U459" s="5"/>
      <c r="V459" s="5"/>
      <c r="W459" s="5">
        <v>30165.58</v>
      </c>
      <c r="X459" s="5">
        <v>1</v>
      </c>
      <c r="Y459" s="5">
        <v>30165.58</v>
      </c>
      <c r="Z459" s="5">
        <v>254724.46</v>
      </c>
      <c r="AA459" s="5">
        <v>1</v>
      </c>
      <c r="AB459" s="5">
        <v>254724.46</v>
      </c>
    </row>
    <row r="460" spans="1:206" x14ac:dyDescent="0.2">
      <c r="A460" s="5">
        <v>50</v>
      </c>
      <c r="B460" s="5">
        <v>0</v>
      </c>
      <c r="C460" s="5">
        <v>0</v>
      </c>
      <c r="D460" s="5">
        <v>1</v>
      </c>
      <c r="E460" s="5">
        <v>226</v>
      </c>
      <c r="F460" s="5">
        <f>ROUND(Source!AW454,O460)</f>
        <v>30165.58</v>
      </c>
      <c r="G460" s="5" t="s">
        <v>111</v>
      </c>
      <c r="H460" s="5" t="s">
        <v>112</v>
      </c>
      <c r="I460" s="5"/>
      <c r="J460" s="5"/>
      <c r="K460" s="5">
        <v>226</v>
      </c>
      <c r="L460" s="5">
        <v>5</v>
      </c>
      <c r="M460" s="5">
        <v>3</v>
      </c>
      <c r="N460" s="5" t="s">
        <v>3</v>
      </c>
      <c r="O460" s="5">
        <v>2</v>
      </c>
      <c r="P460" s="5">
        <f>ROUND(Source!EO454,O460)</f>
        <v>254724.46</v>
      </c>
      <c r="Q460" s="5"/>
      <c r="R460" s="5"/>
      <c r="S460" s="5"/>
      <c r="T460" s="5"/>
      <c r="U460" s="5"/>
      <c r="V460" s="5"/>
      <c r="W460" s="5">
        <v>30165.58</v>
      </c>
      <c r="X460" s="5">
        <v>1</v>
      </c>
      <c r="Y460" s="5">
        <v>30165.58</v>
      </c>
      <c r="Z460" s="5">
        <v>254724.46</v>
      </c>
      <c r="AA460" s="5">
        <v>1</v>
      </c>
      <c r="AB460" s="5">
        <v>254724.46</v>
      </c>
    </row>
    <row r="461" spans="1:206" x14ac:dyDescent="0.2">
      <c r="A461" s="5">
        <v>50</v>
      </c>
      <c r="B461" s="5">
        <v>0</v>
      </c>
      <c r="C461" s="5">
        <v>0</v>
      </c>
      <c r="D461" s="5">
        <v>1</v>
      </c>
      <c r="E461" s="5">
        <v>227</v>
      </c>
      <c r="F461" s="5">
        <f>ROUND(Source!AX454,O461)</f>
        <v>0</v>
      </c>
      <c r="G461" s="5" t="s">
        <v>113</v>
      </c>
      <c r="H461" s="5" t="s">
        <v>114</v>
      </c>
      <c r="I461" s="5"/>
      <c r="J461" s="5"/>
      <c r="K461" s="5">
        <v>227</v>
      </c>
      <c r="L461" s="5">
        <v>6</v>
      </c>
      <c r="M461" s="5">
        <v>3</v>
      </c>
      <c r="N461" s="5" t="s">
        <v>3</v>
      </c>
      <c r="O461" s="5">
        <v>2</v>
      </c>
      <c r="P461" s="5">
        <f>ROUND(Source!EP454,O461)</f>
        <v>0</v>
      </c>
      <c r="Q461" s="5"/>
      <c r="R461" s="5"/>
      <c r="S461" s="5"/>
      <c r="T461" s="5"/>
      <c r="U461" s="5"/>
      <c r="V461" s="5"/>
      <c r="W461" s="5">
        <v>0</v>
      </c>
      <c r="X461" s="5">
        <v>1</v>
      </c>
      <c r="Y461" s="5">
        <v>0</v>
      </c>
      <c r="Z461" s="5">
        <v>0</v>
      </c>
      <c r="AA461" s="5">
        <v>1</v>
      </c>
      <c r="AB461" s="5">
        <v>0</v>
      </c>
    </row>
    <row r="462" spans="1:206" x14ac:dyDescent="0.2">
      <c r="A462" s="5">
        <v>50</v>
      </c>
      <c r="B462" s="5">
        <v>0</v>
      </c>
      <c r="C462" s="5">
        <v>0</v>
      </c>
      <c r="D462" s="5">
        <v>1</v>
      </c>
      <c r="E462" s="5">
        <v>228</v>
      </c>
      <c r="F462" s="5">
        <f>ROUND(Source!AY454,O462)</f>
        <v>30165.58</v>
      </c>
      <c r="G462" s="5" t="s">
        <v>115</v>
      </c>
      <c r="H462" s="5" t="s">
        <v>116</v>
      </c>
      <c r="I462" s="5"/>
      <c r="J462" s="5"/>
      <c r="K462" s="5">
        <v>228</v>
      </c>
      <c r="L462" s="5">
        <v>7</v>
      </c>
      <c r="M462" s="5">
        <v>3</v>
      </c>
      <c r="N462" s="5" t="s">
        <v>3</v>
      </c>
      <c r="O462" s="5">
        <v>2</v>
      </c>
      <c r="P462" s="5">
        <f>ROUND(Source!EQ454,O462)</f>
        <v>254724.46</v>
      </c>
      <c r="Q462" s="5"/>
      <c r="R462" s="5"/>
      <c r="S462" s="5"/>
      <c r="T462" s="5"/>
      <c r="U462" s="5"/>
      <c r="V462" s="5"/>
      <c r="W462" s="5">
        <v>30165.58</v>
      </c>
      <c r="X462" s="5">
        <v>1</v>
      </c>
      <c r="Y462" s="5">
        <v>30165.58</v>
      </c>
      <c r="Z462" s="5">
        <v>254724.46</v>
      </c>
      <c r="AA462" s="5">
        <v>1</v>
      </c>
      <c r="AB462" s="5">
        <v>254724.46</v>
      </c>
    </row>
    <row r="463" spans="1:206" x14ac:dyDescent="0.2">
      <c r="A463" s="5">
        <v>50</v>
      </c>
      <c r="B463" s="5">
        <v>0</v>
      </c>
      <c r="C463" s="5">
        <v>0</v>
      </c>
      <c r="D463" s="5">
        <v>1</v>
      </c>
      <c r="E463" s="5">
        <v>216</v>
      </c>
      <c r="F463" s="5">
        <f>ROUND(Source!AP454,O463)</f>
        <v>0</v>
      </c>
      <c r="G463" s="5" t="s">
        <v>117</v>
      </c>
      <c r="H463" s="5" t="s">
        <v>118</v>
      </c>
      <c r="I463" s="5"/>
      <c r="J463" s="5"/>
      <c r="K463" s="5">
        <v>216</v>
      </c>
      <c r="L463" s="5">
        <v>8</v>
      </c>
      <c r="M463" s="5">
        <v>3</v>
      </c>
      <c r="N463" s="5" t="s">
        <v>3</v>
      </c>
      <c r="O463" s="5">
        <v>2</v>
      </c>
      <c r="P463" s="5">
        <f>ROUND(Source!EH454,O463)</f>
        <v>0</v>
      </c>
      <c r="Q463" s="5"/>
      <c r="R463" s="5"/>
      <c r="S463" s="5"/>
      <c r="T463" s="5"/>
      <c r="U463" s="5"/>
      <c r="V463" s="5"/>
      <c r="W463" s="5">
        <v>0</v>
      </c>
      <c r="X463" s="5">
        <v>1</v>
      </c>
      <c r="Y463" s="5">
        <v>0</v>
      </c>
      <c r="Z463" s="5">
        <v>0</v>
      </c>
      <c r="AA463" s="5">
        <v>1</v>
      </c>
      <c r="AB463" s="5">
        <v>0</v>
      </c>
    </row>
    <row r="464" spans="1:206" x14ac:dyDescent="0.2">
      <c r="A464" s="5">
        <v>50</v>
      </c>
      <c r="B464" s="5">
        <v>0</v>
      </c>
      <c r="C464" s="5">
        <v>0</v>
      </c>
      <c r="D464" s="5">
        <v>1</v>
      </c>
      <c r="E464" s="5">
        <v>223</v>
      </c>
      <c r="F464" s="5">
        <f>ROUND(Source!AQ454,O464)</f>
        <v>0</v>
      </c>
      <c r="G464" s="5" t="s">
        <v>119</v>
      </c>
      <c r="H464" s="5" t="s">
        <v>120</v>
      </c>
      <c r="I464" s="5"/>
      <c r="J464" s="5"/>
      <c r="K464" s="5">
        <v>223</v>
      </c>
      <c r="L464" s="5">
        <v>9</v>
      </c>
      <c r="M464" s="5">
        <v>3</v>
      </c>
      <c r="N464" s="5" t="s">
        <v>3</v>
      </c>
      <c r="O464" s="5">
        <v>2</v>
      </c>
      <c r="P464" s="5">
        <f>ROUND(Source!EI454,O464)</f>
        <v>0</v>
      </c>
      <c r="Q464" s="5"/>
      <c r="R464" s="5"/>
      <c r="S464" s="5"/>
      <c r="T464" s="5"/>
      <c r="U464" s="5"/>
      <c r="V464" s="5"/>
      <c r="W464" s="5">
        <v>0</v>
      </c>
      <c r="X464" s="5">
        <v>1</v>
      </c>
      <c r="Y464" s="5">
        <v>0</v>
      </c>
      <c r="Z464" s="5">
        <v>0</v>
      </c>
      <c r="AA464" s="5">
        <v>1</v>
      </c>
      <c r="AB464" s="5">
        <v>0</v>
      </c>
    </row>
    <row r="465" spans="1:28" x14ac:dyDescent="0.2">
      <c r="A465" s="5">
        <v>50</v>
      </c>
      <c r="B465" s="5">
        <v>0</v>
      </c>
      <c r="C465" s="5">
        <v>0</v>
      </c>
      <c r="D465" s="5">
        <v>1</v>
      </c>
      <c r="E465" s="5">
        <v>229</v>
      </c>
      <c r="F465" s="5">
        <f>ROUND(Source!AZ454,O465)</f>
        <v>0</v>
      </c>
      <c r="G465" s="5" t="s">
        <v>121</v>
      </c>
      <c r="H465" s="5" t="s">
        <v>122</v>
      </c>
      <c r="I465" s="5"/>
      <c r="J465" s="5"/>
      <c r="K465" s="5">
        <v>229</v>
      </c>
      <c r="L465" s="5">
        <v>10</v>
      </c>
      <c r="M465" s="5">
        <v>3</v>
      </c>
      <c r="N465" s="5" t="s">
        <v>3</v>
      </c>
      <c r="O465" s="5">
        <v>2</v>
      </c>
      <c r="P465" s="5">
        <f>ROUND(Source!ER454,O465)</f>
        <v>0</v>
      </c>
      <c r="Q465" s="5"/>
      <c r="R465" s="5"/>
      <c r="S465" s="5"/>
      <c r="T465" s="5"/>
      <c r="U465" s="5"/>
      <c r="V465" s="5"/>
      <c r="W465" s="5">
        <v>0</v>
      </c>
      <c r="X465" s="5">
        <v>1</v>
      </c>
      <c r="Y465" s="5">
        <v>0</v>
      </c>
      <c r="Z465" s="5">
        <v>0</v>
      </c>
      <c r="AA465" s="5">
        <v>1</v>
      </c>
      <c r="AB465" s="5">
        <v>0</v>
      </c>
    </row>
    <row r="466" spans="1:28" x14ac:dyDescent="0.2">
      <c r="A466" s="5">
        <v>50</v>
      </c>
      <c r="B466" s="5">
        <v>0</v>
      </c>
      <c r="C466" s="5">
        <v>0</v>
      </c>
      <c r="D466" s="5">
        <v>1</v>
      </c>
      <c r="E466" s="5">
        <v>203</v>
      </c>
      <c r="F466" s="5">
        <f>ROUND(Source!Q454,O466)</f>
        <v>1076.1500000000001</v>
      </c>
      <c r="G466" s="5" t="s">
        <v>123</v>
      </c>
      <c r="H466" s="5" t="s">
        <v>124</v>
      </c>
      <c r="I466" s="5"/>
      <c r="J466" s="5"/>
      <c r="K466" s="5">
        <v>203</v>
      </c>
      <c r="L466" s="5">
        <v>11</v>
      </c>
      <c r="M466" s="5">
        <v>3</v>
      </c>
      <c r="N466" s="5" t="s">
        <v>3</v>
      </c>
      <c r="O466" s="5">
        <v>2</v>
      </c>
      <c r="P466" s="5">
        <f>ROUND(Source!DI454,O466)</f>
        <v>13451.9</v>
      </c>
      <c r="Q466" s="5"/>
      <c r="R466" s="5"/>
      <c r="S466" s="5"/>
      <c r="T466" s="5"/>
      <c r="U466" s="5"/>
      <c r="V466" s="5"/>
      <c r="W466" s="5">
        <v>1076.1500000000001</v>
      </c>
      <c r="X466" s="5">
        <v>1</v>
      </c>
      <c r="Y466" s="5">
        <v>1076.1500000000001</v>
      </c>
      <c r="Z466" s="5">
        <v>13451.9</v>
      </c>
      <c r="AA466" s="5">
        <v>1</v>
      </c>
      <c r="AB466" s="5">
        <v>13451.9</v>
      </c>
    </row>
    <row r="467" spans="1:28" x14ac:dyDescent="0.2">
      <c r="A467" s="5">
        <v>50</v>
      </c>
      <c r="B467" s="5">
        <v>0</v>
      </c>
      <c r="C467" s="5">
        <v>0</v>
      </c>
      <c r="D467" s="5">
        <v>1</v>
      </c>
      <c r="E467" s="5">
        <v>231</v>
      </c>
      <c r="F467" s="5">
        <f>ROUND(Source!BB454,O467)</f>
        <v>0</v>
      </c>
      <c r="G467" s="5" t="s">
        <v>125</v>
      </c>
      <c r="H467" s="5" t="s">
        <v>126</v>
      </c>
      <c r="I467" s="5"/>
      <c r="J467" s="5"/>
      <c r="K467" s="5">
        <v>231</v>
      </c>
      <c r="L467" s="5">
        <v>12</v>
      </c>
      <c r="M467" s="5">
        <v>3</v>
      </c>
      <c r="N467" s="5" t="s">
        <v>3</v>
      </c>
      <c r="O467" s="5">
        <v>2</v>
      </c>
      <c r="P467" s="5">
        <f>ROUND(Source!ET454,O467)</f>
        <v>0</v>
      </c>
      <c r="Q467" s="5"/>
      <c r="R467" s="5"/>
      <c r="S467" s="5"/>
      <c r="T467" s="5"/>
      <c r="U467" s="5"/>
      <c r="V467" s="5"/>
      <c r="W467" s="5">
        <v>0</v>
      </c>
      <c r="X467" s="5">
        <v>1</v>
      </c>
      <c r="Y467" s="5">
        <v>0</v>
      </c>
      <c r="Z467" s="5">
        <v>0</v>
      </c>
      <c r="AA467" s="5">
        <v>1</v>
      </c>
      <c r="AB467" s="5">
        <v>0</v>
      </c>
    </row>
    <row r="468" spans="1:28" x14ac:dyDescent="0.2">
      <c r="A468" s="5">
        <v>50</v>
      </c>
      <c r="B468" s="5">
        <v>0</v>
      </c>
      <c r="C468" s="5">
        <v>0</v>
      </c>
      <c r="D468" s="5">
        <v>1</v>
      </c>
      <c r="E468" s="5">
        <v>204</v>
      </c>
      <c r="F468" s="5">
        <f>ROUND(Source!R454,O468)</f>
        <v>131.63999999999999</v>
      </c>
      <c r="G468" s="5" t="s">
        <v>127</v>
      </c>
      <c r="H468" s="5" t="s">
        <v>128</v>
      </c>
      <c r="I468" s="5"/>
      <c r="J468" s="5"/>
      <c r="K468" s="5">
        <v>204</v>
      </c>
      <c r="L468" s="5">
        <v>13</v>
      </c>
      <c r="M468" s="5">
        <v>3</v>
      </c>
      <c r="N468" s="5" t="s">
        <v>3</v>
      </c>
      <c r="O468" s="5">
        <v>2</v>
      </c>
      <c r="P468" s="5">
        <f>ROUND(Source!DJ454,O468)</f>
        <v>4542.8999999999996</v>
      </c>
      <c r="Q468" s="5"/>
      <c r="R468" s="5"/>
      <c r="S468" s="5"/>
      <c r="T468" s="5"/>
      <c r="U468" s="5"/>
      <c r="V468" s="5"/>
      <c r="W468" s="5">
        <v>131.63999999999999</v>
      </c>
      <c r="X468" s="5">
        <v>1</v>
      </c>
      <c r="Y468" s="5">
        <v>131.63999999999999</v>
      </c>
      <c r="Z468" s="5">
        <v>4542.8999999999996</v>
      </c>
      <c r="AA468" s="5">
        <v>1</v>
      </c>
      <c r="AB468" s="5">
        <v>4542.8999999999996</v>
      </c>
    </row>
    <row r="469" spans="1:28" x14ac:dyDescent="0.2">
      <c r="A469" s="5">
        <v>50</v>
      </c>
      <c r="B469" s="5">
        <v>0</v>
      </c>
      <c r="C469" s="5">
        <v>0</v>
      </c>
      <c r="D469" s="5">
        <v>1</v>
      </c>
      <c r="E469" s="5">
        <v>205</v>
      </c>
      <c r="F469" s="5">
        <f>ROUND(Source!S454,O469)</f>
        <v>1011.09</v>
      </c>
      <c r="G469" s="5" t="s">
        <v>129</v>
      </c>
      <c r="H469" s="5" t="s">
        <v>130</v>
      </c>
      <c r="I469" s="5"/>
      <c r="J469" s="5"/>
      <c r="K469" s="5">
        <v>205</v>
      </c>
      <c r="L469" s="5">
        <v>14</v>
      </c>
      <c r="M469" s="5">
        <v>3</v>
      </c>
      <c r="N469" s="5" t="s">
        <v>3</v>
      </c>
      <c r="O469" s="5">
        <v>2</v>
      </c>
      <c r="P469" s="5">
        <f>ROUND(Source!DK454,O469)</f>
        <v>34892.720000000001</v>
      </c>
      <c r="Q469" s="5"/>
      <c r="R469" s="5"/>
      <c r="S469" s="5"/>
      <c r="T469" s="5"/>
      <c r="U469" s="5"/>
      <c r="V469" s="5"/>
      <c r="W469" s="5">
        <v>1011.09</v>
      </c>
      <c r="X469" s="5">
        <v>1</v>
      </c>
      <c r="Y469" s="5">
        <v>1011.09</v>
      </c>
      <c r="Z469" s="5">
        <v>34892.720000000001</v>
      </c>
      <c r="AA469" s="5">
        <v>1</v>
      </c>
      <c r="AB469" s="5">
        <v>34892.720000000001</v>
      </c>
    </row>
    <row r="470" spans="1:28" x14ac:dyDescent="0.2">
      <c r="A470" s="5">
        <v>50</v>
      </c>
      <c r="B470" s="5">
        <v>0</v>
      </c>
      <c r="C470" s="5">
        <v>0</v>
      </c>
      <c r="D470" s="5">
        <v>1</v>
      </c>
      <c r="E470" s="5">
        <v>232</v>
      </c>
      <c r="F470" s="5">
        <f>ROUND(Source!BC454,O470)</f>
        <v>0</v>
      </c>
      <c r="G470" s="5" t="s">
        <v>131</v>
      </c>
      <c r="H470" s="5" t="s">
        <v>132</v>
      </c>
      <c r="I470" s="5"/>
      <c r="J470" s="5"/>
      <c r="K470" s="5">
        <v>232</v>
      </c>
      <c r="L470" s="5">
        <v>15</v>
      </c>
      <c r="M470" s="5">
        <v>3</v>
      </c>
      <c r="N470" s="5" t="s">
        <v>3</v>
      </c>
      <c r="O470" s="5">
        <v>2</v>
      </c>
      <c r="P470" s="5">
        <f>ROUND(Source!EU454,O470)</f>
        <v>0</v>
      </c>
      <c r="Q470" s="5"/>
      <c r="R470" s="5"/>
      <c r="S470" s="5"/>
      <c r="T470" s="5"/>
      <c r="U470" s="5"/>
      <c r="V470" s="5"/>
      <c r="W470" s="5">
        <v>0</v>
      </c>
      <c r="X470" s="5">
        <v>1</v>
      </c>
      <c r="Y470" s="5">
        <v>0</v>
      </c>
      <c r="Z470" s="5">
        <v>0</v>
      </c>
      <c r="AA470" s="5">
        <v>1</v>
      </c>
      <c r="AB470" s="5">
        <v>0</v>
      </c>
    </row>
    <row r="471" spans="1:28" x14ac:dyDescent="0.2">
      <c r="A471" s="5">
        <v>50</v>
      </c>
      <c r="B471" s="5">
        <v>0</v>
      </c>
      <c r="C471" s="5">
        <v>0</v>
      </c>
      <c r="D471" s="5">
        <v>1</v>
      </c>
      <c r="E471" s="5">
        <v>214</v>
      </c>
      <c r="F471" s="5">
        <f>ROUND(Source!AS454,O471)</f>
        <v>6770.74</v>
      </c>
      <c r="G471" s="5" t="s">
        <v>133</v>
      </c>
      <c r="H471" s="5" t="s">
        <v>134</v>
      </c>
      <c r="I471" s="5"/>
      <c r="J471" s="5"/>
      <c r="K471" s="5">
        <v>214</v>
      </c>
      <c r="L471" s="5">
        <v>16</v>
      </c>
      <c r="M471" s="5">
        <v>3</v>
      </c>
      <c r="N471" s="5" t="s">
        <v>3</v>
      </c>
      <c r="O471" s="5">
        <v>2</v>
      </c>
      <c r="P471" s="5">
        <f>ROUND(Source!EK454,O471)</f>
        <v>99859.22</v>
      </c>
      <c r="Q471" s="5"/>
      <c r="R471" s="5"/>
      <c r="S471" s="5"/>
      <c r="T471" s="5"/>
      <c r="U471" s="5"/>
      <c r="V471" s="5"/>
      <c r="W471" s="5">
        <v>6770.74</v>
      </c>
      <c r="X471" s="5">
        <v>1</v>
      </c>
      <c r="Y471" s="5">
        <v>6770.74</v>
      </c>
      <c r="Z471" s="5">
        <v>99859.22</v>
      </c>
      <c r="AA471" s="5">
        <v>1</v>
      </c>
      <c r="AB471" s="5">
        <v>99859.22</v>
      </c>
    </row>
    <row r="472" spans="1:28" x14ac:dyDescent="0.2">
      <c r="A472" s="5">
        <v>50</v>
      </c>
      <c r="B472" s="5">
        <v>0</v>
      </c>
      <c r="C472" s="5">
        <v>0</v>
      </c>
      <c r="D472" s="5">
        <v>1</v>
      </c>
      <c r="E472" s="5">
        <v>215</v>
      </c>
      <c r="F472" s="5">
        <f>ROUND(Source!AT454,O472)</f>
        <v>27782.18</v>
      </c>
      <c r="G472" s="5" t="s">
        <v>135</v>
      </c>
      <c r="H472" s="5" t="s">
        <v>136</v>
      </c>
      <c r="I472" s="5"/>
      <c r="J472" s="5"/>
      <c r="K472" s="5">
        <v>215</v>
      </c>
      <c r="L472" s="5">
        <v>17</v>
      </c>
      <c r="M472" s="5">
        <v>3</v>
      </c>
      <c r="N472" s="5" t="s">
        <v>3</v>
      </c>
      <c r="O472" s="5">
        <v>2</v>
      </c>
      <c r="P472" s="5">
        <f>ROUND(Source!EL454,O472)</f>
        <v>259264.72</v>
      </c>
      <c r="Q472" s="5"/>
      <c r="R472" s="5"/>
      <c r="S472" s="5"/>
      <c r="T472" s="5"/>
      <c r="U472" s="5"/>
      <c r="V472" s="5"/>
      <c r="W472" s="5">
        <v>27782.18</v>
      </c>
      <c r="X472" s="5">
        <v>1</v>
      </c>
      <c r="Y472" s="5">
        <v>27782.18</v>
      </c>
      <c r="Z472" s="5">
        <v>259264.72</v>
      </c>
      <c r="AA472" s="5">
        <v>1</v>
      </c>
      <c r="AB472" s="5">
        <v>259264.72</v>
      </c>
    </row>
    <row r="473" spans="1:28" x14ac:dyDescent="0.2">
      <c r="A473" s="5">
        <v>50</v>
      </c>
      <c r="B473" s="5">
        <v>0</v>
      </c>
      <c r="C473" s="5">
        <v>0</v>
      </c>
      <c r="D473" s="5">
        <v>1</v>
      </c>
      <c r="E473" s="5">
        <v>217</v>
      </c>
      <c r="F473" s="5">
        <f>ROUND(Source!AU454,O473)</f>
        <v>0</v>
      </c>
      <c r="G473" s="5" t="s">
        <v>137</v>
      </c>
      <c r="H473" s="5" t="s">
        <v>138</v>
      </c>
      <c r="I473" s="5"/>
      <c r="J473" s="5"/>
      <c r="K473" s="5">
        <v>217</v>
      </c>
      <c r="L473" s="5">
        <v>18</v>
      </c>
      <c r="M473" s="5">
        <v>3</v>
      </c>
      <c r="N473" s="5" t="s">
        <v>3</v>
      </c>
      <c r="O473" s="5">
        <v>2</v>
      </c>
      <c r="P473" s="5">
        <f>ROUND(Source!EM454,O473)</f>
        <v>0</v>
      </c>
      <c r="Q473" s="5"/>
      <c r="R473" s="5"/>
      <c r="S473" s="5"/>
      <c r="T473" s="5"/>
      <c r="U473" s="5"/>
      <c r="V473" s="5"/>
      <c r="W473" s="5">
        <v>0</v>
      </c>
      <c r="X473" s="5">
        <v>1</v>
      </c>
      <c r="Y473" s="5">
        <v>0</v>
      </c>
      <c r="Z473" s="5">
        <v>0</v>
      </c>
      <c r="AA473" s="5">
        <v>1</v>
      </c>
      <c r="AB473" s="5">
        <v>0</v>
      </c>
    </row>
    <row r="474" spans="1:28" x14ac:dyDescent="0.2">
      <c r="A474" s="5">
        <v>50</v>
      </c>
      <c r="B474" s="5">
        <v>0</v>
      </c>
      <c r="C474" s="5">
        <v>0</v>
      </c>
      <c r="D474" s="5">
        <v>1</v>
      </c>
      <c r="E474" s="5">
        <v>230</v>
      </c>
      <c r="F474" s="5">
        <f>ROUND(Source!BA454,O474)</f>
        <v>0</v>
      </c>
      <c r="G474" s="5" t="s">
        <v>139</v>
      </c>
      <c r="H474" s="5" t="s">
        <v>140</v>
      </c>
      <c r="I474" s="5"/>
      <c r="J474" s="5"/>
      <c r="K474" s="5">
        <v>230</v>
      </c>
      <c r="L474" s="5">
        <v>19</v>
      </c>
      <c r="M474" s="5">
        <v>3</v>
      </c>
      <c r="N474" s="5" t="s">
        <v>3</v>
      </c>
      <c r="O474" s="5">
        <v>2</v>
      </c>
      <c r="P474" s="5">
        <f>ROUND(Source!ES454,O474)</f>
        <v>0</v>
      </c>
      <c r="Q474" s="5"/>
      <c r="R474" s="5"/>
      <c r="S474" s="5"/>
      <c r="T474" s="5"/>
      <c r="U474" s="5"/>
      <c r="V474" s="5"/>
      <c r="W474" s="5">
        <v>0</v>
      </c>
      <c r="X474" s="5">
        <v>1</v>
      </c>
      <c r="Y474" s="5">
        <v>0</v>
      </c>
      <c r="Z474" s="5">
        <v>0</v>
      </c>
      <c r="AA474" s="5">
        <v>1</v>
      </c>
      <c r="AB474" s="5">
        <v>0</v>
      </c>
    </row>
    <row r="475" spans="1:28" x14ac:dyDescent="0.2">
      <c r="A475" s="5">
        <v>50</v>
      </c>
      <c r="B475" s="5">
        <v>0</v>
      </c>
      <c r="C475" s="5">
        <v>0</v>
      </c>
      <c r="D475" s="5">
        <v>1</v>
      </c>
      <c r="E475" s="5">
        <v>206</v>
      </c>
      <c r="F475" s="5">
        <f>ROUND(Source!T454,O475)</f>
        <v>0</v>
      </c>
      <c r="G475" s="5" t="s">
        <v>141</v>
      </c>
      <c r="H475" s="5" t="s">
        <v>142</v>
      </c>
      <c r="I475" s="5"/>
      <c r="J475" s="5"/>
      <c r="K475" s="5">
        <v>206</v>
      </c>
      <c r="L475" s="5">
        <v>20</v>
      </c>
      <c r="M475" s="5">
        <v>3</v>
      </c>
      <c r="N475" s="5" t="s">
        <v>3</v>
      </c>
      <c r="O475" s="5">
        <v>2</v>
      </c>
      <c r="P475" s="5">
        <f>ROUND(Source!DL454,O475)</f>
        <v>0</v>
      </c>
      <c r="Q475" s="5"/>
      <c r="R475" s="5"/>
      <c r="S475" s="5"/>
      <c r="T475" s="5"/>
      <c r="U475" s="5"/>
      <c r="V475" s="5"/>
      <c r="W475" s="5">
        <v>0</v>
      </c>
      <c r="X475" s="5">
        <v>1</v>
      </c>
      <c r="Y475" s="5">
        <v>0</v>
      </c>
      <c r="Z475" s="5">
        <v>0</v>
      </c>
      <c r="AA475" s="5">
        <v>1</v>
      </c>
      <c r="AB475" s="5">
        <v>0</v>
      </c>
    </row>
    <row r="476" spans="1:28" x14ac:dyDescent="0.2">
      <c r="A476" s="5">
        <v>50</v>
      </c>
      <c r="B476" s="5">
        <v>0</v>
      </c>
      <c r="C476" s="5">
        <v>0</v>
      </c>
      <c r="D476" s="5">
        <v>1</v>
      </c>
      <c r="E476" s="5">
        <v>207</v>
      </c>
      <c r="F476" s="5">
        <f>Source!U454</f>
        <v>87.630625511079998</v>
      </c>
      <c r="G476" s="5" t="s">
        <v>143</v>
      </c>
      <c r="H476" s="5" t="s">
        <v>144</v>
      </c>
      <c r="I476" s="5"/>
      <c r="J476" s="5"/>
      <c r="K476" s="5">
        <v>207</v>
      </c>
      <c r="L476" s="5">
        <v>21</v>
      </c>
      <c r="M476" s="5">
        <v>3</v>
      </c>
      <c r="N476" s="5" t="s">
        <v>3</v>
      </c>
      <c r="O476" s="5">
        <v>-1</v>
      </c>
      <c r="P476" s="5">
        <f>Source!DM454</f>
        <v>87.630625511079998</v>
      </c>
      <c r="Q476" s="5"/>
      <c r="R476" s="5"/>
      <c r="S476" s="5"/>
      <c r="T476" s="5"/>
      <c r="U476" s="5"/>
      <c r="V476" s="5"/>
      <c r="W476" s="5">
        <v>87.630625511080012</v>
      </c>
      <c r="X476" s="5">
        <v>1</v>
      </c>
      <c r="Y476" s="5">
        <v>87.630625511080012</v>
      </c>
      <c r="Z476" s="5">
        <v>87.630625511080012</v>
      </c>
      <c r="AA476" s="5">
        <v>1</v>
      </c>
      <c r="AB476" s="5">
        <v>87.630625511080012</v>
      </c>
    </row>
    <row r="477" spans="1:28" x14ac:dyDescent="0.2">
      <c r="A477" s="5">
        <v>50</v>
      </c>
      <c r="B477" s="5">
        <v>0</v>
      </c>
      <c r="C477" s="5">
        <v>0</v>
      </c>
      <c r="D477" s="5">
        <v>1</v>
      </c>
      <c r="E477" s="5">
        <v>208</v>
      </c>
      <c r="F477" s="5">
        <f>Source!V454</f>
        <v>0</v>
      </c>
      <c r="G477" s="5" t="s">
        <v>145</v>
      </c>
      <c r="H477" s="5" t="s">
        <v>146</v>
      </c>
      <c r="I477" s="5"/>
      <c r="J477" s="5"/>
      <c r="K477" s="5">
        <v>208</v>
      </c>
      <c r="L477" s="5">
        <v>22</v>
      </c>
      <c r="M477" s="5">
        <v>3</v>
      </c>
      <c r="N477" s="5" t="s">
        <v>3</v>
      </c>
      <c r="O477" s="5">
        <v>-1</v>
      </c>
      <c r="P477" s="5">
        <f>Source!DN454</f>
        <v>0</v>
      </c>
      <c r="Q477" s="5"/>
      <c r="R477" s="5"/>
      <c r="S477" s="5"/>
      <c r="T477" s="5"/>
      <c r="U477" s="5"/>
      <c r="V477" s="5"/>
      <c r="W477" s="5">
        <v>0</v>
      </c>
      <c r="X477" s="5">
        <v>1</v>
      </c>
      <c r="Y477" s="5">
        <v>0</v>
      </c>
      <c r="Z477" s="5">
        <v>0</v>
      </c>
      <c r="AA477" s="5">
        <v>1</v>
      </c>
      <c r="AB477" s="5">
        <v>0</v>
      </c>
    </row>
    <row r="478" spans="1:28" x14ac:dyDescent="0.2">
      <c r="A478" s="5">
        <v>50</v>
      </c>
      <c r="B478" s="5">
        <v>0</v>
      </c>
      <c r="C478" s="5">
        <v>0</v>
      </c>
      <c r="D478" s="5">
        <v>1</v>
      </c>
      <c r="E478" s="5">
        <v>209</v>
      </c>
      <c r="F478" s="5">
        <f>ROUND(Source!W454,O478)</f>
        <v>0</v>
      </c>
      <c r="G478" s="5" t="s">
        <v>147</v>
      </c>
      <c r="H478" s="5" t="s">
        <v>148</v>
      </c>
      <c r="I478" s="5"/>
      <c r="J478" s="5"/>
      <c r="K478" s="5">
        <v>209</v>
      </c>
      <c r="L478" s="5">
        <v>23</v>
      </c>
      <c r="M478" s="5">
        <v>3</v>
      </c>
      <c r="N478" s="5" t="s">
        <v>3</v>
      </c>
      <c r="O478" s="5">
        <v>2</v>
      </c>
      <c r="P478" s="5">
        <f>ROUND(Source!DO454,O478)</f>
        <v>0</v>
      </c>
      <c r="Q478" s="5"/>
      <c r="R478" s="5"/>
      <c r="S478" s="5"/>
      <c r="T478" s="5"/>
      <c r="U478" s="5"/>
      <c r="V478" s="5"/>
      <c r="W478" s="5">
        <v>0</v>
      </c>
      <c r="X478" s="5">
        <v>1</v>
      </c>
      <c r="Y478" s="5">
        <v>0</v>
      </c>
      <c r="Z478" s="5">
        <v>0</v>
      </c>
      <c r="AA478" s="5">
        <v>1</v>
      </c>
      <c r="AB478" s="5">
        <v>0</v>
      </c>
    </row>
    <row r="479" spans="1:28" x14ac:dyDescent="0.2">
      <c r="A479" s="5">
        <v>50</v>
      </c>
      <c r="B479" s="5">
        <v>0</v>
      </c>
      <c r="C479" s="5">
        <v>0</v>
      </c>
      <c r="D479" s="5">
        <v>1</v>
      </c>
      <c r="E479" s="5">
        <v>233</v>
      </c>
      <c r="F479" s="5">
        <f>ROUND(Source!BD454,O479)</f>
        <v>0</v>
      </c>
      <c r="G479" s="5" t="s">
        <v>149</v>
      </c>
      <c r="H479" s="5" t="s">
        <v>150</v>
      </c>
      <c r="I479" s="5"/>
      <c r="J479" s="5"/>
      <c r="K479" s="5">
        <v>233</v>
      </c>
      <c r="L479" s="5">
        <v>24</v>
      </c>
      <c r="M479" s="5">
        <v>3</v>
      </c>
      <c r="N479" s="5" t="s">
        <v>3</v>
      </c>
      <c r="O479" s="5">
        <v>2</v>
      </c>
      <c r="P479" s="5">
        <f>ROUND(Source!EV454,O479)</f>
        <v>0</v>
      </c>
      <c r="Q479" s="5"/>
      <c r="R479" s="5"/>
      <c r="S479" s="5"/>
      <c r="T479" s="5"/>
      <c r="U479" s="5"/>
      <c r="V479" s="5"/>
      <c r="W479" s="5">
        <v>0</v>
      </c>
      <c r="X479" s="5">
        <v>1</v>
      </c>
      <c r="Y479" s="5">
        <v>0</v>
      </c>
      <c r="Z479" s="5">
        <v>0</v>
      </c>
      <c r="AA479" s="5">
        <v>1</v>
      </c>
      <c r="AB479" s="5">
        <v>0</v>
      </c>
    </row>
    <row r="480" spans="1:28" x14ac:dyDescent="0.2">
      <c r="A480" s="5">
        <v>50</v>
      </c>
      <c r="B480" s="5">
        <v>0</v>
      </c>
      <c r="C480" s="5">
        <v>0</v>
      </c>
      <c r="D480" s="5">
        <v>1</v>
      </c>
      <c r="E480" s="5">
        <v>210</v>
      </c>
      <c r="F480" s="5">
        <f>ROUND(Source!X454,O480)</f>
        <v>1277.81</v>
      </c>
      <c r="G480" s="5" t="s">
        <v>151</v>
      </c>
      <c r="H480" s="5" t="s">
        <v>152</v>
      </c>
      <c r="I480" s="5"/>
      <c r="J480" s="5"/>
      <c r="K480" s="5">
        <v>210</v>
      </c>
      <c r="L480" s="5">
        <v>25</v>
      </c>
      <c r="M480" s="5">
        <v>3</v>
      </c>
      <c r="N480" s="5" t="s">
        <v>3</v>
      </c>
      <c r="O480" s="5">
        <v>2</v>
      </c>
      <c r="P480" s="5">
        <f>ROUND(Source!DP454,O480)</f>
        <v>33297.11</v>
      </c>
      <c r="Q480" s="5"/>
      <c r="R480" s="5"/>
      <c r="S480" s="5"/>
      <c r="T480" s="5"/>
      <c r="U480" s="5"/>
      <c r="V480" s="5"/>
      <c r="W480" s="5">
        <v>1277.81</v>
      </c>
      <c r="X480" s="5">
        <v>1</v>
      </c>
      <c r="Y480" s="5">
        <v>1277.81</v>
      </c>
      <c r="Z480" s="5">
        <v>33297.11</v>
      </c>
      <c r="AA480" s="5">
        <v>1</v>
      </c>
      <c r="AB480" s="5">
        <v>33297.11</v>
      </c>
    </row>
    <row r="481" spans="1:206" x14ac:dyDescent="0.2">
      <c r="A481" s="5">
        <v>50</v>
      </c>
      <c r="B481" s="5">
        <v>0</v>
      </c>
      <c r="C481" s="5">
        <v>0</v>
      </c>
      <c r="D481" s="5">
        <v>1</v>
      </c>
      <c r="E481" s="5">
        <v>211</v>
      </c>
      <c r="F481" s="5">
        <f>ROUND(Source!Y454,O481)</f>
        <v>791.88</v>
      </c>
      <c r="G481" s="5" t="s">
        <v>153</v>
      </c>
      <c r="H481" s="5" t="s">
        <v>154</v>
      </c>
      <c r="I481" s="5"/>
      <c r="J481" s="5"/>
      <c r="K481" s="5">
        <v>211</v>
      </c>
      <c r="L481" s="5">
        <v>26</v>
      </c>
      <c r="M481" s="5">
        <v>3</v>
      </c>
      <c r="N481" s="5" t="s">
        <v>3</v>
      </c>
      <c r="O481" s="5">
        <v>2</v>
      </c>
      <c r="P481" s="5">
        <f>ROUND(Source!DQ454,O481)</f>
        <v>15489.13</v>
      </c>
      <c r="Q481" s="5"/>
      <c r="R481" s="5"/>
      <c r="S481" s="5"/>
      <c r="T481" s="5"/>
      <c r="U481" s="5"/>
      <c r="V481" s="5"/>
      <c r="W481" s="5">
        <v>791.88</v>
      </c>
      <c r="X481" s="5">
        <v>1</v>
      </c>
      <c r="Y481" s="5">
        <v>791.88</v>
      </c>
      <c r="Z481" s="5">
        <v>15489.13</v>
      </c>
      <c r="AA481" s="5">
        <v>1</v>
      </c>
      <c r="AB481" s="5">
        <v>15489.13</v>
      </c>
    </row>
    <row r="482" spans="1:206" x14ac:dyDescent="0.2">
      <c r="A482" s="5">
        <v>50</v>
      </c>
      <c r="B482" s="5">
        <v>0</v>
      </c>
      <c r="C482" s="5">
        <v>0</v>
      </c>
      <c r="D482" s="5">
        <v>1</v>
      </c>
      <c r="E482" s="5">
        <v>224</v>
      </c>
      <c r="F482" s="5">
        <f>ROUND(Source!AR454,O482)</f>
        <v>34552.92</v>
      </c>
      <c r="G482" s="5" t="s">
        <v>155</v>
      </c>
      <c r="H482" s="5" t="s">
        <v>156</v>
      </c>
      <c r="I482" s="5"/>
      <c r="J482" s="5"/>
      <c r="K482" s="5">
        <v>224</v>
      </c>
      <c r="L482" s="5">
        <v>27</v>
      </c>
      <c r="M482" s="5">
        <v>3</v>
      </c>
      <c r="N482" s="5" t="s">
        <v>3</v>
      </c>
      <c r="O482" s="5">
        <v>2</v>
      </c>
      <c r="P482" s="5">
        <f>ROUND(Source!EJ454,O482)</f>
        <v>359123.94</v>
      </c>
      <c r="Q482" s="5"/>
      <c r="R482" s="5"/>
      <c r="S482" s="5"/>
      <c r="T482" s="5"/>
      <c r="U482" s="5"/>
      <c r="V482" s="5"/>
      <c r="W482" s="5">
        <v>34552.92</v>
      </c>
      <c r="X482" s="5">
        <v>1</v>
      </c>
      <c r="Y482" s="5">
        <v>34552.92</v>
      </c>
      <c r="Z482" s="5">
        <v>359123.94</v>
      </c>
      <c r="AA482" s="5">
        <v>1</v>
      </c>
      <c r="AB482" s="5">
        <v>359123.94</v>
      </c>
    </row>
    <row r="484" spans="1:206" x14ac:dyDescent="0.2">
      <c r="A484" s="3">
        <v>51</v>
      </c>
      <c r="B484" s="3">
        <f>B12</f>
        <v>519</v>
      </c>
      <c r="C484" s="3">
        <f>A12</f>
        <v>1</v>
      </c>
      <c r="D484" s="3">
        <f>ROW(A12)</f>
        <v>12</v>
      </c>
      <c r="E484" s="3"/>
      <c r="F484" s="3" t="str">
        <f>IF(F12&lt;&gt;"",F12,"")</f>
        <v>02-01-01 КЛ - 10 кВ траншея</v>
      </c>
      <c r="G484" s="3" t="str">
        <f>IF(G12&lt;&gt;"",G12,"")</f>
        <v xml:space="preserve">02-01-01 </v>
      </c>
      <c r="H484" s="3">
        <v>0</v>
      </c>
      <c r="I484" s="3"/>
      <c r="J484" s="3"/>
      <c r="K484" s="3"/>
      <c r="L484" s="3"/>
      <c r="M484" s="3"/>
      <c r="N484" s="3"/>
      <c r="O484" s="3">
        <f t="shared" ref="O484:T484" si="352">ROUND(O454,2)</f>
        <v>32252.82</v>
      </c>
      <c r="P484" s="3">
        <f t="shared" si="352"/>
        <v>30165.58</v>
      </c>
      <c r="Q484" s="3">
        <f t="shared" si="352"/>
        <v>1076.1500000000001</v>
      </c>
      <c r="R484" s="3">
        <f t="shared" si="352"/>
        <v>131.63999999999999</v>
      </c>
      <c r="S484" s="3">
        <f t="shared" si="352"/>
        <v>1011.09</v>
      </c>
      <c r="T484" s="3">
        <f t="shared" si="352"/>
        <v>0</v>
      </c>
      <c r="U484" s="3">
        <f>U454</f>
        <v>87.630625511079998</v>
      </c>
      <c r="V484" s="3">
        <f>V454</f>
        <v>0</v>
      </c>
      <c r="W484" s="3">
        <f>ROUND(W454,2)</f>
        <v>0</v>
      </c>
      <c r="X484" s="3">
        <f>ROUND(X454,2)</f>
        <v>1277.81</v>
      </c>
      <c r="Y484" s="3">
        <f>ROUND(Y454,2)</f>
        <v>791.88</v>
      </c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>
        <f t="shared" ref="AO484:BD484" si="353">ROUND(AO454,2)</f>
        <v>0</v>
      </c>
      <c r="AP484" s="3">
        <f t="shared" si="353"/>
        <v>0</v>
      </c>
      <c r="AQ484" s="3">
        <f t="shared" si="353"/>
        <v>0</v>
      </c>
      <c r="AR484" s="3">
        <f t="shared" si="353"/>
        <v>34552.92</v>
      </c>
      <c r="AS484" s="3">
        <f t="shared" si="353"/>
        <v>6770.74</v>
      </c>
      <c r="AT484" s="3">
        <f t="shared" si="353"/>
        <v>27782.18</v>
      </c>
      <c r="AU484" s="3">
        <f t="shared" si="353"/>
        <v>0</v>
      </c>
      <c r="AV484" s="3">
        <f t="shared" si="353"/>
        <v>30165.58</v>
      </c>
      <c r="AW484" s="3">
        <f t="shared" si="353"/>
        <v>30165.58</v>
      </c>
      <c r="AX484" s="3">
        <f t="shared" si="353"/>
        <v>0</v>
      </c>
      <c r="AY484" s="3">
        <f t="shared" si="353"/>
        <v>30165.58</v>
      </c>
      <c r="AZ484" s="3">
        <f t="shared" si="353"/>
        <v>0</v>
      </c>
      <c r="BA484" s="3">
        <f t="shared" si="353"/>
        <v>0</v>
      </c>
      <c r="BB484" s="3">
        <f t="shared" si="353"/>
        <v>0</v>
      </c>
      <c r="BC484" s="3">
        <f t="shared" si="353"/>
        <v>0</v>
      </c>
      <c r="BD484" s="3">
        <f t="shared" si="353"/>
        <v>0</v>
      </c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4">
        <f t="shared" ref="DG484:DL484" si="354">ROUND(DG454,2)</f>
        <v>303069.08</v>
      </c>
      <c r="DH484" s="4">
        <f t="shared" si="354"/>
        <v>254724.46</v>
      </c>
      <c r="DI484" s="4">
        <f t="shared" si="354"/>
        <v>13451.9</v>
      </c>
      <c r="DJ484" s="4">
        <f t="shared" si="354"/>
        <v>4542.8999999999996</v>
      </c>
      <c r="DK484" s="4">
        <f t="shared" si="354"/>
        <v>34892.720000000001</v>
      </c>
      <c r="DL484" s="4">
        <f t="shared" si="354"/>
        <v>0</v>
      </c>
      <c r="DM484" s="4">
        <f>DM454</f>
        <v>87.630625511079998</v>
      </c>
      <c r="DN484" s="4">
        <f>DN454</f>
        <v>0</v>
      </c>
      <c r="DO484" s="4">
        <f>ROUND(DO454,2)</f>
        <v>0</v>
      </c>
      <c r="DP484" s="4">
        <f>ROUND(DP454,2)</f>
        <v>33297.11</v>
      </c>
      <c r="DQ484" s="4">
        <f>ROUND(DQ454,2)</f>
        <v>15489.13</v>
      </c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>
        <f t="shared" ref="EG484:EV484" si="355">ROUND(EG454,2)</f>
        <v>0</v>
      </c>
      <c r="EH484" s="4">
        <f t="shared" si="355"/>
        <v>0</v>
      </c>
      <c r="EI484" s="4">
        <f t="shared" si="355"/>
        <v>0</v>
      </c>
      <c r="EJ484" s="4">
        <f t="shared" si="355"/>
        <v>359123.94</v>
      </c>
      <c r="EK484" s="4">
        <f t="shared" si="355"/>
        <v>99859.22</v>
      </c>
      <c r="EL484" s="4">
        <f t="shared" si="355"/>
        <v>259264.72</v>
      </c>
      <c r="EM484" s="4">
        <f t="shared" si="355"/>
        <v>0</v>
      </c>
      <c r="EN484" s="4">
        <f t="shared" si="355"/>
        <v>254724.46</v>
      </c>
      <c r="EO484" s="4">
        <f t="shared" si="355"/>
        <v>254724.46</v>
      </c>
      <c r="EP484" s="4">
        <f t="shared" si="355"/>
        <v>0</v>
      </c>
      <c r="EQ484" s="4">
        <f t="shared" si="355"/>
        <v>254724.46</v>
      </c>
      <c r="ER484" s="4">
        <f t="shared" si="355"/>
        <v>0</v>
      </c>
      <c r="ES484" s="4">
        <f t="shared" si="355"/>
        <v>0</v>
      </c>
      <c r="ET484" s="4">
        <f t="shared" si="355"/>
        <v>0</v>
      </c>
      <c r="EU484" s="4">
        <f t="shared" si="355"/>
        <v>0</v>
      </c>
      <c r="EV484" s="4">
        <f t="shared" si="355"/>
        <v>0</v>
      </c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>
        <v>0</v>
      </c>
    </row>
    <row r="486" spans="1:206" x14ac:dyDescent="0.2">
      <c r="A486" s="5">
        <v>50</v>
      </c>
      <c r="B486" s="5">
        <v>0</v>
      </c>
      <c r="C486" s="5">
        <v>0</v>
      </c>
      <c r="D486" s="5">
        <v>1</v>
      </c>
      <c r="E486" s="5">
        <v>201</v>
      </c>
      <c r="F486" s="5">
        <f>ROUND(Source!O484,O486)</f>
        <v>32252.82</v>
      </c>
      <c r="G486" s="5" t="s">
        <v>103</v>
      </c>
      <c r="H486" s="5" t="s">
        <v>104</v>
      </c>
      <c r="I486" s="5"/>
      <c r="J486" s="5"/>
      <c r="K486" s="5">
        <v>201</v>
      </c>
      <c r="L486" s="5">
        <v>1</v>
      </c>
      <c r="M486" s="5">
        <v>3</v>
      </c>
      <c r="N486" s="5" t="s">
        <v>3</v>
      </c>
      <c r="O486" s="5">
        <v>2</v>
      </c>
      <c r="P486" s="5">
        <f>ROUND(Source!DG484,O486)</f>
        <v>303069.08</v>
      </c>
      <c r="Q486" s="5"/>
      <c r="R486" s="5"/>
      <c r="S486" s="5"/>
      <c r="T486" s="5"/>
      <c r="U486" s="5"/>
      <c r="V486" s="5"/>
      <c r="W486" s="5">
        <v>32252.82</v>
      </c>
      <c r="X486" s="5">
        <v>1</v>
      </c>
      <c r="Y486" s="5">
        <v>32252.82</v>
      </c>
      <c r="Z486" s="5">
        <v>303069.08</v>
      </c>
      <c r="AA486" s="5">
        <v>1</v>
      </c>
      <c r="AB486" s="5">
        <v>303069.08</v>
      </c>
    </row>
    <row r="487" spans="1:206" x14ac:dyDescent="0.2">
      <c r="A487" s="5">
        <v>50</v>
      </c>
      <c r="B487" s="5">
        <v>0</v>
      </c>
      <c r="C487" s="5">
        <v>0</v>
      </c>
      <c r="D487" s="5">
        <v>1</v>
      </c>
      <c r="E487" s="5">
        <v>202</v>
      </c>
      <c r="F487" s="5">
        <f>ROUND(Source!P484,O487)</f>
        <v>30165.58</v>
      </c>
      <c r="G487" s="5" t="s">
        <v>105</v>
      </c>
      <c r="H487" s="5" t="s">
        <v>106</v>
      </c>
      <c r="I487" s="5"/>
      <c r="J487" s="5"/>
      <c r="K487" s="5">
        <v>202</v>
      </c>
      <c r="L487" s="5">
        <v>2</v>
      </c>
      <c r="M487" s="5">
        <v>3</v>
      </c>
      <c r="N487" s="5" t="s">
        <v>3</v>
      </c>
      <c r="O487" s="5">
        <v>2</v>
      </c>
      <c r="P487" s="5">
        <f>ROUND(Source!DH484,O487)</f>
        <v>254724.46</v>
      </c>
      <c r="Q487" s="5"/>
      <c r="R487" s="5"/>
      <c r="S487" s="5"/>
      <c r="T487" s="5"/>
      <c r="U487" s="5"/>
      <c r="V487" s="5"/>
      <c r="W487" s="5">
        <v>30165.58</v>
      </c>
      <c r="X487" s="5">
        <v>1</v>
      </c>
      <c r="Y487" s="5">
        <v>30165.58</v>
      </c>
      <c r="Z487" s="5">
        <v>254724.46</v>
      </c>
      <c r="AA487" s="5">
        <v>1</v>
      </c>
      <c r="AB487" s="5">
        <v>254724.46</v>
      </c>
    </row>
    <row r="488" spans="1:206" x14ac:dyDescent="0.2">
      <c r="A488" s="5">
        <v>50</v>
      </c>
      <c r="B488" s="5">
        <v>0</v>
      </c>
      <c r="C488" s="5">
        <v>0</v>
      </c>
      <c r="D488" s="5">
        <v>1</v>
      </c>
      <c r="E488" s="5">
        <v>222</v>
      </c>
      <c r="F488" s="5">
        <f>ROUND(Source!AO484,O488)</f>
        <v>0</v>
      </c>
      <c r="G488" s="5" t="s">
        <v>107</v>
      </c>
      <c r="H488" s="5" t="s">
        <v>108</v>
      </c>
      <c r="I488" s="5"/>
      <c r="J488" s="5"/>
      <c r="K488" s="5">
        <v>222</v>
      </c>
      <c r="L488" s="5">
        <v>3</v>
      </c>
      <c r="M488" s="5">
        <v>3</v>
      </c>
      <c r="N488" s="5" t="s">
        <v>3</v>
      </c>
      <c r="O488" s="5">
        <v>2</v>
      </c>
      <c r="P488" s="5">
        <f>ROUND(Source!EG484,O488)</f>
        <v>0</v>
      </c>
      <c r="Q488" s="5"/>
      <c r="R488" s="5"/>
      <c r="S488" s="5"/>
      <c r="T488" s="5"/>
      <c r="U488" s="5"/>
      <c r="V488" s="5"/>
      <c r="W488" s="5">
        <v>0</v>
      </c>
      <c r="X488" s="5">
        <v>1</v>
      </c>
      <c r="Y488" s="5">
        <v>0</v>
      </c>
      <c r="Z488" s="5">
        <v>0</v>
      </c>
      <c r="AA488" s="5">
        <v>1</v>
      </c>
      <c r="AB488" s="5">
        <v>0</v>
      </c>
    </row>
    <row r="489" spans="1:206" x14ac:dyDescent="0.2">
      <c r="A489" s="5">
        <v>50</v>
      </c>
      <c r="B489" s="5">
        <v>0</v>
      </c>
      <c r="C489" s="5">
        <v>0</v>
      </c>
      <c r="D489" s="5">
        <v>1</v>
      </c>
      <c r="E489" s="5">
        <v>225</v>
      </c>
      <c r="F489" s="5">
        <f>ROUND(Source!AV484,O489)</f>
        <v>30165.58</v>
      </c>
      <c r="G489" s="5" t="s">
        <v>109</v>
      </c>
      <c r="H489" s="5" t="s">
        <v>110</v>
      </c>
      <c r="I489" s="5"/>
      <c r="J489" s="5"/>
      <c r="K489" s="5">
        <v>225</v>
      </c>
      <c r="L489" s="5">
        <v>4</v>
      </c>
      <c r="M489" s="5">
        <v>3</v>
      </c>
      <c r="N489" s="5" t="s">
        <v>3</v>
      </c>
      <c r="O489" s="5">
        <v>2</v>
      </c>
      <c r="P489" s="5">
        <f>ROUND(Source!EN484,O489)</f>
        <v>254724.46</v>
      </c>
      <c r="Q489" s="5"/>
      <c r="R489" s="5"/>
      <c r="S489" s="5"/>
      <c r="T489" s="5"/>
      <c r="U489" s="5"/>
      <c r="V489" s="5"/>
      <c r="W489" s="5">
        <v>30165.58</v>
      </c>
      <c r="X489" s="5">
        <v>1</v>
      </c>
      <c r="Y489" s="5">
        <v>30165.58</v>
      </c>
      <c r="Z489" s="5">
        <v>254724.46</v>
      </c>
      <c r="AA489" s="5">
        <v>1</v>
      </c>
      <c r="AB489" s="5">
        <v>254724.46</v>
      </c>
    </row>
    <row r="490" spans="1:206" x14ac:dyDescent="0.2">
      <c r="A490" s="5">
        <v>50</v>
      </c>
      <c r="B490" s="5">
        <v>0</v>
      </c>
      <c r="C490" s="5">
        <v>0</v>
      </c>
      <c r="D490" s="5">
        <v>1</v>
      </c>
      <c r="E490" s="5">
        <v>226</v>
      </c>
      <c r="F490" s="5">
        <f>ROUND(Source!AW484,O490)</f>
        <v>30165.58</v>
      </c>
      <c r="G490" s="5" t="s">
        <v>111</v>
      </c>
      <c r="H490" s="5" t="s">
        <v>112</v>
      </c>
      <c r="I490" s="5"/>
      <c r="J490" s="5"/>
      <c r="K490" s="5">
        <v>226</v>
      </c>
      <c r="L490" s="5">
        <v>5</v>
      </c>
      <c r="M490" s="5">
        <v>3</v>
      </c>
      <c r="N490" s="5" t="s">
        <v>3</v>
      </c>
      <c r="O490" s="5">
        <v>2</v>
      </c>
      <c r="P490" s="5">
        <f>ROUND(Source!EO484,O490)</f>
        <v>254724.46</v>
      </c>
      <c r="Q490" s="5"/>
      <c r="R490" s="5"/>
      <c r="S490" s="5"/>
      <c r="T490" s="5"/>
      <c r="U490" s="5"/>
      <c r="V490" s="5"/>
      <c r="W490" s="5">
        <v>30165.58</v>
      </c>
      <c r="X490" s="5">
        <v>1</v>
      </c>
      <c r="Y490" s="5">
        <v>30165.58</v>
      </c>
      <c r="Z490" s="5">
        <v>254724.46</v>
      </c>
      <c r="AA490" s="5">
        <v>1</v>
      </c>
      <c r="AB490" s="5">
        <v>254724.46</v>
      </c>
    </row>
    <row r="491" spans="1:206" x14ac:dyDescent="0.2">
      <c r="A491" s="5">
        <v>50</v>
      </c>
      <c r="B491" s="5">
        <v>0</v>
      </c>
      <c r="C491" s="5">
        <v>0</v>
      </c>
      <c r="D491" s="5">
        <v>1</v>
      </c>
      <c r="E491" s="5">
        <v>227</v>
      </c>
      <c r="F491" s="5">
        <f>ROUND(Source!AX484,O491)</f>
        <v>0</v>
      </c>
      <c r="G491" s="5" t="s">
        <v>113</v>
      </c>
      <c r="H491" s="5" t="s">
        <v>114</v>
      </c>
      <c r="I491" s="5"/>
      <c r="J491" s="5"/>
      <c r="K491" s="5">
        <v>227</v>
      </c>
      <c r="L491" s="5">
        <v>6</v>
      </c>
      <c r="M491" s="5">
        <v>3</v>
      </c>
      <c r="N491" s="5" t="s">
        <v>3</v>
      </c>
      <c r="O491" s="5">
        <v>2</v>
      </c>
      <c r="P491" s="5">
        <f>ROUND(Source!EP484,O491)</f>
        <v>0</v>
      </c>
      <c r="Q491" s="5"/>
      <c r="R491" s="5"/>
      <c r="S491" s="5"/>
      <c r="T491" s="5"/>
      <c r="U491" s="5"/>
      <c r="V491" s="5"/>
      <c r="W491" s="5">
        <v>0</v>
      </c>
      <c r="X491" s="5">
        <v>1</v>
      </c>
      <c r="Y491" s="5">
        <v>0</v>
      </c>
      <c r="Z491" s="5">
        <v>0</v>
      </c>
      <c r="AA491" s="5">
        <v>1</v>
      </c>
      <c r="AB491" s="5">
        <v>0</v>
      </c>
    </row>
    <row r="492" spans="1:206" x14ac:dyDescent="0.2">
      <c r="A492" s="5">
        <v>50</v>
      </c>
      <c r="B492" s="5">
        <v>0</v>
      </c>
      <c r="C492" s="5">
        <v>0</v>
      </c>
      <c r="D492" s="5">
        <v>1</v>
      </c>
      <c r="E492" s="5">
        <v>228</v>
      </c>
      <c r="F492" s="5">
        <f>ROUND(Source!AY484,O492)</f>
        <v>30165.58</v>
      </c>
      <c r="G492" s="5" t="s">
        <v>115</v>
      </c>
      <c r="H492" s="5" t="s">
        <v>116</v>
      </c>
      <c r="I492" s="5"/>
      <c r="J492" s="5"/>
      <c r="K492" s="5">
        <v>228</v>
      </c>
      <c r="L492" s="5">
        <v>7</v>
      </c>
      <c r="M492" s="5">
        <v>3</v>
      </c>
      <c r="N492" s="5" t="s">
        <v>3</v>
      </c>
      <c r="O492" s="5">
        <v>2</v>
      </c>
      <c r="P492" s="5">
        <f>ROUND(Source!EQ484,O492)</f>
        <v>254724.46</v>
      </c>
      <c r="Q492" s="5"/>
      <c r="R492" s="5"/>
      <c r="S492" s="5"/>
      <c r="T492" s="5"/>
      <c r="U492" s="5"/>
      <c r="V492" s="5"/>
      <c r="W492" s="5">
        <v>30165.58</v>
      </c>
      <c r="X492" s="5">
        <v>1</v>
      </c>
      <c r="Y492" s="5">
        <v>30165.58</v>
      </c>
      <c r="Z492" s="5">
        <v>254724.46</v>
      </c>
      <c r="AA492" s="5">
        <v>1</v>
      </c>
      <c r="AB492" s="5">
        <v>254724.46</v>
      </c>
    </row>
    <row r="493" spans="1:206" x14ac:dyDescent="0.2">
      <c r="A493" s="5">
        <v>50</v>
      </c>
      <c r="B493" s="5">
        <v>0</v>
      </c>
      <c r="C493" s="5">
        <v>0</v>
      </c>
      <c r="D493" s="5">
        <v>1</v>
      </c>
      <c r="E493" s="5">
        <v>216</v>
      </c>
      <c r="F493" s="5">
        <f>ROUND(Source!AP484,O493)</f>
        <v>0</v>
      </c>
      <c r="G493" s="5" t="s">
        <v>117</v>
      </c>
      <c r="H493" s="5" t="s">
        <v>118</v>
      </c>
      <c r="I493" s="5"/>
      <c r="J493" s="5"/>
      <c r="K493" s="5">
        <v>216</v>
      </c>
      <c r="L493" s="5">
        <v>8</v>
      </c>
      <c r="M493" s="5">
        <v>3</v>
      </c>
      <c r="N493" s="5" t="s">
        <v>3</v>
      </c>
      <c r="O493" s="5">
        <v>2</v>
      </c>
      <c r="P493" s="5">
        <f>ROUND(Source!EH484,O493)</f>
        <v>0</v>
      </c>
      <c r="Q493" s="5"/>
      <c r="R493" s="5"/>
      <c r="S493" s="5"/>
      <c r="T493" s="5"/>
      <c r="U493" s="5"/>
      <c r="V493" s="5"/>
      <c r="W493" s="5">
        <v>0</v>
      </c>
      <c r="X493" s="5">
        <v>1</v>
      </c>
      <c r="Y493" s="5">
        <v>0</v>
      </c>
      <c r="Z493" s="5">
        <v>0</v>
      </c>
      <c r="AA493" s="5">
        <v>1</v>
      </c>
      <c r="AB493" s="5">
        <v>0</v>
      </c>
    </row>
    <row r="494" spans="1:206" x14ac:dyDescent="0.2">
      <c r="A494" s="5">
        <v>50</v>
      </c>
      <c r="B494" s="5">
        <v>0</v>
      </c>
      <c r="C494" s="5">
        <v>0</v>
      </c>
      <c r="D494" s="5">
        <v>1</v>
      </c>
      <c r="E494" s="5">
        <v>223</v>
      </c>
      <c r="F494" s="5">
        <f>ROUND(Source!AQ484,O494)</f>
        <v>0</v>
      </c>
      <c r="G494" s="5" t="s">
        <v>119</v>
      </c>
      <c r="H494" s="5" t="s">
        <v>120</v>
      </c>
      <c r="I494" s="5"/>
      <c r="J494" s="5"/>
      <c r="K494" s="5">
        <v>223</v>
      </c>
      <c r="L494" s="5">
        <v>9</v>
      </c>
      <c r="M494" s="5">
        <v>3</v>
      </c>
      <c r="N494" s="5" t="s">
        <v>3</v>
      </c>
      <c r="O494" s="5">
        <v>2</v>
      </c>
      <c r="P494" s="5">
        <f>ROUND(Source!EI484,O494)</f>
        <v>0</v>
      </c>
      <c r="Q494" s="5"/>
      <c r="R494" s="5"/>
      <c r="S494" s="5"/>
      <c r="T494" s="5"/>
      <c r="U494" s="5"/>
      <c r="V494" s="5"/>
      <c r="W494" s="5">
        <v>0</v>
      </c>
      <c r="X494" s="5">
        <v>1</v>
      </c>
      <c r="Y494" s="5">
        <v>0</v>
      </c>
      <c r="Z494" s="5">
        <v>0</v>
      </c>
      <c r="AA494" s="5">
        <v>1</v>
      </c>
      <c r="AB494" s="5">
        <v>0</v>
      </c>
    </row>
    <row r="495" spans="1:206" x14ac:dyDescent="0.2">
      <c r="A495" s="5">
        <v>50</v>
      </c>
      <c r="B495" s="5">
        <v>0</v>
      </c>
      <c r="C495" s="5">
        <v>0</v>
      </c>
      <c r="D495" s="5">
        <v>1</v>
      </c>
      <c r="E495" s="5">
        <v>229</v>
      </c>
      <c r="F495" s="5">
        <f>ROUND(Source!AZ484,O495)</f>
        <v>0</v>
      </c>
      <c r="G495" s="5" t="s">
        <v>121</v>
      </c>
      <c r="H495" s="5" t="s">
        <v>122</v>
      </c>
      <c r="I495" s="5"/>
      <c r="J495" s="5"/>
      <c r="K495" s="5">
        <v>229</v>
      </c>
      <c r="L495" s="5">
        <v>10</v>
      </c>
      <c r="M495" s="5">
        <v>3</v>
      </c>
      <c r="N495" s="5" t="s">
        <v>3</v>
      </c>
      <c r="O495" s="5">
        <v>2</v>
      </c>
      <c r="P495" s="5">
        <f>ROUND(Source!ER484,O495)</f>
        <v>0</v>
      </c>
      <c r="Q495" s="5"/>
      <c r="R495" s="5"/>
      <c r="S495" s="5"/>
      <c r="T495" s="5"/>
      <c r="U495" s="5"/>
      <c r="V495" s="5"/>
      <c r="W495" s="5">
        <v>0</v>
      </c>
      <c r="X495" s="5">
        <v>1</v>
      </c>
      <c r="Y495" s="5">
        <v>0</v>
      </c>
      <c r="Z495" s="5">
        <v>0</v>
      </c>
      <c r="AA495" s="5">
        <v>1</v>
      </c>
      <c r="AB495" s="5">
        <v>0</v>
      </c>
    </row>
    <row r="496" spans="1:206" x14ac:dyDescent="0.2">
      <c r="A496" s="5">
        <v>50</v>
      </c>
      <c r="B496" s="5">
        <v>0</v>
      </c>
      <c r="C496" s="5">
        <v>0</v>
      </c>
      <c r="D496" s="5">
        <v>1</v>
      </c>
      <c r="E496" s="5">
        <v>203</v>
      </c>
      <c r="F496" s="5">
        <f>ROUND(Source!Q484,O496)</f>
        <v>1076.1500000000001</v>
      </c>
      <c r="G496" s="5" t="s">
        <v>123</v>
      </c>
      <c r="H496" s="5" t="s">
        <v>124</v>
      </c>
      <c r="I496" s="5"/>
      <c r="J496" s="5"/>
      <c r="K496" s="5">
        <v>203</v>
      </c>
      <c r="L496" s="5">
        <v>11</v>
      </c>
      <c r="M496" s="5">
        <v>3</v>
      </c>
      <c r="N496" s="5" t="s">
        <v>3</v>
      </c>
      <c r="O496" s="5">
        <v>2</v>
      </c>
      <c r="P496" s="5">
        <f>ROUND(Source!DI484,O496)</f>
        <v>13451.9</v>
      </c>
      <c r="Q496" s="5"/>
      <c r="R496" s="5"/>
      <c r="S496" s="5"/>
      <c r="T496" s="5"/>
      <c r="U496" s="5"/>
      <c r="V496" s="5"/>
      <c r="W496" s="5">
        <v>1076.1500000000001</v>
      </c>
      <c r="X496" s="5">
        <v>1</v>
      </c>
      <c r="Y496" s="5">
        <v>1076.1500000000001</v>
      </c>
      <c r="Z496" s="5">
        <v>13451.9</v>
      </c>
      <c r="AA496" s="5">
        <v>1</v>
      </c>
      <c r="AB496" s="5">
        <v>13451.9</v>
      </c>
    </row>
    <row r="497" spans="1:28" x14ac:dyDescent="0.2">
      <c r="A497" s="5">
        <v>50</v>
      </c>
      <c r="B497" s="5">
        <v>0</v>
      </c>
      <c r="C497" s="5">
        <v>0</v>
      </c>
      <c r="D497" s="5">
        <v>1</v>
      </c>
      <c r="E497" s="5">
        <v>231</v>
      </c>
      <c r="F497" s="5">
        <f>ROUND(Source!BB484,O497)</f>
        <v>0</v>
      </c>
      <c r="G497" s="5" t="s">
        <v>125</v>
      </c>
      <c r="H497" s="5" t="s">
        <v>126</v>
      </c>
      <c r="I497" s="5"/>
      <c r="J497" s="5"/>
      <c r="K497" s="5">
        <v>231</v>
      </c>
      <c r="L497" s="5">
        <v>12</v>
      </c>
      <c r="M497" s="5">
        <v>3</v>
      </c>
      <c r="N497" s="5" t="s">
        <v>3</v>
      </c>
      <c r="O497" s="5">
        <v>2</v>
      </c>
      <c r="P497" s="5">
        <f>ROUND(Source!ET484,O497)</f>
        <v>0</v>
      </c>
      <c r="Q497" s="5"/>
      <c r="R497" s="5"/>
      <c r="S497" s="5"/>
      <c r="T497" s="5"/>
      <c r="U497" s="5"/>
      <c r="V497" s="5"/>
      <c r="W497" s="5">
        <v>0</v>
      </c>
      <c r="X497" s="5">
        <v>1</v>
      </c>
      <c r="Y497" s="5">
        <v>0</v>
      </c>
      <c r="Z497" s="5">
        <v>0</v>
      </c>
      <c r="AA497" s="5">
        <v>1</v>
      </c>
      <c r="AB497" s="5">
        <v>0</v>
      </c>
    </row>
    <row r="498" spans="1:28" x14ac:dyDescent="0.2">
      <c r="A498" s="5">
        <v>50</v>
      </c>
      <c r="B498" s="5">
        <v>0</v>
      </c>
      <c r="C498" s="5">
        <v>0</v>
      </c>
      <c r="D498" s="5">
        <v>1</v>
      </c>
      <c r="E498" s="5">
        <v>204</v>
      </c>
      <c r="F498" s="5">
        <f>ROUND(Source!R484,O498)</f>
        <v>131.63999999999999</v>
      </c>
      <c r="G498" s="5" t="s">
        <v>127</v>
      </c>
      <c r="H498" s="5" t="s">
        <v>128</v>
      </c>
      <c r="I498" s="5"/>
      <c r="J498" s="5"/>
      <c r="K498" s="5">
        <v>204</v>
      </c>
      <c r="L498" s="5">
        <v>13</v>
      </c>
      <c r="M498" s="5">
        <v>3</v>
      </c>
      <c r="N498" s="5" t="s">
        <v>3</v>
      </c>
      <c r="O498" s="5">
        <v>2</v>
      </c>
      <c r="P498" s="5">
        <f>ROUND(Source!DJ484,O498)</f>
        <v>4542.8999999999996</v>
      </c>
      <c r="Q498" s="5"/>
      <c r="R498" s="5"/>
      <c r="S498" s="5"/>
      <c r="T498" s="5"/>
      <c r="U498" s="5"/>
      <c r="V498" s="5"/>
      <c r="W498" s="5">
        <v>131.63999999999999</v>
      </c>
      <c r="X498" s="5">
        <v>1</v>
      </c>
      <c r="Y498" s="5">
        <v>131.63999999999999</v>
      </c>
      <c r="Z498" s="5">
        <v>4542.8999999999996</v>
      </c>
      <c r="AA498" s="5">
        <v>1</v>
      </c>
      <c r="AB498" s="5">
        <v>4542.8999999999996</v>
      </c>
    </row>
    <row r="499" spans="1:28" x14ac:dyDescent="0.2">
      <c r="A499" s="5">
        <v>50</v>
      </c>
      <c r="B499" s="5">
        <v>0</v>
      </c>
      <c r="C499" s="5">
        <v>0</v>
      </c>
      <c r="D499" s="5">
        <v>1</v>
      </c>
      <c r="E499" s="5">
        <v>205</v>
      </c>
      <c r="F499" s="5">
        <f>ROUND(Source!S484,O499)</f>
        <v>1011.09</v>
      </c>
      <c r="G499" s="5" t="s">
        <v>129</v>
      </c>
      <c r="H499" s="5" t="s">
        <v>130</v>
      </c>
      <c r="I499" s="5"/>
      <c r="J499" s="5"/>
      <c r="K499" s="5">
        <v>205</v>
      </c>
      <c r="L499" s="5">
        <v>14</v>
      </c>
      <c r="M499" s="5">
        <v>3</v>
      </c>
      <c r="N499" s="5" t="s">
        <v>3</v>
      </c>
      <c r="O499" s="5">
        <v>2</v>
      </c>
      <c r="P499" s="5">
        <f>ROUND(Source!DK484,O499)</f>
        <v>34892.720000000001</v>
      </c>
      <c r="Q499" s="5"/>
      <c r="R499" s="5"/>
      <c r="S499" s="5"/>
      <c r="T499" s="5"/>
      <c r="U499" s="5"/>
      <c r="V499" s="5"/>
      <c r="W499" s="5">
        <v>1011.09</v>
      </c>
      <c r="X499" s="5">
        <v>1</v>
      </c>
      <c r="Y499" s="5">
        <v>1011.09</v>
      </c>
      <c r="Z499" s="5">
        <v>34892.720000000001</v>
      </c>
      <c r="AA499" s="5">
        <v>1</v>
      </c>
      <c r="AB499" s="5">
        <v>34892.720000000001</v>
      </c>
    </row>
    <row r="500" spans="1:28" x14ac:dyDescent="0.2">
      <c r="A500" s="5">
        <v>50</v>
      </c>
      <c r="B500" s="5">
        <v>0</v>
      </c>
      <c r="C500" s="5">
        <v>0</v>
      </c>
      <c r="D500" s="5">
        <v>1</v>
      </c>
      <c r="E500" s="5">
        <v>232</v>
      </c>
      <c r="F500" s="5">
        <f>ROUND(Source!BC484,O500)</f>
        <v>0</v>
      </c>
      <c r="G500" s="5" t="s">
        <v>131</v>
      </c>
      <c r="H500" s="5" t="s">
        <v>132</v>
      </c>
      <c r="I500" s="5"/>
      <c r="J500" s="5"/>
      <c r="K500" s="5">
        <v>232</v>
      </c>
      <c r="L500" s="5">
        <v>15</v>
      </c>
      <c r="M500" s="5">
        <v>3</v>
      </c>
      <c r="N500" s="5" t="s">
        <v>3</v>
      </c>
      <c r="O500" s="5">
        <v>2</v>
      </c>
      <c r="P500" s="5">
        <f>ROUND(Source!EU484,O500)</f>
        <v>0</v>
      </c>
      <c r="Q500" s="5"/>
      <c r="R500" s="5"/>
      <c r="S500" s="5"/>
      <c r="T500" s="5"/>
      <c r="U500" s="5"/>
      <c r="V500" s="5"/>
      <c r="W500" s="5">
        <v>0</v>
      </c>
      <c r="X500" s="5">
        <v>1</v>
      </c>
      <c r="Y500" s="5">
        <v>0</v>
      </c>
      <c r="Z500" s="5">
        <v>0</v>
      </c>
      <c r="AA500" s="5">
        <v>1</v>
      </c>
      <c r="AB500" s="5">
        <v>0</v>
      </c>
    </row>
    <row r="501" spans="1:28" x14ac:dyDescent="0.2">
      <c r="A501" s="5">
        <v>50</v>
      </c>
      <c r="B501" s="5">
        <v>0</v>
      </c>
      <c r="C501" s="5">
        <v>0</v>
      </c>
      <c r="D501" s="5">
        <v>1</v>
      </c>
      <c r="E501" s="5">
        <v>214</v>
      </c>
      <c r="F501" s="5">
        <f>ROUND(Source!AS484,O501)</f>
        <v>6770.74</v>
      </c>
      <c r="G501" s="5" t="s">
        <v>133</v>
      </c>
      <c r="H501" s="5" t="s">
        <v>134</v>
      </c>
      <c r="I501" s="5"/>
      <c r="J501" s="5"/>
      <c r="K501" s="5">
        <v>214</v>
      </c>
      <c r="L501" s="5">
        <v>16</v>
      </c>
      <c r="M501" s="5">
        <v>3</v>
      </c>
      <c r="N501" s="5" t="s">
        <v>3</v>
      </c>
      <c r="O501" s="5">
        <v>2</v>
      </c>
      <c r="P501" s="5">
        <f>ROUND(Source!EK484,O501)</f>
        <v>99859.22</v>
      </c>
      <c r="Q501" s="5"/>
      <c r="R501" s="5"/>
      <c r="S501" s="5"/>
      <c r="T501" s="5"/>
      <c r="U501" s="5"/>
      <c r="V501" s="5"/>
      <c r="W501" s="5">
        <v>6770.74</v>
      </c>
      <c r="X501" s="5">
        <v>1</v>
      </c>
      <c r="Y501" s="5">
        <v>6770.74</v>
      </c>
      <c r="Z501" s="5">
        <v>99859.22</v>
      </c>
      <c r="AA501" s="5">
        <v>1</v>
      </c>
      <c r="AB501" s="5">
        <v>99859.22</v>
      </c>
    </row>
    <row r="502" spans="1:28" x14ac:dyDescent="0.2">
      <c r="A502" s="5">
        <v>50</v>
      </c>
      <c r="B502" s="5">
        <v>0</v>
      </c>
      <c r="C502" s="5">
        <v>0</v>
      </c>
      <c r="D502" s="5">
        <v>1</v>
      </c>
      <c r="E502" s="5">
        <v>215</v>
      </c>
      <c r="F502" s="5">
        <f>ROUND(Source!AT484,O502)</f>
        <v>27782.18</v>
      </c>
      <c r="G502" s="5" t="s">
        <v>135</v>
      </c>
      <c r="H502" s="5" t="s">
        <v>136</v>
      </c>
      <c r="I502" s="5"/>
      <c r="J502" s="5"/>
      <c r="K502" s="5">
        <v>215</v>
      </c>
      <c r="L502" s="5">
        <v>17</v>
      </c>
      <c r="M502" s="5">
        <v>3</v>
      </c>
      <c r="N502" s="5" t="s">
        <v>3</v>
      </c>
      <c r="O502" s="5">
        <v>2</v>
      </c>
      <c r="P502" s="5">
        <f>ROUND(Source!EL484,O502)</f>
        <v>259264.72</v>
      </c>
      <c r="Q502" s="5"/>
      <c r="R502" s="5"/>
      <c r="S502" s="5"/>
      <c r="T502" s="5"/>
      <c r="U502" s="5"/>
      <c r="V502" s="5"/>
      <c r="W502" s="5">
        <v>27782.18</v>
      </c>
      <c r="X502" s="5">
        <v>1</v>
      </c>
      <c r="Y502" s="5">
        <v>27782.18</v>
      </c>
      <c r="Z502" s="5">
        <v>259264.72</v>
      </c>
      <c r="AA502" s="5">
        <v>1</v>
      </c>
      <c r="AB502" s="5">
        <v>259264.72</v>
      </c>
    </row>
    <row r="503" spans="1:28" x14ac:dyDescent="0.2">
      <c r="A503" s="5">
        <v>50</v>
      </c>
      <c r="B503" s="5">
        <v>0</v>
      </c>
      <c r="C503" s="5">
        <v>0</v>
      </c>
      <c r="D503" s="5">
        <v>1</v>
      </c>
      <c r="E503" s="5">
        <v>217</v>
      </c>
      <c r="F503" s="5">
        <f>ROUND(Source!AU484,O503)</f>
        <v>0</v>
      </c>
      <c r="G503" s="5" t="s">
        <v>137</v>
      </c>
      <c r="H503" s="5" t="s">
        <v>138</v>
      </c>
      <c r="I503" s="5"/>
      <c r="J503" s="5"/>
      <c r="K503" s="5">
        <v>217</v>
      </c>
      <c r="L503" s="5">
        <v>18</v>
      </c>
      <c r="M503" s="5">
        <v>3</v>
      </c>
      <c r="N503" s="5" t="s">
        <v>3</v>
      </c>
      <c r="O503" s="5">
        <v>2</v>
      </c>
      <c r="P503" s="5">
        <f>ROUND(Source!EM484,O503)</f>
        <v>0</v>
      </c>
      <c r="Q503" s="5"/>
      <c r="R503" s="5"/>
      <c r="S503" s="5"/>
      <c r="T503" s="5"/>
      <c r="U503" s="5"/>
      <c r="V503" s="5"/>
      <c r="W503" s="5">
        <v>0</v>
      </c>
      <c r="X503" s="5">
        <v>1</v>
      </c>
      <c r="Y503" s="5">
        <v>0</v>
      </c>
      <c r="Z503" s="5">
        <v>0</v>
      </c>
      <c r="AA503" s="5">
        <v>1</v>
      </c>
      <c r="AB503" s="5">
        <v>0</v>
      </c>
    </row>
    <row r="504" spans="1:28" x14ac:dyDescent="0.2">
      <c r="A504" s="5">
        <v>50</v>
      </c>
      <c r="B504" s="5">
        <v>0</v>
      </c>
      <c r="C504" s="5">
        <v>0</v>
      </c>
      <c r="D504" s="5">
        <v>1</v>
      </c>
      <c r="E504" s="5">
        <v>230</v>
      </c>
      <c r="F504" s="5">
        <f>ROUND(Source!BA484,O504)</f>
        <v>0</v>
      </c>
      <c r="G504" s="5" t="s">
        <v>139</v>
      </c>
      <c r="H504" s="5" t="s">
        <v>140</v>
      </c>
      <c r="I504" s="5"/>
      <c r="J504" s="5"/>
      <c r="K504" s="5">
        <v>230</v>
      </c>
      <c r="L504" s="5">
        <v>19</v>
      </c>
      <c r="M504" s="5">
        <v>3</v>
      </c>
      <c r="N504" s="5" t="s">
        <v>3</v>
      </c>
      <c r="O504" s="5">
        <v>2</v>
      </c>
      <c r="P504" s="5">
        <f>ROUND(Source!ES484,O504)</f>
        <v>0</v>
      </c>
      <c r="Q504" s="5"/>
      <c r="R504" s="5"/>
      <c r="S504" s="5"/>
      <c r="T504" s="5"/>
      <c r="U504" s="5"/>
      <c r="V504" s="5"/>
      <c r="W504" s="5">
        <v>0</v>
      </c>
      <c r="X504" s="5">
        <v>1</v>
      </c>
      <c r="Y504" s="5">
        <v>0</v>
      </c>
      <c r="Z504" s="5">
        <v>0</v>
      </c>
      <c r="AA504" s="5">
        <v>1</v>
      </c>
      <c r="AB504" s="5">
        <v>0</v>
      </c>
    </row>
    <row r="505" spans="1:28" x14ac:dyDescent="0.2">
      <c r="A505" s="5">
        <v>50</v>
      </c>
      <c r="B505" s="5">
        <v>0</v>
      </c>
      <c r="C505" s="5">
        <v>0</v>
      </c>
      <c r="D505" s="5">
        <v>1</v>
      </c>
      <c r="E505" s="5">
        <v>206</v>
      </c>
      <c r="F505" s="5">
        <f>ROUND(Source!T484,O505)</f>
        <v>0</v>
      </c>
      <c r="G505" s="5" t="s">
        <v>141</v>
      </c>
      <c r="H505" s="5" t="s">
        <v>142</v>
      </c>
      <c r="I505" s="5"/>
      <c r="J505" s="5"/>
      <c r="K505" s="5">
        <v>206</v>
      </c>
      <c r="L505" s="5">
        <v>20</v>
      </c>
      <c r="M505" s="5">
        <v>3</v>
      </c>
      <c r="N505" s="5" t="s">
        <v>3</v>
      </c>
      <c r="O505" s="5">
        <v>2</v>
      </c>
      <c r="P505" s="5">
        <f>ROUND(Source!DL484,O505)</f>
        <v>0</v>
      </c>
      <c r="Q505" s="5"/>
      <c r="R505" s="5"/>
      <c r="S505" s="5"/>
      <c r="T505" s="5"/>
      <c r="U505" s="5"/>
      <c r="V505" s="5"/>
      <c r="W505" s="5">
        <v>0</v>
      </c>
      <c r="X505" s="5">
        <v>1</v>
      </c>
      <c r="Y505" s="5">
        <v>0</v>
      </c>
      <c r="Z505" s="5">
        <v>0</v>
      </c>
      <c r="AA505" s="5">
        <v>1</v>
      </c>
      <c r="AB505" s="5">
        <v>0</v>
      </c>
    </row>
    <row r="506" spans="1:28" x14ac:dyDescent="0.2">
      <c r="A506" s="5">
        <v>50</v>
      </c>
      <c r="B506" s="5">
        <v>0</v>
      </c>
      <c r="C506" s="5">
        <v>0</v>
      </c>
      <c r="D506" s="5">
        <v>1</v>
      </c>
      <c r="E506" s="5">
        <v>207</v>
      </c>
      <c r="F506" s="5">
        <f>Source!U484</f>
        <v>87.630625511079998</v>
      </c>
      <c r="G506" s="5" t="s">
        <v>143</v>
      </c>
      <c r="H506" s="5" t="s">
        <v>144</v>
      </c>
      <c r="I506" s="5"/>
      <c r="J506" s="5"/>
      <c r="K506" s="5">
        <v>207</v>
      </c>
      <c r="L506" s="5">
        <v>21</v>
      </c>
      <c r="M506" s="5">
        <v>3</v>
      </c>
      <c r="N506" s="5" t="s">
        <v>3</v>
      </c>
      <c r="O506" s="5">
        <v>-1</v>
      </c>
      <c r="P506" s="5">
        <f>Source!DM484</f>
        <v>87.630625511079998</v>
      </c>
      <c r="Q506" s="5"/>
      <c r="R506" s="5"/>
      <c r="S506" s="5"/>
      <c r="T506" s="5"/>
      <c r="U506" s="5"/>
      <c r="V506" s="5"/>
      <c r="W506" s="5">
        <v>87.630625511080012</v>
      </c>
      <c r="X506" s="5">
        <v>1</v>
      </c>
      <c r="Y506" s="5">
        <v>87.630625511080012</v>
      </c>
      <c r="Z506" s="5">
        <v>87.630625511080012</v>
      </c>
      <c r="AA506" s="5">
        <v>1</v>
      </c>
      <c r="AB506" s="5">
        <v>87.630625511080012</v>
      </c>
    </row>
    <row r="507" spans="1:28" x14ac:dyDescent="0.2">
      <c r="A507" s="5">
        <v>50</v>
      </c>
      <c r="B507" s="5">
        <v>0</v>
      </c>
      <c r="C507" s="5">
        <v>0</v>
      </c>
      <c r="D507" s="5">
        <v>1</v>
      </c>
      <c r="E507" s="5">
        <v>208</v>
      </c>
      <c r="F507" s="5">
        <f>Source!V484</f>
        <v>0</v>
      </c>
      <c r="G507" s="5" t="s">
        <v>145</v>
      </c>
      <c r="H507" s="5" t="s">
        <v>146</v>
      </c>
      <c r="I507" s="5"/>
      <c r="J507" s="5"/>
      <c r="K507" s="5">
        <v>208</v>
      </c>
      <c r="L507" s="5">
        <v>22</v>
      </c>
      <c r="M507" s="5">
        <v>3</v>
      </c>
      <c r="N507" s="5" t="s">
        <v>3</v>
      </c>
      <c r="O507" s="5">
        <v>-1</v>
      </c>
      <c r="P507" s="5">
        <f>Source!DN484</f>
        <v>0</v>
      </c>
      <c r="Q507" s="5"/>
      <c r="R507" s="5"/>
      <c r="S507" s="5"/>
      <c r="T507" s="5"/>
      <c r="U507" s="5"/>
      <c r="V507" s="5"/>
      <c r="W507" s="5">
        <v>0</v>
      </c>
      <c r="X507" s="5">
        <v>1</v>
      </c>
      <c r="Y507" s="5">
        <v>0</v>
      </c>
      <c r="Z507" s="5">
        <v>0</v>
      </c>
      <c r="AA507" s="5">
        <v>1</v>
      </c>
      <c r="AB507" s="5">
        <v>0</v>
      </c>
    </row>
    <row r="508" spans="1:28" x14ac:dyDescent="0.2">
      <c r="A508" s="5">
        <v>50</v>
      </c>
      <c r="B508" s="5">
        <v>0</v>
      </c>
      <c r="C508" s="5">
        <v>0</v>
      </c>
      <c r="D508" s="5">
        <v>1</v>
      </c>
      <c r="E508" s="5">
        <v>209</v>
      </c>
      <c r="F508" s="5">
        <f>ROUND(Source!W484,O508)</f>
        <v>0</v>
      </c>
      <c r="G508" s="5" t="s">
        <v>147</v>
      </c>
      <c r="H508" s="5" t="s">
        <v>148</v>
      </c>
      <c r="I508" s="5"/>
      <c r="J508" s="5"/>
      <c r="K508" s="5">
        <v>209</v>
      </c>
      <c r="L508" s="5">
        <v>23</v>
      </c>
      <c r="M508" s="5">
        <v>3</v>
      </c>
      <c r="N508" s="5" t="s">
        <v>3</v>
      </c>
      <c r="O508" s="5">
        <v>2</v>
      </c>
      <c r="P508" s="5">
        <f>ROUND(Source!DO484,O508)</f>
        <v>0</v>
      </c>
      <c r="Q508" s="5"/>
      <c r="R508" s="5"/>
      <c r="S508" s="5"/>
      <c r="T508" s="5"/>
      <c r="U508" s="5"/>
      <c r="V508" s="5"/>
      <c r="W508" s="5">
        <v>0</v>
      </c>
      <c r="X508" s="5">
        <v>1</v>
      </c>
      <c r="Y508" s="5">
        <v>0</v>
      </c>
      <c r="Z508" s="5">
        <v>0</v>
      </c>
      <c r="AA508" s="5">
        <v>1</v>
      </c>
      <c r="AB508" s="5">
        <v>0</v>
      </c>
    </row>
    <row r="509" spans="1:28" x14ac:dyDescent="0.2">
      <c r="A509" s="5">
        <v>50</v>
      </c>
      <c r="B509" s="5">
        <v>0</v>
      </c>
      <c r="C509" s="5">
        <v>0</v>
      </c>
      <c r="D509" s="5">
        <v>1</v>
      </c>
      <c r="E509" s="5">
        <v>233</v>
      </c>
      <c r="F509" s="5">
        <f>ROUND(Source!BD484,O509)</f>
        <v>0</v>
      </c>
      <c r="G509" s="5" t="s">
        <v>149</v>
      </c>
      <c r="H509" s="5" t="s">
        <v>150</v>
      </c>
      <c r="I509" s="5"/>
      <c r="J509" s="5"/>
      <c r="K509" s="5">
        <v>233</v>
      </c>
      <c r="L509" s="5">
        <v>24</v>
      </c>
      <c r="M509" s="5">
        <v>3</v>
      </c>
      <c r="N509" s="5" t="s">
        <v>3</v>
      </c>
      <c r="O509" s="5">
        <v>2</v>
      </c>
      <c r="P509" s="5">
        <f>ROUND(Source!EV484,O509)</f>
        <v>0</v>
      </c>
      <c r="Q509" s="5"/>
      <c r="R509" s="5"/>
      <c r="S509" s="5"/>
      <c r="T509" s="5"/>
      <c r="U509" s="5"/>
      <c r="V509" s="5"/>
      <c r="W509" s="5">
        <v>0</v>
      </c>
      <c r="X509" s="5">
        <v>1</v>
      </c>
      <c r="Y509" s="5">
        <v>0</v>
      </c>
      <c r="Z509" s="5">
        <v>0</v>
      </c>
      <c r="AA509" s="5">
        <v>1</v>
      </c>
      <c r="AB509" s="5">
        <v>0</v>
      </c>
    </row>
    <row r="510" spans="1:28" x14ac:dyDescent="0.2">
      <c r="A510" s="5">
        <v>50</v>
      </c>
      <c r="B510" s="5">
        <v>0</v>
      </c>
      <c r="C510" s="5">
        <v>0</v>
      </c>
      <c r="D510" s="5">
        <v>1</v>
      </c>
      <c r="E510" s="5">
        <v>210</v>
      </c>
      <c r="F510" s="5">
        <f>ROUND(Source!X484,O510)</f>
        <v>1277.81</v>
      </c>
      <c r="G510" s="5" t="s">
        <v>151</v>
      </c>
      <c r="H510" s="5" t="s">
        <v>152</v>
      </c>
      <c r="I510" s="5"/>
      <c r="J510" s="5"/>
      <c r="K510" s="5">
        <v>210</v>
      </c>
      <c r="L510" s="5">
        <v>25</v>
      </c>
      <c r="M510" s="5">
        <v>3</v>
      </c>
      <c r="N510" s="5" t="s">
        <v>3</v>
      </c>
      <c r="O510" s="5">
        <v>2</v>
      </c>
      <c r="P510" s="5">
        <f>ROUND(Source!DP484,O510)</f>
        <v>33297.11</v>
      </c>
      <c r="Q510" s="5"/>
      <c r="R510" s="5"/>
      <c r="S510" s="5"/>
      <c r="T510" s="5"/>
      <c r="U510" s="5"/>
      <c r="V510" s="5"/>
      <c r="W510" s="5">
        <v>1277.81</v>
      </c>
      <c r="X510" s="5">
        <v>1</v>
      </c>
      <c r="Y510" s="5">
        <v>1277.81</v>
      </c>
      <c r="Z510" s="5">
        <v>33297.11</v>
      </c>
      <c r="AA510" s="5">
        <v>1</v>
      </c>
      <c r="AB510" s="5">
        <v>33297.11</v>
      </c>
    </row>
    <row r="511" spans="1:28" x14ac:dyDescent="0.2">
      <c r="A511" s="5">
        <v>50</v>
      </c>
      <c r="B511" s="5">
        <v>0</v>
      </c>
      <c r="C511" s="5">
        <v>0</v>
      </c>
      <c r="D511" s="5">
        <v>1</v>
      </c>
      <c r="E511" s="5">
        <v>211</v>
      </c>
      <c r="F511" s="5">
        <f>ROUND(Source!Y484,O511)</f>
        <v>791.88</v>
      </c>
      <c r="G511" s="5" t="s">
        <v>153</v>
      </c>
      <c r="H511" s="5" t="s">
        <v>154</v>
      </c>
      <c r="I511" s="5"/>
      <c r="J511" s="5"/>
      <c r="K511" s="5">
        <v>211</v>
      </c>
      <c r="L511" s="5">
        <v>26</v>
      </c>
      <c r="M511" s="5">
        <v>3</v>
      </c>
      <c r="N511" s="5" t="s">
        <v>3</v>
      </c>
      <c r="O511" s="5">
        <v>2</v>
      </c>
      <c r="P511" s="5">
        <f>ROUND(Source!DQ484,O511)</f>
        <v>15489.13</v>
      </c>
      <c r="Q511" s="5"/>
      <c r="R511" s="5"/>
      <c r="S511" s="5"/>
      <c r="T511" s="5"/>
      <c r="U511" s="5"/>
      <c r="V511" s="5"/>
      <c r="W511" s="5">
        <v>791.88</v>
      </c>
      <c r="X511" s="5">
        <v>1</v>
      </c>
      <c r="Y511" s="5">
        <v>791.88</v>
      </c>
      <c r="Z511" s="5">
        <v>15489.13</v>
      </c>
      <c r="AA511" s="5">
        <v>1</v>
      </c>
      <c r="AB511" s="5">
        <v>15489.13</v>
      </c>
    </row>
    <row r="512" spans="1:28" x14ac:dyDescent="0.2">
      <c r="A512" s="5">
        <v>50</v>
      </c>
      <c r="B512" s="5">
        <v>0</v>
      </c>
      <c r="C512" s="5">
        <v>0</v>
      </c>
      <c r="D512" s="5">
        <v>1</v>
      </c>
      <c r="E512" s="5">
        <v>224</v>
      </c>
      <c r="F512" s="5">
        <f>ROUND(Source!AR484,O512)</f>
        <v>34552.92</v>
      </c>
      <c r="G512" s="5" t="s">
        <v>155</v>
      </c>
      <c r="H512" s="5" t="s">
        <v>156</v>
      </c>
      <c r="I512" s="5"/>
      <c r="J512" s="5"/>
      <c r="K512" s="5">
        <v>224</v>
      </c>
      <c r="L512" s="5">
        <v>27</v>
      </c>
      <c r="M512" s="5">
        <v>3</v>
      </c>
      <c r="N512" s="5" t="s">
        <v>3</v>
      </c>
      <c r="O512" s="5">
        <v>2</v>
      </c>
      <c r="P512" s="5">
        <f>ROUND(Source!EJ484,O512)</f>
        <v>359123.94</v>
      </c>
      <c r="Q512" s="5"/>
      <c r="R512" s="5"/>
      <c r="S512" s="5"/>
      <c r="T512" s="5"/>
      <c r="U512" s="5"/>
      <c r="V512" s="5"/>
      <c r="W512" s="5">
        <v>34552.92</v>
      </c>
      <c r="X512" s="5">
        <v>1</v>
      </c>
      <c r="Y512" s="5">
        <v>34552.92</v>
      </c>
      <c r="Z512" s="5">
        <v>359123.94</v>
      </c>
      <c r="AA512" s="5">
        <v>1</v>
      </c>
      <c r="AB512" s="5">
        <v>359123.94</v>
      </c>
    </row>
    <row r="515" spans="1:50" x14ac:dyDescent="0.2">
      <c r="A515">
        <v>70</v>
      </c>
      <c r="B515">
        <v>1</v>
      </c>
      <c r="D515">
        <v>1</v>
      </c>
      <c r="E515" t="s">
        <v>444</v>
      </c>
      <c r="F515" t="s">
        <v>445</v>
      </c>
      <c r="G515">
        <v>0</v>
      </c>
      <c r="H515">
        <v>0</v>
      </c>
      <c r="I515" t="s">
        <v>3</v>
      </c>
      <c r="J515">
        <v>0</v>
      </c>
      <c r="K515">
        <v>0</v>
      </c>
      <c r="L515" t="s">
        <v>3</v>
      </c>
      <c r="M515" t="s">
        <v>3</v>
      </c>
      <c r="N515">
        <v>0</v>
      </c>
      <c r="O515">
        <v>0</v>
      </c>
      <c r="P515" t="s">
        <v>3</v>
      </c>
    </row>
    <row r="517" spans="1:50" x14ac:dyDescent="0.2">
      <c r="A517">
        <v>-1</v>
      </c>
    </row>
    <row r="519" spans="1:50" x14ac:dyDescent="0.2">
      <c r="A519" s="4">
        <v>75</v>
      </c>
      <c r="B519" s="4" t="s">
        <v>446</v>
      </c>
      <c r="C519" s="4">
        <v>2000</v>
      </c>
      <c r="D519" s="4">
        <v>0</v>
      </c>
      <c r="E519" s="4">
        <v>1</v>
      </c>
      <c r="F519" s="4"/>
      <c r="G519" s="4">
        <v>0</v>
      </c>
      <c r="H519" s="4">
        <v>1</v>
      </c>
      <c r="I519" s="4">
        <v>0</v>
      </c>
      <c r="J519" s="4">
        <v>1</v>
      </c>
      <c r="K519" s="4">
        <v>98</v>
      </c>
      <c r="L519" s="4">
        <v>77</v>
      </c>
      <c r="M519" s="4">
        <v>0</v>
      </c>
      <c r="N519" s="4">
        <v>56622490</v>
      </c>
      <c r="O519" s="4">
        <v>1</v>
      </c>
    </row>
    <row r="520" spans="1:50" x14ac:dyDescent="0.2">
      <c r="A520" s="4">
        <v>75</v>
      </c>
      <c r="B520" s="4" t="s">
        <v>447</v>
      </c>
      <c r="C520" s="4">
        <v>2024</v>
      </c>
      <c r="D520" s="4">
        <v>0</v>
      </c>
      <c r="E520" s="4">
        <v>4</v>
      </c>
      <c r="F520" s="4"/>
      <c r="G520" s="4">
        <v>0</v>
      </c>
      <c r="H520" s="4">
        <v>2</v>
      </c>
      <c r="I520" s="4">
        <v>1</v>
      </c>
      <c r="J520" s="4">
        <v>1</v>
      </c>
      <c r="K520" s="4">
        <v>95</v>
      </c>
      <c r="L520" s="4">
        <v>65</v>
      </c>
      <c r="M520" s="4">
        <v>1</v>
      </c>
      <c r="N520" s="4">
        <v>56610029</v>
      </c>
      <c r="O520" s="4">
        <v>2</v>
      </c>
    </row>
    <row r="521" spans="1:50" x14ac:dyDescent="0.2">
      <c r="A521" s="6">
        <v>1</v>
      </c>
      <c r="B521" s="6" t="s">
        <v>448</v>
      </c>
      <c r="C521" s="6" t="s">
        <v>449</v>
      </c>
      <c r="D521" s="6">
        <v>2024</v>
      </c>
      <c r="E521" s="6">
        <v>7</v>
      </c>
      <c r="F521" s="6">
        <v>1</v>
      </c>
      <c r="G521" s="6">
        <v>1</v>
      </c>
      <c r="H521" s="6">
        <v>0</v>
      </c>
      <c r="I521" s="6">
        <v>2</v>
      </c>
      <c r="J521" s="6">
        <v>1</v>
      </c>
      <c r="K521" s="6">
        <v>1</v>
      </c>
      <c r="L521" s="6">
        <v>1</v>
      </c>
      <c r="M521" s="6">
        <v>1</v>
      </c>
      <c r="N521" s="6">
        <v>1</v>
      </c>
      <c r="O521" s="6">
        <v>1</v>
      </c>
      <c r="P521" s="6">
        <v>1</v>
      </c>
      <c r="Q521" s="6">
        <v>1</v>
      </c>
      <c r="R521" s="6" t="s">
        <v>3</v>
      </c>
      <c r="S521" s="6" t="s">
        <v>3</v>
      </c>
      <c r="T521" s="6" t="s">
        <v>3</v>
      </c>
      <c r="U521" s="6" t="s">
        <v>3</v>
      </c>
      <c r="V521" s="6" t="s">
        <v>3</v>
      </c>
      <c r="W521" s="6" t="s">
        <v>3</v>
      </c>
      <c r="X521" s="6" t="s">
        <v>3</v>
      </c>
      <c r="Y521" s="6" t="s">
        <v>3</v>
      </c>
      <c r="Z521" s="6" t="s">
        <v>3</v>
      </c>
      <c r="AA521" s="6" t="s">
        <v>450</v>
      </c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>
        <v>56610030</v>
      </c>
      <c r="AO521" s="6"/>
      <c r="AP521" s="6"/>
      <c r="AQ521" s="6"/>
      <c r="AR521" s="6"/>
      <c r="AS521" s="6"/>
      <c r="AT521" s="6"/>
      <c r="AU521" s="6"/>
      <c r="AV521" s="6"/>
      <c r="AW521" s="6"/>
      <c r="AX521" s="6"/>
    </row>
    <row r="525" spans="1:50" x14ac:dyDescent="0.2">
      <c r="A525">
        <v>65</v>
      </c>
      <c r="C525">
        <v>1</v>
      </c>
      <c r="D525">
        <v>0</v>
      </c>
      <c r="E525">
        <v>245</v>
      </c>
    </row>
  </sheetData>
  <printOptions gridLines="1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47045-04C5-4467-91C7-3B9FBED60126}">
  <dimension ref="A1:EC53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451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75112</v>
      </c>
      <c r="M1">
        <v>10</v>
      </c>
      <c r="N1">
        <v>11</v>
      </c>
      <c r="O1">
        <v>15</v>
      </c>
      <c r="P1">
        <v>0</v>
      </c>
      <c r="Q1">
        <v>1</v>
      </c>
    </row>
    <row r="12" spans="1:133" x14ac:dyDescent="0.2">
      <c r="A12" s="1">
        <v>1</v>
      </c>
      <c r="B12" s="1">
        <v>51</v>
      </c>
      <c r="C12" s="1">
        <v>1</v>
      </c>
      <c r="D12" s="1"/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175</v>
      </c>
      <c r="S12" s="1">
        <v>160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8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10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79</v>
      </c>
      <c r="CL12" s="1"/>
      <c r="CM12" s="1"/>
      <c r="CN12" s="1"/>
      <c r="CO12" s="1"/>
      <c r="CP12" s="1"/>
      <c r="CQ12" s="1" t="s">
        <v>11</v>
      </c>
      <c r="CR12" s="1" t="s">
        <v>12</v>
      </c>
      <c r="CS12" s="1">
        <v>41660</v>
      </c>
      <c r="CT12" s="1">
        <v>1</v>
      </c>
      <c r="CU12" s="1">
        <v>73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56622490</v>
      </c>
      <c r="E14" s="1">
        <v>56610029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13</v>
      </c>
      <c r="D16" s="7" t="s">
        <v>14</v>
      </c>
      <c r="E16" s="8">
        <f>ROUND((Source!F471)/1000,2)</f>
        <v>6.77</v>
      </c>
      <c r="F16" s="8">
        <f>ROUND((Source!F472)/1000,2)</f>
        <v>27.78</v>
      </c>
      <c r="G16" s="8">
        <f>ROUND((Source!F463)/1000,2)</f>
        <v>0</v>
      </c>
      <c r="H16" s="8">
        <f>ROUND((Source!F473)/1000+(Source!F474)/1000,2)</f>
        <v>0</v>
      </c>
      <c r="I16" s="8">
        <f>E16+F16+G16+H16</f>
        <v>34.549999999999997</v>
      </c>
      <c r="J16" s="8">
        <f>ROUND((Source!F469+Source!F468)/1000,2)</f>
        <v>1.1399999999999999</v>
      </c>
      <c r="K16" s="8">
        <v>62.42</v>
      </c>
      <c r="L16" s="8">
        <v>0</v>
      </c>
      <c r="M16" s="8">
        <v>0</v>
      </c>
      <c r="N16" s="8">
        <f>I16+L16+M16</f>
        <v>34.549999999999997</v>
      </c>
      <c r="T16" s="9">
        <f>ROUND((Source!P471)/1000,2)</f>
        <v>99.86</v>
      </c>
      <c r="U16" s="9">
        <f>ROUND((Source!P472)/1000,2)</f>
        <v>259.26</v>
      </c>
      <c r="V16" s="9">
        <f>ROUND((Source!P463)/1000,2)</f>
        <v>0</v>
      </c>
      <c r="W16" s="9">
        <f>ROUND((Source!P473)/1000+(Source!P474)/1000,2)</f>
        <v>0</v>
      </c>
      <c r="X16" s="9">
        <f>T16+U16+V16+W16</f>
        <v>359.12</v>
      </c>
      <c r="Y16" s="9">
        <f>ROUND((Source!P469+Source!P468)/1000,2)</f>
        <v>39.44</v>
      </c>
      <c r="Z16" s="9">
        <v>557.79</v>
      </c>
      <c r="AA16" s="9">
        <v>0</v>
      </c>
      <c r="AB16" s="9">
        <v>0</v>
      </c>
      <c r="AC16" s="9">
        <f>X16+AA16+AB16</f>
        <v>359.12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32252.82</v>
      </c>
      <c r="AU16" s="8">
        <v>30165.58</v>
      </c>
      <c r="AV16" s="8">
        <v>0</v>
      </c>
      <c r="AW16" s="8">
        <v>0</v>
      </c>
      <c r="AX16" s="8">
        <v>0</v>
      </c>
      <c r="AY16" s="8">
        <v>1076.1500000000001</v>
      </c>
      <c r="AZ16" s="8">
        <v>131.63999999999999</v>
      </c>
      <c r="BA16" s="8">
        <v>1011.09</v>
      </c>
      <c r="BB16" s="8">
        <v>6770.74</v>
      </c>
      <c r="BC16" s="8">
        <v>27782.18</v>
      </c>
      <c r="BD16" s="8">
        <v>0</v>
      </c>
      <c r="BE16" s="8">
        <v>0</v>
      </c>
      <c r="BF16" s="8">
        <v>87.630625511080012</v>
      </c>
      <c r="BG16" s="8">
        <v>0</v>
      </c>
      <c r="BH16" s="8">
        <v>0</v>
      </c>
      <c r="BI16" s="8">
        <v>1277.81</v>
      </c>
      <c r="BJ16" s="8">
        <v>791.88</v>
      </c>
      <c r="BK16" s="8">
        <v>34552.92</v>
      </c>
      <c r="BR16" s="9">
        <v>303069.08</v>
      </c>
      <c r="BS16" s="9">
        <v>254724.46</v>
      </c>
      <c r="BT16" s="9">
        <v>0</v>
      </c>
      <c r="BU16" s="9">
        <v>0</v>
      </c>
      <c r="BV16" s="9">
        <v>0</v>
      </c>
      <c r="BW16" s="9">
        <v>13451.9</v>
      </c>
      <c r="BX16" s="9">
        <v>4542.8999999999996</v>
      </c>
      <c r="BY16" s="9">
        <v>34892.720000000001</v>
      </c>
      <c r="BZ16" s="9">
        <v>99859.22</v>
      </c>
      <c r="CA16" s="9">
        <v>259264.72</v>
      </c>
      <c r="CB16" s="9">
        <v>0</v>
      </c>
      <c r="CC16" s="9">
        <v>0</v>
      </c>
      <c r="CD16" s="9">
        <v>87.630625511080012</v>
      </c>
      <c r="CE16" s="9">
        <v>0</v>
      </c>
      <c r="CF16" s="9">
        <v>0</v>
      </c>
      <c r="CG16" s="9">
        <v>33297.11</v>
      </c>
      <c r="CH16" s="9">
        <v>15489.13</v>
      </c>
      <c r="CI16" s="9">
        <v>359123.94</v>
      </c>
    </row>
    <row r="18" spans="1:29" x14ac:dyDescent="0.2">
      <c r="A18">
        <v>51</v>
      </c>
      <c r="E18">
        <v>6.77</v>
      </c>
      <c r="F18">
        <v>27.78</v>
      </c>
      <c r="G18">
        <v>0</v>
      </c>
      <c r="H18">
        <v>0</v>
      </c>
      <c r="I18">
        <v>34.549999999999997</v>
      </c>
      <c r="J18">
        <v>1.1399999999999999</v>
      </c>
      <c r="K18">
        <v>62.42</v>
      </c>
      <c r="L18">
        <v>0</v>
      </c>
      <c r="M18">
        <v>0</v>
      </c>
      <c r="N18">
        <v>34.549999999999997</v>
      </c>
      <c r="T18">
        <v>99.86</v>
      </c>
      <c r="U18">
        <v>259.26</v>
      </c>
      <c r="V18">
        <v>0</v>
      </c>
      <c r="W18">
        <v>0</v>
      </c>
      <c r="X18">
        <v>359.12</v>
      </c>
      <c r="Y18">
        <v>39.44</v>
      </c>
      <c r="Z18">
        <v>557.79</v>
      </c>
      <c r="AA18">
        <v>0</v>
      </c>
      <c r="AB18">
        <v>0</v>
      </c>
      <c r="AC18">
        <v>359.12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32252.82</v>
      </c>
      <c r="G20" s="5" t="s">
        <v>103</v>
      </c>
      <c r="H20" s="5" t="s">
        <v>104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303069.08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30165.58</v>
      </c>
      <c r="G21" s="5" t="s">
        <v>105</v>
      </c>
      <c r="H21" s="5" t="s">
        <v>106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254724.46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107</v>
      </c>
      <c r="H22" s="5" t="s">
        <v>108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30165.58</v>
      </c>
      <c r="G23" s="5" t="s">
        <v>109</v>
      </c>
      <c r="H23" s="5" t="s">
        <v>110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254724.46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30165.58</v>
      </c>
      <c r="G24" s="5" t="s">
        <v>111</v>
      </c>
      <c r="H24" s="5" t="s">
        <v>112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254724.46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113</v>
      </c>
      <c r="H25" s="5" t="s">
        <v>114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30165.58</v>
      </c>
      <c r="G26" s="5" t="s">
        <v>115</v>
      </c>
      <c r="H26" s="5" t="s">
        <v>116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254724.46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0</v>
      </c>
      <c r="G27" s="5" t="s">
        <v>117</v>
      </c>
      <c r="H27" s="5" t="s">
        <v>118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0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119</v>
      </c>
      <c r="H28" s="5" t="s">
        <v>120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0</v>
      </c>
      <c r="G29" s="5" t="s">
        <v>121</v>
      </c>
      <c r="H29" s="5" t="s">
        <v>122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0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1076.1500000000001</v>
      </c>
      <c r="G30" s="5" t="s">
        <v>123</v>
      </c>
      <c r="H30" s="5" t="s">
        <v>124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13451.9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125</v>
      </c>
      <c r="H31" s="5" t="s">
        <v>126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131.63999999999999</v>
      </c>
      <c r="G32" s="5" t="s">
        <v>127</v>
      </c>
      <c r="H32" s="5" t="s">
        <v>128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4542.8999999999996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1011.09</v>
      </c>
      <c r="G33" s="5" t="s">
        <v>129</v>
      </c>
      <c r="H33" s="5" t="s">
        <v>130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34892.720000000001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131</v>
      </c>
      <c r="H34" s="5" t="s">
        <v>132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6770.74</v>
      </c>
      <c r="G35" s="5" t="s">
        <v>133</v>
      </c>
      <c r="H35" s="5" t="s">
        <v>134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99859.22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27782.18</v>
      </c>
      <c r="G36" s="5" t="s">
        <v>135</v>
      </c>
      <c r="H36" s="5" t="s">
        <v>136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259264.72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137</v>
      </c>
      <c r="H37" s="5" t="s">
        <v>138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139</v>
      </c>
      <c r="H38" s="5" t="s">
        <v>140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141</v>
      </c>
      <c r="H39" s="5" t="s">
        <v>142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87.630625511080012</v>
      </c>
      <c r="G40" s="5" t="s">
        <v>143</v>
      </c>
      <c r="H40" s="5" t="s">
        <v>144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87.630625511080012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145</v>
      </c>
      <c r="H41" s="5" t="s">
        <v>146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147</v>
      </c>
      <c r="H42" s="5" t="s">
        <v>148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149</v>
      </c>
      <c r="H43" s="5" t="s">
        <v>150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1277.81</v>
      </c>
      <c r="G44" s="5" t="s">
        <v>151</v>
      </c>
      <c r="H44" s="5" t="s">
        <v>152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33297.11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791.88</v>
      </c>
      <c r="G45" s="5" t="s">
        <v>153</v>
      </c>
      <c r="H45" s="5" t="s">
        <v>154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15489.13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34552.92</v>
      </c>
      <c r="G46" s="5" t="s">
        <v>155</v>
      </c>
      <c r="H46" s="5" t="s">
        <v>156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359123.94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446</v>
      </c>
      <c r="C51" s="4">
        <v>2000</v>
      </c>
      <c r="D51" s="4">
        <v>0</v>
      </c>
      <c r="E51" s="4">
        <v>1</v>
      </c>
      <c r="F51" s="4"/>
      <c r="G51" s="4">
        <v>0</v>
      </c>
      <c r="H51" s="4">
        <v>1</v>
      </c>
      <c r="I51" s="4">
        <v>0</v>
      </c>
      <c r="J51" s="4">
        <v>1</v>
      </c>
      <c r="K51" s="4">
        <v>98</v>
      </c>
      <c r="L51" s="4">
        <v>77</v>
      </c>
      <c r="M51" s="4">
        <v>0</v>
      </c>
      <c r="N51" s="4">
        <v>56622490</v>
      </c>
      <c r="O51" s="4">
        <v>1</v>
      </c>
    </row>
    <row r="52" spans="1:50" x14ac:dyDescent="0.2">
      <c r="A52" s="4">
        <v>75</v>
      </c>
      <c r="B52" s="4" t="s">
        <v>447</v>
      </c>
      <c r="C52" s="4">
        <v>2024</v>
      </c>
      <c r="D52" s="4">
        <v>0</v>
      </c>
      <c r="E52" s="4">
        <v>4</v>
      </c>
      <c r="F52" s="4"/>
      <c r="G52" s="4">
        <v>0</v>
      </c>
      <c r="H52" s="4">
        <v>2</v>
      </c>
      <c r="I52" s="4">
        <v>1</v>
      </c>
      <c r="J52" s="4">
        <v>1</v>
      </c>
      <c r="K52" s="4">
        <v>95</v>
      </c>
      <c r="L52" s="4">
        <v>65</v>
      </c>
      <c r="M52" s="4">
        <v>1</v>
      </c>
      <c r="N52" s="4">
        <v>56610029</v>
      </c>
      <c r="O52" s="4">
        <v>2</v>
      </c>
    </row>
    <row r="53" spans="1:50" x14ac:dyDescent="0.2">
      <c r="A53" s="6">
        <v>1</v>
      </c>
      <c r="B53" s="6" t="s">
        <v>448</v>
      </c>
      <c r="C53" s="6" t="s">
        <v>449</v>
      </c>
      <c r="D53" s="6">
        <v>2024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450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56610030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2014-B461-4BFF-924C-AEAD4F3BE9EE}">
  <dimension ref="A1:DO7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ROW(Source!A121)</f>
        <v>121</v>
      </c>
      <c r="B1">
        <v>56622490</v>
      </c>
      <c r="C1">
        <v>56622474</v>
      </c>
      <c r="D1">
        <v>47634407</v>
      </c>
      <c r="E1">
        <v>27786564</v>
      </c>
      <c r="F1">
        <v>1</v>
      </c>
      <c r="G1">
        <v>27786564</v>
      </c>
      <c r="H1">
        <v>1</v>
      </c>
      <c r="I1" t="s">
        <v>452</v>
      </c>
      <c r="J1" t="s">
        <v>3</v>
      </c>
      <c r="K1" t="s">
        <v>453</v>
      </c>
      <c r="L1">
        <v>1191</v>
      </c>
      <c r="N1">
        <v>1013</v>
      </c>
      <c r="O1" t="s">
        <v>454</v>
      </c>
      <c r="P1" t="s">
        <v>454</v>
      </c>
      <c r="Q1">
        <v>1</v>
      </c>
      <c r="W1">
        <v>0</v>
      </c>
      <c r="X1">
        <v>476480486</v>
      </c>
      <c r="Y1">
        <f t="shared" ref="Y1:Y34" si="0">AT1</f>
        <v>4.09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4.09</v>
      </c>
      <c r="AU1" t="s">
        <v>3</v>
      </c>
      <c r="AV1">
        <v>1</v>
      </c>
      <c r="AW1">
        <v>2</v>
      </c>
      <c r="AX1">
        <v>56622475</v>
      </c>
      <c r="AY1">
        <v>1</v>
      </c>
      <c r="AZ1">
        <v>0</v>
      </c>
      <c r="BA1">
        <v>239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ROUND(AT1*Source!I121*AH1*AL1,2)</f>
        <v>0</v>
      </c>
      <c r="CV1">
        <f>ROUND(Y1*Source!I121,9)</f>
        <v>0.31288500000000002</v>
      </c>
      <c r="CW1">
        <v>0</v>
      </c>
      <c r="CX1">
        <f>ROUND(Y1*Source!I121,9)</f>
        <v>0.31288500000000002</v>
      </c>
      <c r="CY1">
        <f>AD1</f>
        <v>0</v>
      </c>
      <c r="CZ1">
        <f>AH1</f>
        <v>0</v>
      </c>
      <c r="DA1">
        <f>AL1</f>
        <v>1</v>
      </c>
      <c r="DB1">
        <f t="shared" ref="DB1:DB34" si="1">ROUND(ROUND(AT1*CZ1,2),6)</f>
        <v>0</v>
      </c>
      <c r="DC1">
        <f t="shared" ref="DC1:DC34" si="2">ROUND(ROUND(AT1*AG1,2),6)</f>
        <v>0</v>
      </c>
      <c r="DD1" t="s">
        <v>3</v>
      </c>
      <c r="DE1" t="s">
        <v>3</v>
      </c>
      <c r="DF1">
        <f>ROUND(ROUND(AE1,2)*CX1,2)</f>
        <v>0</v>
      </c>
      <c r="DG1">
        <f>ROUND(ROUND(AF1,2)*CX1,2)</f>
        <v>0</v>
      </c>
      <c r="DH1">
        <f>ROUND(ROUND(AG1,2)*CX1,2)</f>
        <v>0</v>
      </c>
      <c r="DI1">
        <f t="shared" ref="DI1:DI32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ROW(Source!A121)</f>
        <v>121</v>
      </c>
      <c r="B2">
        <v>56622490</v>
      </c>
      <c r="C2">
        <v>56622474</v>
      </c>
      <c r="D2">
        <v>47767106</v>
      </c>
      <c r="E2">
        <v>1</v>
      </c>
      <c r="F2">
        <v>1</v>
      </c>
      <c r="G2">
        <v>27786564</v>
      </c>
      <c r="H2">
        <v>2</v>
      </c>
      <c r="I2" t="s">
        <v>455</v>
      </c>
      <c r="J2" t="s">
        <v>456</v>
      </c>
      <c r="K2" t="s">
        <v>457</v>
      </c>
      <c r="L2">
        <v>1368</v>
      </c>
      <c r="N2">
        <v>1011</v>
      </c>
      <c r="O2" t="s">
        <v>458</v>
      </c>
      <c r="P2" t="s">
        <v>458</v>
      </c>
      <c r="Q2">
        <v>1</v>
      </c>
      <c r="W2">
        <v>0</v>
      </c>
      <c r="X2">
        <v>-7781208</v>
      </c>
      <c r="Y2">
        <f t="shared" si="0"/>
        <v>0.5</v>
      </c>
      <c r="AA2">
        <v>0</v>
      </c>
      <c r="AB2">
        <v>83.1</v>
      </c>
      <c r="AC2">
        <v>12.62</v>
      </c>
      <c r="AD2">
        <v>0</v>
      </c>
      <c r="AE2">
        <v>0</v>
      </c>
      <c r="AF2">
        <v>83.1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0.5</v>
      </c>
      <c r="AU2" t="s">
        <v>3</v>
      </c>
      <c r="AV2">
        <v>0</v>
      </c>
      <c r="AW2">
        <v>2</v>
      </c>
      <c r="AX2">
        <v>56622476</v>
      </c>
      <c r="AY2">
        <v>1</v>
      </c>
      <c r="AZ2">
        <v>0</v>
      </c>
      <c r="BA2">
        <v>240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ROUND(Y2*Source!I121*DO2,9)</f>
        <v>0</v>
      </c>
      <c r="CX2">
        <f>ROUND(Y2*Source!I121,9)</f>
        <v>3.8249999999999999E-2</v>
      </c>
      <c r="CY2">
        <f>AB2</f>
        <v>83.1</v>
      </c>
      <c r="CZ2">
        <f>AF2</f>
        <v>83.1</v>
      </c>
      <c r="DA2">
        <f>AJ2</f>
        <v>1</v>
      </c>
      <c r="DB2">
        <f t="shared" si="1"/>
        <v>41.55</v>
      </c>
      <c r="DC2">
        <f t="shared" si="2"/>
        <v>6.31</v>
      </c>
      <c r="DD2" t="s">
        <v>3</v>
      </c>
      <c r="DE2" t="s">
        <v>3</v>
      </c>
      <c r="DF2">
        <f>ROUND(ROUND(AE2,2)*CX2,2)</f>
        <v>0</v>
      </c>
      <c r="DG2">
        <f>ROUND(ROUND(AF2,2)*CX2,2)</f>
        <v>3.18</v>
      </c>
      <c r="DH2">
        <f>ROUND(ROUND(AG2,2)*CX2,2)</f>
        <v>0.48</v>
      </c>
      <c r="DI2">
        <f t="shared" si="3"/>
        <v>0</v>
      </c>
      <c r="DJ2">
        <f>DG2</f>
        <v>3.18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ROW(Source!A121)</f>
        <v>121</v>
      </c>
      <c r="B3">
        <v>56622490</v>
      </c>
      <c r="C3">
        <v>56622474</v>
      </c>
      <c r="D3">
        <v>46724883</v>
      </c>
      <c r="E3">
        <v>1</v>
      </c>
      <c r="F3">
        <v>1</v>
      </c>
      <c r="G3">
        <v>27786564</v>
      </c>
      <c r="H3">
        <v>3</v>
      </c>
      <c r="I3" t="s">
        <v>459</v>
      </c>
      <c r="J3" t="s">
        <v>460</v>
      </c>
      <c r="K3" t="s">
        <v>461</v>
      </c>
      <c r="L3">
        <v>1354</v>
      </c>
      <c r="N3">
        <v>1010</v>
      </c>
      <c r="O3" t="s">
        <v>90</v>
      </c>
      <c r="P3" t="s">
        <v>90</v>
      </c>
      <c r="Q3">
        <v>1</v>
      </c>
      <c r="W3">
        <v>0</v>
      </c>
      <c r="X3">
        <v>1396539991</v>
      </c>
      <c r="Y3">
        <f t="shared" si="0"/>
        <v>208</v>
      </c>
      <c r="AA3">
        <v>8.82</v>
      </c>
      <c r="AB3">
        <v>0</v>
      </c>
      <c r="AC3">
        <v>0</v>
      </c>
      <c r="AD3">
        <v>0</v>
      </c>
      <c r="AE3">
        <v>8.82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208</v>
      </c>
      <c r="AU3" t="s">
        <v>3</v>
      </c>
      <c r="AV3">
        <v>0</v>
      </c>
      <c r="AW3">
        <v>2</v>
      </c>
      <c r="AX3">
        <v>56622477</v>
      </c>
      <c r="AY3">
        <v>1</v>
      </c>
      <c r="AZ3">
        <v>0</v>
      </c>
      <c r="BA3">
        <v>241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v>0</v>
      </c>
      <c r="CX3">
        <f>ROUND(Y3*Source!I121,9)</f>
        <v>15.912000000000001</v>
      </c>
      <c r="CY3">
        <f>AA3</f>
        <v>8.82</v>
      </c>
      <c r="CZ3">
        <f>AE3</f>
        <v>8.82</v>
      </c>
      <c r="DA3">
        <f>AI3</f>
        <v>1</v>
      </c>
      <c r="DB3">
        <f t="shared" si="1"/>
        <v>1834.56</v>
      </c>
      <c r="DC3">
        <f t="shared" si="2"/>
        <v>0</v>
      </c>
      <c r="DD3" t="s">
        <v>3</v>
      </c>
      <c r="DE3" t="s">
        <v>3</v>
      </c>
      <c r="DF3">
        <f>ROUND(ROUND(AE3,2)*CX3,2)</f>
        <v>140.34</v>
      </c>
      <c r="DG3">
        <f>ROUND(ROUND(AF3,2)*CX3,2)</f>
        <v>0</v>
      </c>
      <c r="DH3">
        <f>ROUND(ROUND(AG3,2)*CX3,2)</f>
        <v>0</v>
      </c>
      <c r="DI3">
        <f t="shared" si="3"/>
        <v>0</v>
      </c>
      <c r="DJ3">
        <f>DF3</f>
        <v>140.34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ROW(Source!A122)</f>
        <v>122</v>
      </c>
      <c r="B4">
        <v>56610029</v>
      </c>
      <c r="C4">
        <v>56622474</v>
      </c>
      <c r="D4">
        <v>47634407</v>
      </c>
      <c r="E4">
        <v>27786564</v>
      </c>
      <c r="F4">
        <v>1</v>
      </c>
      <c r="G4">
        <v>27786564</v>
      </c>
      <c r="H4">
        <v>1</v>
      </c>
      <c r="I4" t="s">
        <v>452</v>
      </c>
      <c r="J4" t="s">
        <v>3</v>
      </c>
      <c r="K4" t="s">
        <v>453</v>
      </c>
      <c r="L4">
        <v>1191</v>
      </c>
      <c r="N4">
        <v>1013</v>
      </c>
      <c r="O4" t="s">
        <v>454</v>
      </c>
      <c r="P4" t="s">
        <v>454</v>
      </c>
      <c r="Q4">
        <v>1</v>
      </c>
      <c r="W4">
        <v>0</v>
      </c>
      <c r="X4">
        <v>476480486</v>
      </c>
      <c r="Y4">
        <f t="shared" si="0"/>
        <v>4.09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4.09</v>
      </c>
      <c r="AU4" t="s">
        <v>3</v>
      </c>
      <c r="AV4">
        <v>1</v>
      </c>
      <c r="AW4">
        <v>2</v>
      </c>
      <c r="AX4">
        <v>56622475</v>
      </c>
      <c r="AY4">
        <v>1</v>
      </c>
      <c r="AZ4">
        <v>0</v>
      </c>
      <c r="BA4">
        <v>242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U4">
        <f>ROUND(AT4*Source!I122*AH4*AL4,2)</f>
        <v>0</v>
      </c>
      <c r="CV4">
        <f>ROUND(Y4*Source!I122,9)</f>
        <v>0.31288500000000002</v>
      </c>
      <c r="CW4">
        <v>0</v>
      </c>
      <c r="CX4">
        <f>ROUND(Y4*Source!I122,9)</f>
        <v>0.31288500000000002</v>
      </c>
      <c r="CY4">
        <f>AD4</f>
        <v>0</v>
      </c>
      <c r="CZ4">
        <f>AH4</f>
        <v>0</v>
      </c>
      <c r="DA4">
        <f>AL4</f>
        <v>1</v>
      </c>
      <c r="DB4">
        <f t="shared" si="1"/>
        <v>0</v>
      </c>
      <c r="DC4">
        <f t="shared" si="2"/>
        <v>0</v>
      </c>
      <c r="DD4" t="s">
        <v>3</v>
      </c>
      <c r="DE4" t="s">
        <v>3</v>
      </c>
      <c r="DF4">
        <f>ROUND(ROUND(AE4,2)*CX4,2)</f>
        <v>0</v>
      </c>
      <c r="DG4">
        <f>ROUND(ROUND(AF4,2)*CX4,2)</f>
        <v>0</v>
      </c>
      <c r="DH4">
        <f>ROUND(ROUND(AG4,2)*CX4,2)</f>
        <v>0</v>
      </c>
      <c r="DI4">
        <f t="shared" si="3"/>
        <v>0</v>
      </c>
      <c r="DJ4">
        <f>DI4</f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ROW(Source!A122)</f>
        <v>122</v>
      </c>
      <c r="B5">
        <v>56610029</v>
      </c>
      <c r="C5">
        <v>56622474</v>
      </c>
      <c r="D5">
        <v>47767106</v>
      </c>
      <c r="E5">
        <v>1</v>
      </c>
      <c r="F5">
        <v>1</v>
      </c>
      <c r="G5">
        <v>27786564</v>
      </c>
      <c r="H5">
        <v>2</v>
      </c>
      <c r="I5" t="s">
        <v>455</v>
      </c>
      <c r="J5" t="s">
        <v>456</v>
      </c>
      <c r="K5" t="s">
        <v>457</v>
      </c>
      <c r="L5">
        <v>1368</v>
      </c>
      <c r="N5">
        <v>1011</v>
      </c>
      <c r="O5" t="s">
        <v>458</v>
      </c>
      <c r="P5" t="s">
        <v>458</v>
      </c>
      <c r="Q5">
        <v>1</v>
      </c>
      <c r="W5">
        <v>0</v>
      </c>
      <c r="X5">
        <v>-7781208</v>
      </c>
      <c r="Y5">
        <f t="shared" si="0"/>
        <v>0.5</v>
      </c>
      <c r="AA5">
        <v>0</v>
      </c>
      <c r="AB5">
        <v>1140.27</v>
      </c>
      <c r="AC5">
        <v>464.7</v>
      </c>
      <c r="AD5">
        <v>0</v>
      </c>
      <c r="AE5">
        <v>0</v>
      </c>
      <c r="AF5">
        <v>83.1</v>
      </c>
      <c r="AG5">
        <v>12.62</v>
      </c>
      <c r="AH5">
        <v>0</v>
      </c>
      <c r="AI5">
        <v>1</v>
      </c>
      <c r="AJ5">
        <v>12.86</v>
      </c>
      <c r="AK5">
        <v>34.51</v>
      </c>
      <c r="AL5">
        <v>1</v>
      </c>
      <c r="AM5">
        <v>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0.5</v>
      </c>
      <c r="AU5" t="s">
        <v>3</v>
      </c>
      <c r="AV5">
        <v>0</v>
      </c>
      <c r="AW5">
        <v>2</v>
      </c>
      <c r="AX5">
        <v>56622476</v>
      </c>
      <c r="AY5">
        <v>1</v>
      </c>
      <c r="AZ5">
        <v>0</v>
      </c>
      <c r="BA5">
        <v>243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f>ROUND(Y5*Source!I122*DO5,9)</f>
        <v>0</v>
      </c>
      <c r="CX5">
        <f>ROUND(Y5*Source!I122,9)</f>
        <v>3.8249999999999999E-2</v>
      </c>
      <c r="CY5">
        <f>AB5</f>
        <v>1140.27</v>
      </c>
      <c r="CZ5">
        <f>AF5</f>
        <v>83.1</v>
      </c>
      <c r="DA5">
        <f>AJ5</f>
        <v>12.86</v>
      </c>
      <c r="DB5">
        <f t="shared" si="1"/>
        <v>41.55</v>
      </c>
      <c r="DC5">
        <f t="shared" si="2"/>
        <v>6.31</v>
      </c>
      <c r="DD5" t="s">
        <v>3</v>
      </c>
      <c r="DE5" t="s">
        <v>3</v>
      </c>
      <c r="DF5">
        <f>ROUND(ROUND(AE5,2)*CX5,2)</f>
        <v>0</v>
      </c>
      <c r="DG5">
        <f>ROUND(ROUND(AF5*AJ5,2)*CX5,2)</f>
        <v>40.880000000000003</v>
      </c>
      <c r="DH5">
        <f>ROUND(ROUND(AG5*AK5,2)*CX5,2)</f>
        <v>16.66</v>
      </c>
      <c r="DI5">
        <f t="shared" si="3"/>
        <v>0</v>
      </c>
      <c r="DJ5">
        <f>DG5</f>
        <v>40.880000000000003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ROW(Source!A122)</f>
        <v>122</v>
      </c>
      <c r="B6">
        <v>56610029</v>
      </c>
      <c r="C6">
        <v>56622474</v>
      </c>
      <c r="D6">
        <v>46724883</v>
      </c>
      <c r="E6">
        <v>1</v>
      </c>
      <c r="F6">
        <v>1</v>
      </c>
      <c r="G6">
        <v>27786564</v>
      </c>
      <c r="H6">
        <v>3</v>
      </c>
      <c r="I6" t="s">
        <v>459</v>
      </c>
      <c r="J6" t="s">
        <v>460</v>
      </c>
      <c r="K6" t="s">
        <v>461</v>
      </c>
      <c r="L6">
        <v>1354</v>
      </c>
      <c r="N6">
        <v>1010</v>
      </c>
      <c r="O6" t="s">
        <v>90</v>
      </c>
      <c r="P6" t="s">
        <v>90</v>
      </c>
      <c r="Q6">
        <v>1</v>
      </c>
      <c r="W6">
        <v>0</v>
      </c>
      <c r="X6">
        <v>1396539991</v>
      </c>
      <c r="Y6">
        <f t="shared" si="0"/>
        <v>208</v>
      </c>
      <c r="AA6">
        <v>87.91</v>
      </c>
      <c r="AB6">
        <v>0</v>
      </c>
      <c r="AC6">
        <v>0</v>
      </c>
      <c r="AD6">
        <v>0</v>
      </c>
      <c r="AE6">
        <v>8.82</v>
      </c>
      <c r="AF6">
        <v>0</v>
      </c>
      <c r="AG6">
        <v>0</v>
      </c>
      <c r="AH6">
        <v>0</v>
      </c>
      <c r="AI6">
        <v>9.2200000000000006</v>
      </c>
      <c r="AJ6">
        <v>1</v>
      </c>
      <c r="AK6">
        <v>1</v>
      </c>
      <c r="AL6">
        <v>1</v>
      </c>
      <c r="AM6">
        <v>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208</v>
      </c>
      <c r="AU6" t="s">
        <v>3</v>
      </c>
      <c r="AV6">
        <v>0</v>
      </c>
      <c r="AW6">
        <v>2</v>
      </c>
      <c r="AX6">
        <v>56622477</v>
      </c>
      <c r="AY6">
        <v>1</v>
      </c>
      <c r="AZ6">
        <v>0</v>
      </c>
      <c r="BA6">
        <v>244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ROUND(Y6*Source!I122,9)</f>
        <v>15.912000000000001</v>
      </c>
      <c r="CY6">
        <f>AA6</f>
        <v>87.91</v>
      </c>
      <c r="CZ6">
        <f>AE6</f>
        <v>8.82</v>
      </c>
      <c r="DA6">
        <f>AI6</f>
        <v>9.2200000000000006</v>
      </c>
      <c r="DB6">
        <f t="shared" si="1"/>
        <v>1834.56</v>
      </c>
      <c r="DC6">
        <f t="shared" si="2"/>
        <v>0</v>
      </c>
      <c r="DD6" t="s">
        <v>3</v>
      </c>
      <c r="DE6" t="s">
        <v>3</v>
      </c>
      <c r="DF6">
        <f>ROUND(ROUND(AE6*AI6,2)*CX6,2)</f>
        <v>1293.96</v>
      </c>
      <c r="DG6">
        <f>ROUND(ROUND(AF6,2)*CX6,2)</f>
        <v>0</v>
      </c>
      <c r="DH6">
        <f>ROUND(ROUND(AG6,2)*CX6,2)</f>
        <v>0</v>
      </c>
      <c r="DI6">
        <f t="shared" si="3"/>
        <v>0</v>
      </c>
      <c r="DJ6">
        <f>DF6</f>
        <v>1293.96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ROW(Source!A123)</f>
        <v>123</v>
      </c>
      <c r="B7">
        <v>56622490</v>
      </c>
      <c r="C7">
        <v>56622478</v>
      </c>
      <c r="D7">
        <v>47634407</v>
      </c>
      <c r="E7">
        <v>27786564</v>
      </c>
      <c r="F7">
        <v>1</v>
      </c>
      <c r="G7">
        <v>27786564</v>
      </c>
      <c r="H7">
        <v>1</v>
      </c>
      <c r="I7" t="s">
        <v>452</v>
      </c>
      <c r="J7" t="s">
        <v>3</v>
      </c>
      <c r="K7" t="s">
        <v>453</v>
      </c>
      <c r="L7">
        <v>1191</v>
      </c>
      <c r="N7">
        <v>1013</v>
      </c>
      <c r="O7" t="s">
        <v>454</v>
      </c>
      <c r="P7" t="s">
        <v>454</v>
      </c>
      <c r="Q7">
        <v>1</v>
      </c>
      <c r="W7">
        <v>0</v>
      </c>
      <c r="X7">
        <v>476480486</v>
      </c>
      <c r="Y7">
        <f t="shared" si="0"/>
        <v>4.09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4.09</v>
      </c>
      <c r="AU7" t="s">
        <v>3</v>
      </c>
      <c r="AV7">
        <v>1</v>
      </c>
      <c r="AW7">
        <v>2</v>
      </c>
      <c r="AX7">
        <v>56622479</v>
      </c>
      <c r="AY7">
        <v>1</v>
      </c>
      <c r="AZ7">
        <v>0</v>
      </c>
      <c r="BA7">
        <v>245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U7">
        <f>ROUND(AT7*Source!I123*AH7*AL7,2)</f>
        <v>0</v>
      </c>
      <c r="CV7">
        <f>ROUND(Y7*Source!I123,9)</f>
        <v>0.73006499999999996</v>
      </c>
      <c r="CW7">
        <v>0</v>
      </c>
      <c r="CX7">
        <f>ROUND(Y7*Source!I123,9)</f>
        <v>0.73006499999999996</v>
      </c>
      <c r="CY7">
        <f>AD7</f>
        <v>0</v>
      </c>
      <c r="CZ7">
        <f>AH7</f>
        <v>0</v>
      </c>
      <c r="DA7">
        <f>AL7</f>
        <v>1</v>
      </c>
      <c r="DB7">
        <f t="shared" si="1"/>
        <v>0</v>
      </c>
      <c r="DC7">
        <f t="shared" si="2"/>
        <v>0</v>
      </c>
      <c r="DD7" t="s">
        <v>3</v>
      </c>
      <c r="DE7" t="s">
        <v>3</v>
      </c>
      <c r="DF7">
        <f>ROUND(ROUND(AE7,2)*CX7,2)</f>
        <v>0</v>
      </c>
      <c r="DG7">
        <f>ROUND(ROUND(AF7,2)*CX7,2)</f>
        <v>0</v>
      </c>
      <c r="DH7">
        <f>ROUND(ROUND(AG7,2)*CX7,2)</f>
        <v>0</v>
      </c>
      <c r="DI7">
        <f t="shared" si="3"/>
        <v>0</v>
      </c>
      <c r="DJ7">
        <f>DI7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ROW(Source!A123)</f>
        <v>123</v>
      </c>
      <c r="B8">
        <v>56622490</v>
      </c>
      <c r="C8">
        <v>56622478</v>
      </c>
      <c r="D8">
        <v>47767106</v>
      </c>
      <c r="E8">
        <v>1</v>
      </c>
      <c r="F8">
        <v>1</v>
      </c>
      <c r="G8">
        <v>27786564</v>
      </c>
      <c r="H8">
        <v>2</v>
      </c>
      <c r="I8" t="s">
        <v>455</v>
      </c>
      <c r="J8" t="s">
        <v>456</v>
      </c>
      <c r="K8" t="s">
        <v>457</v>
      </c>
      <c r="L8">
        <v>1368</v>
      </c>
      <c r="N8">
        <v>1011</v>
      </c>
      <c r="O8" t="s">
        <v>458</v>
      </c>
      <c r="P8" t="s">
        <v>458</v>
      </c>
      <c r="Q8">
        <v>1</v>
      </c>
      <c r="W8">
        <v>0</v>
      </c>
      <c r="X8">
        <v>-7781208</v>
      </c>
      <c r="Y8">
        <f t="shared" si="0"/>
        <v>0.5</v>
      </c>
      <c r="AA8">
        <v>0</v>
      </c>
      <c r="AB8">
        <v>83.1</v>
      </c>
      <c r="AC8">
        <v>12.62</v>
      </c>
      <c r="AD8">
        <v>0</v>
      </c>
      <c r="AE8">
        <v>0</v>
      </c>
      <c r="AF8">
        <v>83.1</v>
      </c>
      <c r="AG8">
        <v>12.62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0.5</v>
      </c>
      <c r="AU8" t="s">
        <v>3</v>
      </c>
      <c r="AV8">
        <v>0</v>
      </c>
      <c r="AW8">
        <v>2</v>
      </c>
      <c r="AX8">
        <v>56622480</v>
      </c>
      <c r="AY8">
        <v>1</v>
      </c>
      <c r="AZ8">
        <v>0</v>
      </c>
      <c r="BA8">
        <v>246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f>ROUND(Y8*Source!I123*DO8,9)</f>
        <v>0</v>
      </c>
      <c r="CX8">
        <f>ROUND(Y8*Source!I123,9)</f>
        <v>8.9249999999999996E-2</v>
      </c>
      <c r="CY8">
        <f>AB8</f>
        <v>83.1</v>
      </c>
      <c r="CZ8">
        <f>AF8</f>
        <v>83.1</v>
      </c>
      <c r="DA8">
        <f>AJ8</f>
        <v>1</v>
      </c>
      <c r="DB8">
        <f t="shared" si="1"/>
        <v>41.55</v>
      </c>
      <c r="DC8">
        <f t="shared" si="2"/>
        <v>6.31</v>
      </c>
      <c r="DD8" t="s">
        <v>3</v>
      </c>
      <c r="DE8" t="s">
        <v>3</v>
      </c>
      <c r="DF8">
        <f>ROUND(ROUND(AE8,2)*CX8,2)</f>
        <v>0</v>
      </c>
      <c r="DG8">
        <f>ROUND(ROUND(AF8,2)*CX8,2)</f>
        <v>7.42</v>
      </c>
      <c r="DH8">
        <f>ROUND(ROUND(AG8,2)*CX8,2)</f>
        <v>1.1299999999999999</v>
      </c>
      <c r="DI8">
        <f t="shared" si="3"/>
        <v>0</v>
      </c>
      <c r="DJ8">
        <f>DG8</f>
        <v>7.42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ROW(Source!A123)</f>
        <v>123</v>
      </c>
      <c r="B9">
        <v>56622490</v>
      </c>
      <c r="C9">
        <v>56622478</v>
      </c>
      <c r="D9">
        <v>46724883</v>
      </c>
      <c r="E9">
        <v>1</v>
      </c>
      <c r="F9">
        <v>1</v>
      </c>
      <c r="G9">
        <v>27786564</v>
      </c>
      <c r="H9">
        <v>3</v>
      </c>
      <c r="I9" t="s">
        <v>459</v>
      </c>
      <c r="J9" t="s">
        <v>460</v>
      </c>
      <c r="K9" t="s">
        <v>461</v>
      </c>
      <c r="L9">
        <v>1354</v>
      </c>
      <c r="N9">
        <v>1010</v>
      </c>
      <c r="O9" t="s">
        <v>90</v>
      </c>
      <c r="P9" t="s">
        <v>90</v>
      </c>
      <c r="Q9">
        <v>1</v>
      </c>
      <c r="W9">
        <v>0</v>
      </c>
      <c r="X9">
        <v>1396539991</v>
      </c>
      <c r="Y9">
        <f t="shared" si="0"/>
        <v>208</v>
      </c>
      <c r="AA9">
        <v>8.82</v>
      </c>
      <c r="AB9">
        <v>0</v>
      </c>
      <c r="AC9">
        <v>0</v>
      </c>
      <c r="AD9">
        <v>0</v>
      </c>
      <c r="AE9">
        <v>8.82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208</v>
      </c>
      <c r="AU9" t="s">
        <v>3</v>
      </c>
      <c r="AV9">
        <v>0</v>
      </c>
      <c r="AW9">
        <v>2</v>
      </c>
      <c r="AX9">
        <v>56622481</v>
      </c>
      <c r="AY9">
        <v>1</v>
      </c>
      <c r="AZ9">
        <v>0</v>
      </c>
      <c r="BA9">
        <v>247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ROUND(Y9*Source!I123,9)</f>
        <v>37.128</v>
      </c>
      <c r="CY9">
        <f>AA9</f>
        <v>8.82</v>
      </c>
      <c r="CZ9">
        <f>AE9</f>
        <v>8.82</v>
      </c>
      <c r="DA9">
        <f>AI9</f>
        <v>1</v>
      </c>
      <c r="DB9">
        <f t="shared" si="1"/>
        <v>1834.56</v>
      </c>
      <c r="DC9">
        <f t="shared" si="2"/>
        <v>0</v>
      </c>
      <c r="DD9" t="s">
        <v>3</v>
      </c>
      <c r="DE9" t="s">
        <v>3</v>
      </c>
      <c r="DF9">
        <f>ROUND(ROUND(AE9,2)*CX9,2)</f>
        <v>327.47000000000003</v>
      </c>
      <c r="DG9">
        <f>ROUND(ROUND(AF9,2)*CX9,2)</f>
        <v>0</v>
      </c>
      <c r="DH9">
        <f>ROUND(ROUND(AG9,2)*CX9,2)</f>
        <v>0</v>
      </c>
      <c r="DI9">
        <f t="shared" si="3"/>
        <v>0</v>
      </c>
      <c r="DJ9">
        <f>DF9</f>
        <v>327.47000000000003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ROW(Source!A124)</f>
        <v>124</v>
      </c>
      <c r="B10">
        <v>56610029</v>
      </c>
      <c r="C10">
        <v>56622478</v>
      </c>
      <c r="D10">
        <v>47634407</v>
      </c>
      <c r="E10">
        <v>27786564</v>
      </c>
      <c r="F10">
        <v>1</v>
      </c>
      <c r="G10">
        <v>27786564</v>
      </c>
      <c r="H10">
        <v>1</v>
      </c>
      <c r="I10" t="s">
        <v>452</v>
      </c>
      <c r="J10" t="s">
        <v>3</v>
      </c>
      <c r="K10" t="s">
        <v>453</v>
      </c>
      <c r="L10">
        <v>1191</v>
      </c>
      <c r="N10">
        <v>1013</v>
      </c>
      <c r="O10" t="s">
        <v>454</v>
      </c>
      <c r="P10" t="s">
        <v>454</v>
      </c>
      <c r="Q10">
        <v>1</v>
      </c>
      <c r="W10">
        <v>0</v>
      </c>
      <c r="X10">
        <v>476480486</v>
      </c>
      <c r="Y10">
        <f t="shared" si="0"/>
        <v>4.09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4.09</v>
      </c>
      <c r="AU10" t="s">
        <v>3</v>
      </c>
      <c r="AV10">
        <v>1</v>
      </c>
      <c r="AW10">
        <v>2</v>
      </c>
      <c r="AX10">
        <v>56622479</v>
      </c>
      <c r="AY10">
        <v>1</v>
      </c>
      <c r="AZ10">
        <v>0</v>
      </c>
      <c r="BA10">
        <v>248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U10">
        <f>ROUND(AT10*Source!I124*AH10*AL10,2)</f>
        <v>0</v>
      </c>
      <c r="CV10">
        <f>ROUND(Y10*Source!I124,9)</f>
        <v>0.73006499999999996</v>
      </c>
      <c r="CW10">
        <v>0</v>
      </c>
      <c r="CX10">
        <f>ROUND(Y10*Source!I124,9)</f>
        <v>0.73006499999999996</v>
      </c>
      <c r="CY10">
        <f>AD10</f>
        <v>0</v>
      </c>
      <c r="CZ10">
        <f>AH10</f>
        <v>0</v>
      </c>
      <c r="DA10">
        <f>AL10</f>
        <v>1</v>
      </c>
      <c r="DB10">
        <f t="shared" si="1"/>
        <v>0</v>
      </c>
      <c r="DC10">
        <f t="shared" si="2"/>
        <v>0</v>
      </c>
      <c r="DD10" t="s">
        <v>3</v>
      </c>
      <c r="DE10" t="s">
        <v>3</v>
      </c>
      <c r="DF10">
        <f>ROUND(ROUND(AE10,2)*CX10,2)</f>
        <v>0</v>
      </c>
      <c r="DG10">
        <f>ROUND(ROUND(AF10,2)*CX10,2)</f>
        <v>0</v>
      </c>
      <c r="DH10">
        <f>ROUND(ROUND(AG10,2)*CX10,2)</f>
        <v>0</v>
      </c>
      <c r="DI10">
        <f t="shared" si="3"/>
        <v>0</v>
      </c>
      <c r="DJ10">
        <f>DI10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ROW(Source!A124)</f>
        <v>124</v>
      </c>
      <c r="B11">
        <v>56610029</v>
      </c>
      <c r="C11">
        <v>56622478</v>
      </c>
      <c r="D11">
        <v>47767106</v>
      </c>
      <c r="E11">
        <v>1</v>
      </c>
      <c r="F11">
        <v>1</v>
      </c>
      <c r="G11">
        <v>27786564</v>
      </c>
      <c r="H11">
        <v>2</v>
      </c>
      <c r="I11" t="s">
        <v>455</v>
      </c>
      <c r="J11" t="s">
        <v>456</v>
      </c>
      <c r="K11" t="s">
        <v>457</v>
      </c>
      <c r="L11">
        <v>1368</v>
      </c>
      <c r="N11">
        <v>1011</v>
      </c>
      <c r="O11" t="s">
        <v>458</v>
      </c>
      <c r="P11" t="s">
        <v>458</v>
      </c>
      <c r="Q11">
        <v>1</v>
      </c>
      <c r="W11">
        <v>0</v>
      </c>
      <c r="X11">
        <v>-7781208</v>
      </c>
      <c r="Y11">
        <f t="shared" si="0"/>
        <v>0.5</v>
      </c>
      <c r="AA11">
        <v>0</v>
      </c>
      <c r="AB11">
        <v>1140.27</v>
      </c>
      <c r="AC11">
        <v>464.7</v>
      </c>
      <c r="AD11">
        <v>0</v>
      </c>
      <c r="AE11">
        <v>0</v>
      </c>
      <c r="AF11">
        <v>83.1</v>
      </c>
      <c r="AG11">
        <v>12.62</v>
      </c>
      <c r="AH11">
        <v>0</v>
      </c>
      <c r="AI11">
        <v>1</v>
      </c>
      <c r="AJ11">
        <v>12.86</v>
      </c>
      <c r="AK11">
        <v>34.51</v>
      </c>
      <c r="AL11">
        <v>1</v>
      </c>
      <c r="AM11">
        <v>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0.5</v>
      </c>
      <c r="AU11" t="s">
        <v>3</v>
      </c>
      <c r="AV11">
        <v>0</v>
      </c>
      <c r="AW11">
        <v>2</v>
      </c>
      <c r="AX11">
        <v>56622480</v>
      </c>
      <c r="AY11">
        <v>1</v>
      </c>
      <c r="AZ11">
        <v>0</v>
      </c>
      <c r="BA11">
        <v>249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f>ROUND(Y11*Source!I124*DO11,9)</f>
        <v>0</v>
      </c>
      <c r="CX11">
        <f>ROUND(Y11*Source!I124,9)</f>
        <v>8.9249999999999996E-2</v>
      </c>
      <c r="CY11">
        <f>AB11</f>
        <v>1140.27</v>
      </c>
      <c r="CZ11">
        <f>AF11</f>
        <v>83.1</v>
      </c>
      <c r="DA11">
        <f>AJ11</f>
        <v>12.86</v>
      </c>
      <c r="DB11">
        <f t="shared" si="1"/>
        <v>41.55</v>
      </c>
      <c r="DC11">
        <f t="shared" si="2"/>
        <v>6.31</v>
      </c>
      <c r="DD11" t="s">
        <v>3</v>
      </c>
      <c r="DE11" t="s">
        <v>3</v>
      </c>
      <c r="DF11">
        <f>ROUND(ROUND(AE11,2)*CX11,2)</f>
        <v>0</v>
      </c>
      <c r="DG11">
        <f>ROUND(ROUND(AF11*AJ11,2)*CX11,2)</f>
        <v>95.38</v>
      </c>
      <c r="DH11">
        <f>ROUND(ROUND(AG11*AK11,2)*CX11,2)</f>
        <v>38.869999999999997</v>
      </c>
      <c r="DI11">
        <f t="shared" si="3"/>
        <v>0</v>
      </c>
      <c r="DJ11">
        <f>DG11</f>
        <v>95.38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ROW(Source!A124)</f>
        <v>124</v>
      </c>
      <c r="B12">
        <v>56610029</v>
      </c>
      <c r="C12">
        <v>56622478</v>
      </c>
      <c r="D12">
        <v>46724883</v>
      </c>
      <c r="E12">
        <v>1</v>
      </c>
      <c r="F12">
        <v>1</v>
      </c>
      <c r="G12">
        <v>27786564</v>
      </c>
      <c r="H12">
        <v>3</v>
      </c>
      <c r="I12" t="s">
        <v>459</v>
      </c>
      <c r="J12" t="s">
        <v>460</v>
      </c>
      <c r="K12" t="s">
        <v>461</v>
      </c>
      <c r="L12">
        <v>1354</v>
      </c>
      <c r="N12">
        <v>1010</v>
      </c>
      <c r="O12" t="s">
        <v>90</v>
      </c>
      <c r="P12" t="s">
        <v>90</v>
      </c>
      <c r="Q12">
        <v>1</v>
      </c>
      <c r="W12">
        <v>0</v>
      </c>
      <c r="X12">
        <v>1396539991</v>
      </c>
      <c r="Y12">
        <f t="shared" si="0"/>
        <v>208</v>
      </c>
      <c r="AA12">
        <v>87.91</v>
      </c>
      <c r="AB12">
        <v>0</v>
      </c>
      <c r="AC12">
        <v>0</v>
      </c>
      <c r="AD12">
        <v>0</v>
      </c>
      <c r="AE12">
        <v>8.82</v>
      </c>
      <c r="AF12">
        <v>0</v>
      </c>
      <c r="AG12">
        <v>0</v>
      </c>
      <c r="AH12">
        <v>0</v>
      </c>
      <c r="AI12">
        <v>9.2200000000000006</v>
      </c>
      <c r="AJ12">
        <v>1</v>
      </c>
      <c r="AK12">
        <v>1</v>
      </c>
      <c r="AL12">
        <v>1</v>
      </c>
      <c r="AM12">
        <v>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208</v>
      </c>
      <c r="AU12" t="s">
        <v>3</v>
      </c>
      <c r="AV12">
        <v>0</v>
      </c>
      <c r="AW12">
        <v>2</v>
      </c>
      <c r="AX12">
        <v>56622481</v>
      </c>
      <c r="AY12">
        <v>1</v>
      </c>
      <c r="AZ12">
        <v>0</v>
      </c>
      <c r="BA12">
        <v>250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ROUND(Y12*Source!I124,9)</f>
        <v>37.128</v>
      </c>
      <c r="CY12">
        <f>AA12</f>
        <v>87.91</v>
      </c>
      <c r="CZ12">
        <f>AE12</f>
        <v>8.82</v>
      </c>
      <c r="DA12">
        <f>AI12</f>
        <v>9.2200000000000006</v>
      </c>
      <c r="DB12">
        <f t="shared" si="1"/>
        <v>1834.56</v>
      </c>
      <c r="DC12">
        <f t="shared" si="2"/>
        <v>0</v>
      </c>
      <c r="DD12" t="s">
        <v>3</v>
      </c>
      <c r="DE12" t="s">
        <v>3</v>
      </c>
      <c r="DF12">
        <f>ROUND(ROUND(AE12*AI12,2)*CX12,2)</f>
        <v>3019.25</v>
      </c>
      <c r="DG12">
        <f>ROUND(ROUND(AF12,2)*CX12,2)</f>
        <v>0</v>
      </c>
      <c r="DH12">
        <f>ROUND(ROUND(AG12,2)*CX12,2)</f>
        <v>0</v>
      </c>
      <c r="DI12">
        <f t="shared" si="3"/>
        <v>0</v>
      </c>
      <c r="DJ12">
        <f>DF12</f>
        <v>3019.25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ROW(Source!A125)</f>
        <v>125</v>
      </c>
      <c r="B13">
        <v>56622490</v>
      </c>
      <c r="C13">
        <v>56622482</v>
      </c>
      <c r="D13">
        <v>47634407</v>
      </c>
      <c r="E13">
        <v>27786564</v>
      </c>
      <c r="F13">
        <v>1</v>
      </c>
      <c r="G13">
        <v>27786564</v>
      </c>
      <c r="H13">
        <v>1</v>
      </c>
      <c r="I13" t="s">
        <v>452</v>
      </c>
      <c r="J13" t="s">
        <v>3</v>
      </c>
      <c r="K13" t="s">
        <v>453</v>
      </c>
      <c r="L13">
        <v>1191</v>
      </c>
      <c r="N13">
        <v>1013</v>
      </c>
      <c r="O13" t="s">
        <v>454</v>
      </c>
      <c r="P13" t="s">
        <v>454</v>
      </c>
      <c r="Q13">
        <v>1</v>
      </c>
      <c r="W13">
        <v>0</v>
      </c>
      <c r="X13">
        <v>476480486</v>
      </c>
      <c r="Y13">
        <f t="shared" si="0"/>
        <v>3.41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3.41</v>
      </c>
      <c r="AU13" t="s">
        <v>3</v>
      </c>
      <c r="AV13">
        <v>1</v>
      </c>
      <c r="AW13">
        <v>2</v>
      </c>
      <c r="AX13">
        <v>56622483</v>
      </c>
      <c r="AY13">
        <v>1</v>
      </c>
      <c r="AZ13">
        <v>0</v>
      </c>
      <c r="BA13">
        <v>251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U13">
        <f>ROUND(AT13*Source!I125*AH13*AL13,2)</f>
        <v>0</v>
      </c>
      <c r="CV13">
        <f>ROUND(Y13*Source!I125,9)</f>
        <v>0.22506000000000001</v>
      </c>
      <c r="CW13">
        <v>0</v>
      </c>
      <c r="CX13">
        <f>ROUND(Y13*Source!I125,9)</f>
        <v>0.22506000000000001</v>
      </c>
      <c r="CY13">
        <f>AD13</f>
        <v>0</v>
      </c>
      <c r="CZ13">
        <f>AH13</f>
        <v>0</v>
      </c>
      <c r="DA13">
        <f>AL13</f>
        <v>1</v>
      </c>
      <c r="DB13">
        <f t="shared" si="1"/>
        <v>0</v>
      </c>
      <c r="DC13">
        <f t="shared" si="2"/>
        <v>0</v>
      </c>
      <c r="DD13" t="s">
        <v>3</v>
      </c>
      <c r="DE13" t="s">
        <v>3</v>
      </c>
      <c r="DF13">
        <f>ROUND(ROUND(AE13,2)*CX13,2)</f>
        <v>0</v>
      </c>
      <c r="DG13">
        <f>ROUND(ROUND(AF13,2)*CX13,2)</f>
        <v>0</v>
      </c>
      <c r="DH13">
        <f>ROUND(ROUND(AG13,2)*CX13,2)</f>
        <v>0</v>
      </c>
      <c r="DI13">
        <f t="shared" si="3"/>
        <v>0</v>
      </c>
      <c r="DJ13">
        <f>DI13</f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ROW(Source!A125)</f>
        <v>125</v>
      </c>
      <c r="B14">
        <v>56622490</v>
      </c>
      <c r="C14">
        <v>56622482</v>
      </c>
      <c r="D14">
        <v>47767106</v>
      </c>
      <c r="E14">
        <v>1</v>
      </c>
      <c r="F14">
        <v>1</v>
      </c>
      <c r="G14">
        <v>27786564</v>
      </c>
      <c r="H14">
        <v>2</v>
      </c>
      <c r="I14" t="s">
        <v>455</v>
      </c>
      <c r="J14" t="s">
        <v>456</v>
      </c>
      <c r="K14" t="s">
        <v>457</v>
      </c>
      <c r="L14">
        <v>1368</v>
      </c>
      <c r="N14">
        <v>1011</v>
      </c>
      <c r="O14" t="s">
        <v>458</v>
      </c>
      <c r="P14" t="s">
        <v>458</v>
      </c>
      <c r="Q14">
        <v>1</v>
      </c>
      <c r="W14">
        <v>0</v>
      </c>
      <c r="X14">
        <v>-7781208</v>
      </c>
      <c r="Y14">
        <f t="shared" si="0"/>
        <v>0.5</v>
      </c>
      <c r="AA14">
        <v>0</v>
      </c>
      <c r="AB14">
        <v>83.1</v>
      </c>
      <c r="AC14">
        <v>12.62</v>
      </c>
      <c r="AD14">
        <v>0</v>
      </c>
      <c r="AE14">
        <v>0</v>
      </c>
      <c r="AF14">
        <v>83.1</v>
      </c>
      <c r="AG14">
        <v>12.62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0.5</v>
      </c>
      <c r="AU14" t="s">
        <v>3</v>
      </c>
      <c r="AV14">
        <v>0</v>
      </c>
      <c r="AW14">
        <v>2</v>
      </c>
      <c r="AX14">
        <v>56622484</v>
      </c>
      <c r="AY14">
        <v>1</v>
      </c>
      <c r="AZ14">
        <v>0</v>
      </c>
      <c r="BA14">
        <v>252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f>ROUND(Y14*Source!I125*DO14,9)</f>
        <v>0</v>
      </c>
      <c r="CX14">
        <f>ROUND(Y14*Source!I125,9)</f>
        <v>3.3000000000000002E-2</v>
      </c>
      <c r="CY14">
        <f>AB14</f>
        <v>83.1</v>
      </c>
      <c r="CZ14">
        <f>AF14</f>
        <v>83.1</v>
      </c>
      <c r="DA14">
        <f>AJ14</f>
        <v>1</v>
      </c>
      <c r="DB14">
        <f t="shared" si="1"/>
        <v>41.55</v>
      </c>
      <c r="DC14">
        <f t="shared" si="2"/>
        <v>6.31</v>
      </c>
      <c r="DD14" t="s">
        <v>3</v>
      </c>
      <c r="DE14" t="s">
        <v>3</v>
      </c>
      <c r="DF14">
        <f>ROUND(ROUND(AE14,2)*CX14,2)</f>
        <v>0</v>
      </c>
      <c r="DG14">
        <f>ROUND(ROUND(AF14,2)*CX14,2)</f>
        <v>2.74</v>
      </c>
      <c r="DH14">
        <f>ROUND(ROUND(AG14,2)*CX14,2)</f>
        <v>0.42</v>
      </c>
      <c r="DI14">
        <f t="shared" si="3"/>
        <v>0</v>
      </c>
      <c r="DJ14">
        <f>DG14</f>
        <v>2.74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ROW(Source!A125)</f>
        <v>125</v>
      </c>
      <c r="B15">
        <v>56622490</v>
      </c>
      <c r="C15">
        <v>56622482</v>
      </c>
      <c r="D15">
        <v>46724884</v>
      </c>
      <c r="E15">
        <v>1</v>
      </c>
      <c r="F15">
        <v>1</v>
      </c>
      <c r="G15">
        <v>27786564</v>
      </c>
      <c r="H15">
        <v>3</v>
      </c>
      <c r="I15" t="s">
        <v>462</v>
      </c>
      <c r="J15" t="s">
        <v>463</v>
      </c>
      <c r="K15" t="s">
        <v>464</v>
      </c>
      <c r="L15">
        <v>1354</v>
      </c>
      <c r="N15">
        <v>1010</v>
      </c>
      <c r="O15" t="s">
        <v>90</v>
      </c>
      <c r="P15" t="s">
        <v>90</v>
      </c>
      <c r="Q15">
        <v>1</v>
      </c>
      <c r="W15">
        <v>0</v>
      </c>
      <c r="X15">
        <v>-1369023167</v>
      </c>
      <c r="Y15">
        <f t="shared" si="0"/>
        <v>208</v>
      </c>
      <c r="AA15">
        <v>11.75</v>
      </c>
      <c r="AB15">
        <v>0</v>
      </c>
      <c r="AC15">
        <v>0</v>
      </c>
      <c r="AD15">
        <v>0</v>
      </c>
      <c r="AE15">
        <v>11.75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208</v>
      </c>
      <c r="AU15" t="s">
        <v>3</v>
      </c>
      <c r="AV15">
        <v>0</v>
      </c>
      <c r="AW15">
        <v>2</v>
      </c>
      <c r="AX15">
        <v>56622485</v>
      </c>
      <c r="AY15">
        <v>1</v>
      </c>
      <c r="AZ15">
        <v>0</v>
      </c>
      <c r="BA15">
        <v>253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ROUND(Y15*Source!I125,9)</f>
        <v>13.728</v>
      </c>
      <c r="CY15">
        <f>AA15</f>
        <v>11.75</v>
      </c>
      <c r="CZ15">
        <f>AE15</f>
        <v>11.75</v>
      </c>
      <c r="DA15">
        <f>AI15</f>
        <v>1</v>
      </c>
      <c r="DB15">
        <f t="shared" si="1"/>
        <v>2444</v>
      </c>
      <c r="DC15">
        <f t="shared" si="2"/>
        <v>0</v>
      </c>
      <c r="DD15" t="s">
        <v>3</v>
      </c>
      <c r="DE15" t="s">
        <v>3</v>
      </c>
      <c r="DF15">
        <f>ROUND(ROUND(AE15,2)*CX15,2)</f>
        <v>161.30000000000001</v>
      </c>
      <c r="DG15">
        <f>ROUND(ROUND(AF15,2)*CX15,2)</f>
        <v>0</v>
      </c>
      <c r="DH15">
        <f>ROUND(ROUND(AG15,2)*CX15,2)</f>
        <v>0</v>
      </c>
      <c r="DI15">
        <f t="shared" si="3"/>
        <v>0</v>
      </c>
      <c r="DJ15">
        <f>DF15</f>
        <v>161.30000000000001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ROW(Source!A126)</f>
        <v>126</v>
      </c>
      <c r="B16">
        <v>56610029</v>
      </c>
      <c r="C16">
        <v>56622482</v>
      </c>
      <c r="D16">
        <v>47634407</v>
      </c>
      <c r="E16">
        <v>27786564</v>
      </c>
      <c r="F16">
        <v>1</v>
      </c>
      <c r="G16">
        <v>27786564</v>
      </c>
      <c r="H16">
        <v>1</v>
      </c>
      <c r="I16" t="s">
        <v>452</v>
      </c>
      <c r="J16" t="s">
        <v>3</v>
      </c>
      <c r="K16" t="s">
        <v>453</v>
      </c>
      <c r="L16">
        <v>1191</v>
      </c>
      <c r="N16">
        <v>1013</v>
      </c>
      <c r="O16" t="s">
        <v>454</v>
      </c>
      <c r="P16" t="s">
        <v>454</v>
      </c>
      <c r="Q16">
        <v>1</v>
      </c>
      <c r="W16">
        <v>0</v>
      </c>
      <c r="X16">
        <v>476480486</v>
      </c>
      <c r="Y16">
        <f t="shared" si="0"/>
        <v>3.41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-2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3.41</v>
      </c>
      <c r="AU16" t="s">
        <v>3</v>
      </c>
      <c r="AV16">
        <v>1</v>
      </c>
      <c r="AW16">
        <v>2</v>
      </c>
      <c r="AX16">
        <v>56622483</v>
      </c>
      <c r="AY16">
        <v>1</v>
      </c>
      <c r="AZ16">
        <v>0</v>
      </c>
      <c r="BA16">
        <v>254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U16">
        <f>ROUND(AT16*Source!I126*AH16*AL16,2)</f>
        <v>0</v>
      </c>
      <c r="CV16">
        <f>ROUND(Y16*Source!I126,9)</f>
        <v>0.22506000000000001</v>
      </c>
      <c r="CW16">
        <v>0</v>
      </c>
      <c r="CX16">
        <f>ROUND(Y16*Source!I126,9)</f>
        <v>0.22506000000000001</v>
      </c>
      <c r="CY16">
        <f>AD16</f>
        <v>0</v>
      </c>
      <c r="CZ16">
        <f>AH16</f>
        <v>0</v>
      </c>
      <c r="DA16">
        <f>AL16</f>
        <v>1</v>
      </c>
      <c r="DB16">
        <f t="shared" si="1"/>
        <v>0</v>
      </c>
      <c r="DC16">
        <f t="shared" si="2"/>
        <v>0</v>
      </c>
      <c r="DD16" t="s">
        <v>3</v>
      </c>
      <c r="DE16" t="s">
        <v>3</v>
      </c>
      <c r="DF16">
        <f>ROUND(ROUND(AE16,2)*CX16,2)</f>
        <v>0</v>
      </c>
      <c r="DG16">
        <f>ROUND(ROUND(AF16,2)*CX16,2)</f>
        <v>0</v>
      </c>
      <c r="DH16">
        <f>ROUND(ROUND(AG16,2)*CX16,2)</f>
        <v>0</v>
      </c>
      <c r="DI16">
        <f t="shared" si="3"/>
        <v>0</v>
      </c>
      <c r="DJ16">
        <f>DI16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ROW(Source!A126)</f>
        <v>126</v>
      </c>
      <c r="B17">
        <v>56610029</v>
      </c>
      <c r="C17">
        <v>56622482</v>
      </c>
      <c r="D17">
        <v>47767106</v>
      </c>
      <c r="E17">
        <v>1</v>
      </c>
      <c r="F17">
        <v>1</v>
      </c>
      <c r="G17">
        <v>27786564</v>
      </c>
      <c r="H17">
        <v>2</v>
      </c>
      <c r="I17" t="s">
        <v>455</v>
      </c>
      <c r="J17" t="s">
        <v>456</v>
      </c>
      <c r="K17" t="s">
        <v>457</v>
      </c>
      <c r="L17">
        <v>1368</v>
      </c>
      <c r="N17">
        <v>1011</v>
      </c>
      <c r="O17" t="s">
        <v>458</v>
      </c>
      <c r="P17" t="s">
        <v>458</v>
      </c>
      <c r="Q17">
        <v>1</v>
      </c>
      <c r="W17">
        <v>0</v>
      </c>
      <c r="X17">
        <v>-7781208</v>
      </c>
      <c r="Y17">
        <f t="shared" si="0"/>
        <v>0.5</v>
      </c>
      <c r="AA17">
        <v>0</v>
      </c>
      <c r="AB17">
        <v>1140.27</v>
      </c>
      <c r="AC17">
        <v>464.7</v>
      </c>
      <c r="AD17">
        <v>0</v>
      </c>
      <c r="AE17">
        <v>0</v>
      </c>
      <c r="AF17">
        <v>83.1</v>
      </c>
      <c r="AG17">
        <v>12.62</v>
      </c>
      <c r="AH17">
        <v>0</v>
      </c>
      <c r="AI17">
        <v>1</v>
      </c>
      <c r="AJ17">
        <v>12.86</v>
      </c>
      <c r="AK17">
        <v>34.51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0.5</v>
      </c>
      <c r="AU17" t="s">
        <v>3</v>
      </c>
      <c r="AV17">
        <v>0</v>
      </c>
      <c r="AW17">
        <v>2</v>
      </c>
      <c r="AX17">
        <v>56622484</v>
      </c>
      <c r="AY17">
        <v>1</v>
      </c>
      <c r="AZ17">
        <v>0</v>
      </c>
      <c r="BA17">
        <v>255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f>ROUND(Y17*Source!I126*DO17,9)</f>
        <v>0</v>
      </c>
      <c r="CX17">
        <f>ROUND(Y17*Source!I126,9)</f>
        <v>3.3000000000000002E-2</v>
      </c>
      <c r="CY17">
        <f>AB17</f>
        <v>1140.27</v>
      </c>
      <c r="CZ17">
        <f>AF17</f>
        <v>83.1</v>
      </c>
      <c r="DA17">
        <f>AJ17</f>
        <v>12.86</v>
      </c>
      <c r="DB17">
        <f t="shared" si="1"/>
        <v>41.55</v>
      </c>
      <c r="DC17">
        <f t="shared" si="2"/>
        <v>6.31</v>
      </c>
      <c r="DD17" t="s">
        <v>3</v>
      </c>
      <c r="DE17" t="s">
        <v>3</v>
      </c>
      <c r="DF17">
        <f>ROUND(ROUND(AE17,2)*CX17,2)</f>
        <v>0</v>
      </c>
      <c r="DG17">
        <f>ROUND(ROUND(AF17*AJ17,2)*CX17,2)</f>
        <v>35.270000000000003</v>
      </c>
      <c r="DH17">
        <f>ROUND(ROUND(AG17*AK17,2)*CX17,2)</f>
        <v>14.37</v>
      </c>
      <c r="DI17">
        <f t="shared" si="3"/>
        <v>0</v>
      </c>
      <c r="DJ17">
        <f>DG17</f>
        <v>35.270000000000003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ROW(Source!A126)</f>
        <v>126</v>
      </c>
      <c r="B18">
        <v>56610029</v>
      </c>
      <c r="C18">
        <v>56622482</v>
      </c>
      <c r="D18">
        <v>46724884</v>
      </c>
      <c r="E18">
        <v>1</v>
      </c>
      <c r="F18">
        <v>1</v>
      </c>
      <c r="G18">
        <v>27786564</v>
      </c>
      <c r="H18">
        <v>3</v>
      </c>
      <c r="I18" t="s">
        <v>462</v>
      </c>
      <c r="J18" t="s">
        <v>463</v>
      </c>
      <c r="K18" t="s">
        <v>464</v>
      </c>
      <c r="L18">
        <v>1354</v>
      </c>
      <c r="N18">
        <v>1010</v>
      </c>
      <c r="O18" t="s">
        <v>90</v>
      </c>
      <c r="P18" t="s">
        <v>90</v>
      </c>
      <c r="Q18">
        <v>1</v>
      </c>
      <c r="W18">
        <v>0</v>
      </c>
      <c r="X18">
        <v>-1369023167</v>
      </c>
      <c r="Y18">
        <f t="shared" si="0"/>
        <v>208</v>
      </c>
      <c r="AA18">
        <v>125.24</v>
      </c>
      <c r="AB18">
        <v>0</v>
      </c>
      <c r="AC18">
        <v>0</v>
      </c>
      <c r="AD18">
        <v>0</v>
      </c>
      <c r="AE18">
        <v>11.75</v>
      </c>
      <c r="AF18">
        <v>0</v>
      </c>
      <c r="AG18">
        <v>0</v>
      </c>
      <c r="AH18">
        <v>0</v>
      </c>
      <c r="AI18">
        <v>9.86</v>
      </c>
      <c r="AJ18">
        <v>1</v>
      </c>
      <c r="AK18">
        <v>1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208</v>
      </c>
      <c r="AU18" t="s">
        <v>3</v>
      </c>
      <c r="AV18">
        <v>0</v>
      </c>
      <c r="AW18">
        <v>2</v>
      </c>
      <c r="AX18">
        <v>56622485</v>
      </c>
      <c r="AY18">
        <v>1</v>
      </c>
      <c r="AZ18">
        <v>0</v>
      </c>
      <c r="BA18">
        <v>256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ROUND(Y18*Source!I126,9)</f>
        <v>13.728</v>
      </c>
      <c r="CY18">
        <f>AA18</f>
        <v>125.24</v>
      </c>
      <c r="CZ18">
        <f>AE18</f>
        <v>11.75</v>
      </c>
      <c r="DA18">
        <f>AI18</f>
        <v>9.86</v>
      </c>
      <c r="DB18">
        <f t="shared" si="1"/>
        <v>2444</v>
      </c>
      <c r="DC18">
        <f t="shared" si="2"/>
        <v>0</v>
      </c>
      <c r="DD18" t="s">
        <v>3</v>
      </c>
      <c r="DE18" t="s">
        <v>3</v>
      </c>
      <c r="DF18">
        <f>ROUND(ROUND(AE18*AI18,2)*CX18,2)</f>
        <v>1590.53</v>
      </c>
      <c r="DG18">
        <f>ROUND(ROUND(AF18,2)*CX18,2)</f>
        <v>0</v>
      </c>
      <c r="DH18">
        <f>ROUND(ROUND(AG18,2)*CX18,2)</f>
        <v>0</v>
      </c>
      <c r="DI18">
        <f t="shared" si="3"/>
        <v>0</v>
      </c>
      <c r="DJ18">
        <f>DF18</f>
        <v>1590.53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ROW(Source!A127)</f>
        <v>127</v>
      </c>
      <c r="B19">
        <v>56622490</v>
      </c>
      <c r="C19">
        <v>56622486</v>
      </c>
      <c r="D19">
        <v>47634407</v>
      </c>
      <c r="E19">
        <v>27786564</v>
      </c>
      <c r="F19">
        <v>1</v>
      </c>
      <c r="G19">
        <v>27786564</v>
      </c>
      <c r="H19">
        <v>1</v>
      </c>
      <c r="I19" t="s">
        <v>452</v>
      </c>
      <c r="J19" t="s">
        <v>3</v>
      </c>
      <c r="K19" t="s">
        <v>453</v>
      </c>
      <c r="L19">
        <v>1191</v>
      </c>
      <c r="N19">
        <v>1013</v>
      </c>
      <c r="O19" t="s">
        <v>454</v>
      </c>
      <c r="P19" t="s">
        <v>454</v>
      </c>
      <c r="Q19">
        <v>1</v>
      </c>
      <c r="W19">
        <v>0</v>
      </c>
      <c r="X19">
        <v>476480486</v>
      </c>
      <c r="Y19">
        <f t="shared" si="0"/>
        <v>3.41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3.41</v>
      </c>
      <c r="AU19" t="s">
        <v>3</v>
      </c>
      <c r="AV19">
        <v>1</v>
      </c>
      <c r="AW19">
        <v>2</v>
      </c>
      <c r="AX19">
        <v>56622487</v>
      </c>
      <c r="AY19">
        <v>1</v>
      </c>
      <c r="AZ19">
        <v>0</v>
      </c>
      <c r="BA19">
        <v>257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U19">
        <f>ROUND(AT19*Source!I127*AH19*AL19,2)</f>
        <v>0</v>
      </c>
      <c r="CV19">
        <f>ROUND(Y19*Source!I127,9)</f>
        <v>0.52514000000000005</v>
      </c>
      <c r="CW19">
        <v>0</v>
      </c>
      <c r="CX19">
        <f>ROUND(Y19*Source!I127,9)</f>
        <v>0.52514000000000005</v>
      </c>
      <c r="CY19">
        <f>AD19</f>
        <v>0</v>
      </c>
      <c r="CZ19">
        <f>AH19</f>
        <v>0</v>
      </c>
      <c r="DA19">
        <f>AL19</f>
        <v>1</v>
      </c>
      <c r="DB19">
        <f t="shared" si="1"/>
        <v>0</v>
      </c>
      <c r="DC19">
        <f t="shared" si="2"/>
        <v>0</v>
      </c>
      <c r="DD19" t="s">
        <v>3</v>
      </c>
      <c r="DE19" t="s">
        <v>3</v>
      </c>
      <c r="DF19">
        <f>ROUND(ROUND(AE19,2)*CX19,2)</f>
        <v>0</v>
      </c>
      <c r="DG19">
        <f>ROUND(ROUND(AF19,2)*CX19,2)</f>
        <v>0</v>
      </c>
      <c r="DH19">
        <f>ROUND(ROUND(AG19,2)*CX19,2)</f>
        <v>0</v>
      </c>
      <c r="DI19">
        <f t="shared" si="3"/>
        <v>0</v>
      </c>
      <c r="DJ19">
        <f>DI19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ROW(Source!A127)</f>
        <v>127</v>
      </c>
      <c r="B20">
        <v>56622490</v>
      </c>
      <c r="C20">
        <v>56622486</v>
      </c>
      <c r="D20">
        <v>47767106</v>
      </c>
      <c r="E20">
        <v>1</v>
      </c>
      <c r="F20">
        <v>1</v>
      </c>
      <c r="G20">
        <v>27786564</v>
      </c>
      <c r="H20">
        <v>2</v>
      </c>
      <c r="I20" t="s">
        <v>455</v>
      </c>
      <c r="J20" t="s">
        <v>456</v>
      </c>
      <c r="K20" t="s">
        <v>457</v>
      </c>
      <c r="L20">
        <v>1368</v>
      </c>
      <c r="N20">
        <v>1011</v>
      </c>
      <c r="O20" t="s">
        <v>458</v>
      </c>
      <c r="P20" t="s">
        <v>458</v>
      </c>
      <c r="Q20">
        <v>1</v>
      </c>
      <c r="W20">
        <v>0</v>
      </c>
      <c r="X20">
        <v>-7781208</v>
      </c>
      <c r="Y20">
        <f t="shared" si="0"/>
        <v>0.5</v>
      </c>
      <c r="AA20">
        <v>0</v>
      </c>
      <c r="AB20">
        <v>83.1</v>
      </c>
      <c r="AC20">
        <v>12.62</v>
      </c>
      <c r="AD20">
        <v>0</v>
      </c>
      <c r="AE20">
        <v>0</v>
      </c>
      <c r="AF20">
        <v>83.1</v>
      </c>
      <c r="AG20">
        <v>12.62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-2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0.5</v>
      </c>
      <c r="AU20" t="s">
        <v>3</v>
      </c>
      <c r="AV20">
        <v>0</v>
      </c>
      <c r="AW20">
        <v>2</v>
      </c>
      <c r="AX20">
        <v>56622488</v>
      </c>
      <c r="AY20">
        <v>1</v>
      </c>
      <c r="AZ20">
        <v>0</v>
      </c>
      <c r="BA20">
        <v>258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f>ROUND(Y20*Source!I127*DO20,9)</f>
        <v>0</v>
      </c>
      <c r="CX20">
        <f>ROUND(Y20*Source!I127,9)</f>
        <v>7.6999999999999999E-2</v>
      </c>
      <c r="CY20">
        <f>AB20</f>
        <v>83.1</v>
      </c>
      <c r="CZ20">
        <f>AF20</f>
        <v>83.1</v>
      </c>
      <c r="DA20">
        <f>AJ20</f>
        <v>1</v>
      </c>
      <c r="DB20">
        <f t="shared" si="1"/>
        <v>41.55</v>
      </c>
      <c r="DC20">
        <f t="shared" si="2"/>
        <v>6.31</v>
      </c>
      <c r="DD20" t="s">
        <v>3</v>
      </c>
      <c r="DE20" t="s">
        <v>3</v>
      </c>
      <c r="DF20">
        <f>ROUND(ROUND(AE20,2)*CX20,2)</f>
        <v>0</v>
      </c>
      <c r="DG20">
        <f>ROUND(ROUND(AF20,2)*CX20,2)</f>
        <v>6.4</v>
      </c>
      <c r="DH20">
        <f>ROUND(ROUND(AG20,2)*CX20,2)</f>
        <v>0.97</v>
      </c>
      <c r="DI20">
        <f t="shared" si="3"/>
        <v>0</v>
      </c>
      <c r="DJ20">
        <f>DG20</f>
        <v>6.4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ROW(Source!A127)</f>
        <v>127</v>
      </c>
      <c r="B21">
        <v>56622490</v>
      </c>
      <c r="C21">
        <v>56622486</v>
      </c>
      <c r="D21">
        <v>46724884</v>
      </c>
      <c r="E21">
        <v>1</v>
      </c>
      <c r="F21">
        <v>1</v>
      </c>
      <c r="G21">
        <v>27786564</v>
      </c>
      <c r="H21">
        <v>3</v>
      </c>
      <c r="I21" t="s">
        <v>462</v>
      </c>
      <c r="J21" t="s">
        <v>463</v>
      </c>
      <c r="K21" t="s">
        <v>464</v>
      </c>
      <c r="L21">
        <v>1354</v>
      </c>
      <c r="N21">
        <v>1010</v>
      </c>
      <c r="O21" t="s">
        <v>90</v>
      </c>
      <c r="P21" t="s">
        <v>90</v>
      </c>
      <c r="Q21">
        <v>1</v>
      </c>
      <c r="W21">
        <v>0</v>
      </c>
      <c r="X21">
        <v>-1369023167</v>
      </c>
      <c r="Y21">
        <f t="shared" si="0"/>
        <v>208</v>
      </c>
      <c r="AA21">
        <v>11.75</v>
      </c>
      <c r="AB21">
        <v>0</v>
      </c>
      <c r="AC21">
        <v>0</v>
      </c>
      <c r="AD21">
        <v>0</v>
      </c>
      <c r="AE21">
        <v>11.75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208</v>
      </c>
      <c r="AU21" t="s">
        <v>3</v>
      </c>
      <c r="AV21">
        <v>0</v>
      </c>
      <c r="AW21">
        <v>2</v>
      </c>
      <c r="AX21">
        <v>56622489</v>
      </c>
      <c r="AY21">
        <v>1</v>
      </c>
      <c r="AZ21">
        <v>0</v>
      </c>
      <c r="BA21">
        <v>259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ROUND(Y21*Source!I127,9)</f>
        <v>32.031999999999996</v>
      </c>
      <c r="CY21">
        <f>AA21</f>
        <v>11.75</v>
      </c>
      <c r="CZ21">
        <f>AE21</f>
        <v>11.75</v>
      </c>
      <c r="DA21">
        <f>AI21</f>
        <v>1</v>
      </c>
      <c r="DB21">
        <f t="shared" si="1"/>
        <v>2444</v>
      </c>
      <c r="DC21">
        <f t="shared" si="2"/>
        <v>0</v>
      </c>
      <c r="DD21" t="s">
        <v>3</v>
      </c>
      <c r="DE21" t="s">
        <v>3</v>
      </c>
      <c r="DF21">
        <f>ROUND(ROUND(AE21,2)*CX21,2)</f>
        <v>376.38</v>
      </c>
      <c r="DG21">
        <f>ROUND(ROUND(AF21,2)*CX21,2)</f>
        <v>0</v>
      </c>
      <c r="DH21">
        <f>ROUND(ROUND(AG21,2)*CX21,2)</f>
        <v>0</v>
      </c>
      <c r="DI21">
        <f t="shared" si="3"/>
        <v>0</v>
      </c>
      <c r="DJ21">
        <f>DF21</f>
        <v>376.38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ROW(Source!A128)</f>
        <v>128</v>
      </c>
      <c r="B22">
        <v>56610029</v>
      </c>
      <c r="C22">
        <v>56622486</v>
      </c>
      <c r="D22">
        <v>47634407</v>
      </c>
      <c r="E22">
        <v>27786564</v>
      </c>
      <c r="F22">
        <v>1</v>
      </c>
      <c r="G22">
        <v>27786564</v>
      </c>
      <c r="H22">
        <v>1</v>
      </c>
      <c r="I22" t="s">
        <v>452</v>
      </c>
      <c r="J22" t="s">
        <v>3</v>
      </c>
      <c r="K22" t="s">
        <v>453</v>
      </c>
      <c r="L22">
        <v>1191</v>
      </c>
      <c r="N22">
        <v>1013</v>
      </c>
      <c r="O22" t="s">
        <v>454</v>
      </c>
      <c r="P22" t="s">
        <v>454</v>
      </c>
      <c r="Q22">
        <v>1</v>
      </c>
      <c r="W22">
        <v>0</v>
      </c>
      <c r="X22">
        <v>476480486</v>
      </c>
      <c r="Y22">
        <f t="shared" si="0"/>
        <v>3.41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-2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3.41</v>
      </c>
      <c r="AU22" t="s">
        <v>3</v>
      </c>
      <c r="AV22">
        <v>1</v>
      </c>
      <c r="AW22">
        <v>2</v>
      </c>
      <c r="AX22">
        <v>56622487</v>
      </c>
      <c r="AY22">
        <v>1</v>
      </c>
      <c r="AZ22">
        <v>0</v>
      </c>
      <c r="BA22">
        <v>260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U22">
        <f>ROUND(AT22*Source!I128*AH22*AL22,2)</f>
        <v>0</v>
      </c>
      <c r="CV22">
        <f>ROUND(Y22*Source!I128,9)</f>
        <v>0.52514000000000005</v>
      </c>
      <c r="CW22">
        <v>0</v>
      </c>
      <c r="CX22">
        <f>ROUND(Y22*Source!I128,9)</f>
        <v>0.52514000000000005</v>
      </c>
      <c r="CY22">
        <f>AD22</f>
        <v>0</v>
      </c>
      <c r="CZ22">
        <f>AH22</f>
        <v>0</v>
      </c>
      <c r="DA22">
        <f>AL22</f>
        <v>1</v>
      </c>
      <c r="DB22">
        <f t="shared" si="1"/>
        <v>0</v>
      </c>
      <c r="DC22">
        <f t="shared" si="2"/>
        <v>0</v>
      </c>
      <c r="DD22" t="s">
        <v>3</v>
      </c>
      <c r="DE22" t="s">
        <v>3</v>
      </c>
      <c r="DF22">
        <f>ROUND(ROUND(AE22,2)*CX22,2)</f>
        <v>0</v>
      </c>
      <c r="DG22">
        <f>ROUND(ROUND(AF22,2)*CX22,2)</f>
        <v>0</v>
      </c>
      <c r="DH22">
        <f>ROUND(ROUND(AG22,2)*CX22,2)</f>
        <v>0</v>
      </c>
      <c r="DI22">
        <f t="shared" si="3"/>
        <v>0</v>
      </c>
      <c r="DJ22">
        <f>DI22</f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ROW(Source!A128)</f>
        <v>128</v>
      </c>
      <c r="B23">
        <v>56610029</v>
      </c>
      <c r="C23">
        <v>56622486</v>
      </c>
      <c r="D23">
        <v>47767106</v>
      </c>
      <c r="E23">
        <v>1</v>
      </c>
      <c r="F23">
        <v>1</v>
      </c>
      <c r="G23">
        <v>27786564</v>
      </c>
      <c r="H23">
        <v>2</v>
      </c>
      <c r="I23" t="s">
        <v>455</v>
      </c>
      <c r="J23" t="s">
        <v>456</v>
      </c>
      <c r="K23" t="s">
        <v>457</v>
      </c>
      <c r="L23">
        <v>1368</v>
      </c>
      <c r="N23">
        <v>1011</v>
      </c>
      <c r="O23" t="s">
        <v>458</v>
      </c>
      <c r="P23" t="s">
        <v>458</v>
      </c>
      <c r="Q23">
        <v>1</v>
      </c>
      <c r="W23">
        <v>0</v>
      </c>
      <c r="X23">
        <v>-7781208</v>
      </c>
      <c r="Y23">
        <f t="shared" si="0"/>
        <v>0.5</v>
      </c>
      <c r="AA23">
        <v>0</v>
      </c>
      <c r="AB23">
        <v>1140.27</v>
      </c>
      <c r="AC23">
        <v>464.7</v>
      </c>
      <c r="AD23">
        <v>0</v>
      </c>
      <c r="AE23">
        <v>0</v>
      </c>
      <c r="AF23">
        <v>83.1</v>
      </c>
      <c r="AG23">
        <v>12.62</v>
      </c>
      <c r="AH23">
        <v>0</v>
      </c>
      <c r="AI23">
        <v>1</v>
      </c>
      <c r="AJ23">
        <v>12.86</v>
      </c>
      <c r="AK23">
        <v>34.51</v>
      </c>
      <c r="AL23">
        <v>1</v>
      </c>
      <c r="AM23">
        <v>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0.5</v>
      </c>
      <c r="AU23" t="s">
        <v>3</v>
      </c>
      <c r="AV23">
        <v>0</v>
      </c>
      <c r="AW23">
        <v>2</v>
      </c>
      <c r="AX23">
        <v>56622488</v>
      </c>
      <c r="AY23">
        <v>1</v>
      </c>
      <c r="AZ23">
        <v>0</v>
      </c>
      <c r="BA23">
        <v>261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f>ROUND(Y23*Source!I128*DO23,9)</f>
        <v>0</v>
      </c>
      <c r="CX23">
        <f>ROUND(Y23*Source!I128,9)</f>
        <v>7.6999999999999999E-2</v>
      </c>
      <c r="CY23">
        <f>AB23</f>
        <v>1140.27</v>
      </c>
      <c r="CZ23">
        <f>AF23</f>
        <v>83.1</v>
      </c>
      <c r="DA23">
        <f>AJ23</f>
        <v>12.86</v>
      </c>
      <c r="DB23">
        <f t="shared" si="1"/>
        <v>41.55</v>
      </c>
      <c r="DC23">
        <f t="shared" si="2"/>
        <v>6.31</v>
      </c>
      <c r="DD23" t="s">
        <v>3</v>
      </c>
      <c r="DE23" t="s">
        <v>3</v>
      </c>
      <c r="DF23">
        <f>ROUND(ROUND(AE23,2)*CX23,2)</f>
        <v>0</v>
      </c>
      <c r="DG23">
        <f>ROUND(ROUND(AF23*AJ23,2)*CX23,2)</f>
        <v>82.29</v>
      </c>
      <c r="DH23">
        <f>ROUND(ROUND(AG23*AK23,2)*CX23,2)</f>
        <v>33.54</v>
      </c>
      <c r="DI23">
        <f t="shared" si="3"/>
        <v>0</v>
      </c>
      <c r="DJ23">
        <f>DG23</f>
        <v>82.29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ROW(Source!A128)</f>
        <v>128</v>
      </c>
      <c r="B24">
        <v>56610029</v>
      </c>
      <c r="C24">
        <v>56622486</v>
      </c>
      <c r="D24">
        <v>46724884</v>
      </c>
      <c r="E24">
        <v>1</v>
      </c>
      <c r="F24">
        <v>1</v>
      </c>
      <c r="G24">
        <v>27786564</v>
      </c>
      <c r="H24">
        <v>3</v>
      </c>
      <c r="I24" t="s">
        <v>462</v>
      </c>
      <c r="J24" t="s">
        <v>463</v>
      </c>
      <c r="K24" t="s">
        <v>464</v>
      </c>
      <c r="L24">
        <v>1354</v>
      </c>
      <c r="N24">
        <v>1010</v>
      </c>
      <c r="O24" t="s">
        <v>90</v>
      </c>
      <c r="P24" t="s">
        <v>90</v>
      </c>
      <c r="Q24">
        <v>1</v>
      </c>
      <c r="W24">
        <v>0</v>
      </c>
      <c r="X24">
        <v>-1369023167</v>
      </c>
      <c r="Y24">
        <f t="shared" si="0"/>
        <v>208</v>
      </c>
      <c r="AA24">
        <v>125.24</v>
      </c>
      <c r="AB24">
        <v>0</v>
      </c>
      <c r="AC24">
        <v>0</v>
      </c>
      <c r="AD24">
        <v>0</v>
      </c>
      <c r="AE24">
        <v>11.75</v>
      </c>
      <c r="AF24">
        <v>0</v>
      </c>
      <c r="AG24">
        <v>0</v>
      </c>
      <c r="AH24">
        <v>0</v>
      </c>
      <c r="AI24">
        <v>9.86</v>
      </c>
      <c r="AJ24">
        <v>1</v>
      </c>
      <c r="AK24">
        <v>1</v>
      </c>
      <c r="AL24">
        <v>1</v>
      </c>
      <c r="AM24">
        <v>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208</v>
      </c>
      <c r="AU24" t="s">
        <v>3</v>
      </c>
      <c r="AV24">
        <v>0</v>
      </c>
      <c r="AW24">
        <v>2</v>
      </c>
      <c r="AX24">
        <v>56622489</v>
      </c>
      <c r="AY24">
        <v>1</v>
      </c>
      <c r="AZ24">
        <v>0</v>
      </c>
      <c r="BA24">
        <v>262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ROUND(Y24*Source!I128,9)</f>
        <v>32.031999999999996</v>
      </c>
      <c r="CY24">
        <f t="shared" ref="CY24:CY46" si="4">AA24</f>
        <v>125.24</v>
      </c>
      <c r="CZ24">
        <f t="shared" ref="CZ24:CZ46" si="5">AE24</f>
        <v>11.75</v>
      </c>
      <c r="DA24">
        <f t="shared" ref="DA24:DA46" si="6">AI24</f>
        <v>9.86</v>
      </c>
      <c r="DB24">
        <f t="shared" si="1"/>
        <v>2444</v>
      </c>
      <c r="DC24">
        <f t="shared" si="2"/>
        <v>0</v>
      </c>
      <c r="DD24" t="s">
        <v>3</v>
      </c>
      <c r="DE24" t="s">
        <v>3</v>
      </c>
      <c r="DF24">
        <f>ROUND(ROUND(AE24*AI24,2)*CX24,2)</f>
        <v>3711.23</v>
      </c>
      <c r="DG24">
        <f t="shared" ref="DG24:DG53" si="7">ROUND(ROUND(AF24,2)*CX24,2)</f>
        <v>0</v>
      </c>
      <c r="DH24">
        <f t="shared" ref="DH24:DH53" si="8">ROUND(ROUND(AG24,2)*CX24,2)</f>
        <v>0</v>
      </c>
      <c r="DI24">
        <f t="shared" si="3"/>
        <v>0</v>
      </c>
      <c r="DJ24">
        <f t="shared" ref="DJ24:DJ46" si="9">DF24</f>
        <v>3711.23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ROW(Source!A192)</f>
        <v>192</v>
      </c>
      <c r="B25">
        <v>56622490</v>
      </c>
      <c r="C25">
        <v>56610715</v>
      </c>
      <c r="D25">
        <v>49108184</v>
      </c>
      <c r="E25">
        <v>1</v>
      </c>
      <c r="F25">
        <v>1</v>
      </c>
      <c r="G25">
        <v>27786564</v>
      </c>
      <c r="H25">
        <v>3</v>
      </c>
      <c r="I25" t="s">
        <v>83</v>
      </c>
      <c r="J25" t="s">
        <v>86</v>
      </c>
      <c r="K25" t="s">
        <v>292</v>
      </c>
      <c r="L25">
        <v>1339</v>
      </c>
      <c r="N25">
        <v>1007</v>
      </c>
      <c r="O25" t="s">
        <v>85</v>
      </c>
      <c r="P25" t="s">
        <v>85</v>
      </c>
      <c r="Q25">
        <v>1</v>
      </c>
      <c r="W25">
        <v>0</v>
      </c>
      <c r="X25">
        <v>921520</v>
      </c>
      <c r="Y25">
        <f t="shared" si="0"/>
        <v>110</v>
      </c>
      <c r="AA25">
        <v>104.99</v>
      </c>
      <c r="AB25">
        <v>0</v>
      </c>
      <c r="AC25">
        <v>0</v>
      </c>
      <c r="AD25">
        <v>0</v>
      </c>
      <c r="AE25">
        <v>104.99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0</v>
      </c>
      <c r="AP25">
        <v>1</v>
      </c>
      <c r="AQ25">
        <v>0</v>
      </c>
      <c r="AR25">
        <v>0</v>
      </c>
      <c r="AS25" t="s">
        <v>3</v>
      </c>
      <c r="AT25">
        <v>110</v>
      </c>
      <c r="AU25" t="s">
        <v>3</v>
      </c>
      <c r="AV25">
        <v>0</v>
      </c>
      <c r="AW25">
        <v>1</v>
      </c>
      <c r="AX25">
        <v>-1</v>
      </c>
      <c r="AY25">
        <v>0</v>
      </c>
      <c r="AZ25">
        <v>0</v>
      </c>
      <c r="BA25" t="s">
        <v>3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ROUND(Y25*Source!I192,9)</f>
        <v>3.7730000000000001</v>
      </c>
      <c r="CY25">
        <f t="shared" si="4"/>
        <v>104.99</v>
      </c>
      <c r="CZ25">
        <f t="shared" si="5"/>
        <v>104.99</v>
      </c>
      <c r="DA25">
        <f t="shared" si="6"/>
        <v>1</v>
      </c>
      <c r="DB25">
        <f t="shared" si="1"/>
        <v>11548.9</v>
      </c>
      <c r="DC25">
        <f t="shared" si="2"/>
        <v>0</v>
      </c>
      <c r="DD25" t="s">
        <v>3</v>
      </c>
      <c r="DE25" t="s">
        <v>3</v>
      </c>
      <c r="DF25">
        <f>ROUND(ROUND(AE25,2)*CX25,2)</f>
        <v>396.13</v>
      </c>
      <c r="DG25">
        <f t="shared" si="7"/>
        <v>0</v>
      </c>
      <c r="DH25">
        <f t="shared" si="8"/>
        <v>0</v>
      </c>
      <c r="DI25">
        <f t="shared" si="3"/>
        <v>0</v>
      </c>
      <c r="DJ25">
        <f t="shared" si="9"/>
        <v>396.13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ROW(Source!A193)</f>
        <v>193</v>
      </c>
      <c r="B26">
        <v>56610029</v>
      </c>
      <c r="C26">
        <v>56610715</v>
      </c>
      <c r="D26">
        <v>49108184</v>
      </c>
      <c r="E26">
        <v>1</v>
      </c>
      <c r="F26">
        <v>1</v>
      </c>
      <c r="G26">
        <v>27786564</v>
      </c>
      <c r="H26">
        <v>3</v>
      </c>
      <c r="I26" t="s">
        <v>83</v>
      </c>
      <c r="J26" t="s">
        <v>86</v>
      </c>
      <c r="K26" t="s">
        <v>292</v>
      </c>
      <c r="L26">
        <v>1339</v>
      </c>
      <c r="N26">
        <v>1007</v>
      </c>
      <c r="O26" t="s">
        <v>85</v>
      </c>
      <c r="P26" t="s">
        <v>85</v>
      </c>
      <c r="Q26">
        <v>1</v>
      </c>
      <c r="W26">
        <v>0</v>
      </c>
      <c r="X26">
        <v>921520</v>
      </c>
      <c r="Y26">
        <f t="shared" si="0"/>
        <v>110</v>
      </c>
      <c r="AA26">
        <v>808.99</v>
      </c>
      <c r="AB26">
        <v>0</v>
      </c>
      <c r="AC26">
        <v>0</v>
      </c>
      <c r="AD26">
        <v>0</v>
      </c>
      <c r="AE26">
        <v>104.99</v>
      </c>
      <c r="AF26">
        <v>0</v>
      </c>
      <c r="AG26">
        <v>0</v>
      </c>
      <c r="AH26">
        <v>0</v>
      </c>
      <c r="AI26">
        <v>7.69</v>
      </c>
      <c r="AJ26">
        <v>1</v>
      </c>
      <c r="AK26">
        <v>1</v>
      </c>
      <c r="AL26">
        <v>1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 t="s">
        <v>3</v>
      </c>
      <c r="AT26">
        <v>110</v>
      </c>
      <c r="AU26" t="s">
        <v>3</v>
      </c>
      <c r="AV26">
        <v>0</v>
      </c>
      <c r="AW26">
        <v>1</v>
      </c>
      <c r="AX26">
        <v>-1</v>
      </c>
      <c r="AY26">
        <v>0</v>
      </c>
      <c r="AZ26">
        <v>0</v>
      </c>
      <c r="BA26" t="s">
        <v>3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ROUND(Y26*Source!I193,9)</f>
        <v>3.7730000000000001</v>
      </c>
      <c r="CY26">
        <f t="shared" si="4"/>
        <v>808.99</v>
      </c>
      <c r="CZ26">
        <f t="shared" si="5"/>
        <v>104.99</v>
      </c>
      <c r="DA26">
        <f t="shared" si="6"/>
        <v>7.69</v>
      </c>
      <c r="DB26">
        <f t="shared" si="1"/>
        <v>11548.9</v>
      </c>
      <c r="DC26">
        <f t="shared" si="2"/>
        <v>0</v>
      </c>
      <c r="DD26" t="s">
        <v>3</v>
      </c>
      <c r="DE26" t="s">
        <v>3</v>
      </c>
      <c r="DF26">
        <f>ROUND(ROUND(AE26*AI26,2)*CX26,2)</f>
        <v>3046.21</v>
      </c>
      <c r="DG26">
        <f t="shared" si="7"/>
        <v>0</v>
      </c>
      <c r="DH26">
        <f t="shared" si="8"/>
        <v>0</v>
      </c>
      <c r="DI26">
        <f t="shared" si="3"/>
        <v>0</v>
      </c>
      <c r="DJ26">
        <f t="shared" si="9"/>
        <v>3046.21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ROW(Source!A196)</f>
        <v>196</v>
      </c>
      <c r="B27">
        <v>56622490</v>
      </c>
      <c r="C27">
        <v>56610726</v>
      </c>
      <c r="D27">
        <v>46725728</v>
      </c>
      <c r="E27">
        <v>1</v>
      </c>
      <c r="F27">
        <v>1</v>
      </c>
      <c r="G27">
        <v>27786564</v>
      </c>
      <c r="H27">
        <v>3</v>
      </c>
      <c r="I27" t="s">
        <v>301</v>
      </c>
      <c r="J27" t="s">
        <v>303</v>
      </c>
      <c r="K27" t="s">
        <v>302</v>
      </c>
      <c r="L27">
        <v>1339</v>
      </c>
      <c r="N27">
        <v>1007</v>
      </c>
      <c r="O27" t="s">
        <v>85</v>
      </c>
      <c r="P27" t="s">
        <v>85</v>
      </c>
      <c r="Q27">
        <v>1</v>
      </c>
      <c r="W27">
        <v>0</v>
      </c>
      <c r="X27">
        <v>-520181400</v>
      </c>
      <c r="Y27">
        <f t="shared" si="0"/>
        <v>162</v>
      </c>
      <c r="AA27">
        <v>517.14</v>
      </c>
      <c r="AB27">
        <v>0</v>
      </c>
      <c r="AC27">
        <v>0</v>
      </c>
      <c r="AD27">
        <v>0</v>
      </c>
      <c r="AE27">
        <v>517.14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0</v>
      </c>
      <c r="AP27">
        <v>1</v>
      </c>
      <c r="AQ27">
        <v>0</v>
      </c>
      <c r="AR27">
        <v>0</v>
      </c>
      <c r="AS27" t="s">
        <v>3</v>
      </c>
      <c r="AT27">
        <v>162</v>
      </c>
      <c r="AU27" t="s">
        <v>3</v>
      </c>
      <c r="AV27">
        <v>0</v>
      </c>
      <c r="AW27">
        <v>1</v>
      </c>
      <c r="AX27">
        <v>-1</v>
      </c>
      <c r="AY27">
        <v>0</v>
      </c>
      <c r="AZ27">
        <v>0</v>
      </c>
      <c r="BA27" t="s">
        <v>3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ROUND(Y27*Source!I196,9)</f>
        <v>1.5875999999999999</v>
      </c>
      <c r="CY27">
        <f t="shared" si="4"/>
        <v>517.14</v>
      </c>
      <c r="CZ27">
        <f t="shared" si="5"/>
        <v>517.14</v>
      </c>
      <c r="DA27">
        <f t="shared" si="6"/>
        <v>1</v>
      </c>
      <c r="DB27">
        <f t="shared" si="1"/>
        <v>83776.679999999993</v>
      </c>
      <c r="DC27">
        <f t="shared" si="2"/>
        <v>0</v>
      </c>
      <c r="DD27" t="s">
        <v>3</v>
      </c>
      <c r="DE27" t="s">
        <v>3</v>
      </c>
      <c r="DF27">
        <f>ROUND(ROUND(AE27,2)*CX27,2)</f>
        <v>821.01</v>
      </c>
      <c r="DG27">
        <f t="shared" si="7"/>
        <v>0</v>
      </c>
      <c r="DH27">
        <f t="shared" si="8"/>
        <v>0</v>
      </c>
      <c r="DI27">
        <f t="shared" si="3"/>
        <v>0</v>
      </c>
      <c r="DJ27">
        <f t="shared" si="9"/>
        <v>821.01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ROW(Source!A197)</f>
        <v>197</v>
      </c>
      <c r="B28">
        <v>56610029</v>
      </c>
      <c r="C28">
        <v>56610726</v>
      </c>
      <c r="D28">
        <v>46725728</v>
      </c>
      <c r="E28">
        <v>1</v>
      </c>
      <c r="F28">
        <v>1</v>
      </c>
      <c r="G28">
        <v>27786564</v>
      </c>
      <c r="H28">
        <v>3</v>
      </c>
      <c r="I28" t="s">
        <v>301</v>
      </c>
      <c r="J28" t="s">
        <v>303</v>
      </c>
      <c r="K28" t="s">
        <v>302</v>
      </c>
      <c r="L28">
        <v>1339</v>
      </c>
      <c r="N28">
        <v>1007</v>
      </c>
      <c r="O28" t="s">
        <v>85</v>
      </c>
      <c r="P28" t="s">
        <v>85</v>
      </c>
      <c r="Q28">
        <v>1</v>
      </c>
      <c r="W28">
        <v>0</v>
      </c>
      <c r="X28">
        <v>-520181400</v>
      </c>
      <c r="Y28">
        <f t="shared" si="0"/>
        <v>162</v>
      </c>
      <c r="AA28">
        <v>5715.46</v>
      </c>
      <c r="AB28">
        <v>0</v>
      </c>
      <c r="AC28">
        <v>0</v>
      </c>
      <c r="AD28">
        <v>0</v>
      </c>
      <c r="AE28">
        <v>517.14</v>
      </c>
      <c r="AF28">
        <v>0</v>
      </c>
      <c r="AG28">
        <v>0</v>
      </c>
      <c r="AH28">
        <v>0</v>
      </c>
      <c r="AI28">
        <v>11.03</v>
      </c>
      <c r="AJ28">
        <v>1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 t="s">
        <v>3</v>
      </c>
      <c r="AT28">
        <v>162</v>
      </c>
      <c r="AU28" t="s">
        <v>3</v>
      </c>
      <c r="AV28">
        <v>0</v>
      </c>
      <c r="AW28">
        <v>1</v>
      </c>
      <c r="AX28">
        <v>-1</v>
      </c>
      <c r="AY28">
        <v>0</v>
      </c>
      <c r="AZ28">
        <v>0</v>
      </c>
      <c r="BA28" t="s">
        <v>3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ROUND(Y28*Source!I197,9)</f>
        <v>1.5875999999999999</v>
      </c>
      <c r="CY28">
        <f t="shared" si="4"/>
        <v>5715.46</v>
      </c>
      <c r="CZ28">
        <f t="shared" si="5"/>
        <v>517.14</v>
      </c>
      <c r="DA28">
        <f t="shared" si="6"/>
        <v>11.03</v>
      </c>
      <c r="DB28">
        <f t="shared" si="1"/>
        <v>83776.679999999993</v>
      </c>
      <c r="DC28">
        <f t="shared" si="2"/>
        <v>0</v>
      </c>
      <c r="DD28" t="s">
        <v>3</v>
      </c>
      <c r="DE28" t="s">
        <v>3</v>
      </c>
      <c r="DF28">
        <f>ROUND(ROUND(AE28*AI28,2)*CX28,2)</f>
        <v>9055.75</v>
      </c>
      <c r="DG28">
        <f t="shared" si="7"/>
        <v>0</v>
      </c>
      <c r="DH28">
        <f t="shared" si="8"/>
        <v>0</v>
      </c>
      <c r="DI28">
        <f t="shared" si="3"/>
        <v>0</v>
      </c>
      <c r="DJ28">
        <f t="shared" si="9"/>
        <v>9055.75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ROW(Source!A200)</f>
        <v>200</v>
      </c>
      <c r="B29">
        <v>56622490</v>
      </c>
      <c r="C29">
        <v>56610741</v>
      </c>
      <c r="D29">
        <v>46725728</v>
      </c>
      <c r="E29">
        <v>1</v>
      </c>
      <c r="F29">
        <v>1</v>
      </c>
      <c r="G29">
        <v>27786564</v>
      </c>
      <c r="H29">
        <v>3</v>
      </c>
      <c r="I29" t="s">
        <v>301</v>
      </c>
      <c r="J29" t="s">
        <v>303</v>
      </c>
      <c r="K29" t="s">
        <v>302</v>
      </c>
      <c r="L29">
        <v>1339</v>
      </c>
      <c r="N29">
        <v>1007</v>
      </c>
      <c r="O29" t="s">
        <v>85</v>
      </c>
      <c r="P29" t="s">
        <v>85</v>
      </c>
      <c r="Q29">
        <v>1</v>
      </c>
      <c r="W29">
        <v>0</v>
      </c>
      <c r="X29">
        <v>-520181400</v>
      </c>
      <c r="Y29">
        <f t="shared" si="0"/>
        <v>10.199999999999999</v>
      </c>
      <c r="AA29">
        <v>517.14</v>
      </c>
      <c r="AB29">
        <v>0</v>
      </c>
      <c r="AC29">
        <v>0</v>
      </c>
      <c r="AD29">
        <v>0</v>
      </c>
      <c r="AE29">
        <v>517.14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0</v>
      </c>
      <c r="AP29">
        <v>1</v>
      </c>
      <c r="AQ29">
        <v>0</v>
      </c>
      <c r="AR29">
        <v>0</v>
      </c>
      <c r="AS29" t="s">
        <v>3</v>
      </c>
      <c r="AT29">
        <v>10.199999999999999</v>
      </c>
      <c r="AU29" t="s">
        <v>3</v>
      </c>
      <c r="AV29">
        <v>0</v>
      </c>
      <c r="AW29">
        <v>1</v>
      </c>
      <c r="AX29">
        <v>-1</v>
      </c>
      <c r="AY29">
        <v>0</v>
      </c>
      <c r="AZ29">
        <v>0</v>
      </c>
      <c r="BA29" t="s">
        <v>3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v>0</v>
      </c>
      <c r="CX29">
        <f>ROUND(Y29*Source!I200,9)</f>
        <v>9.9959999999999993E-2</v>
      </c>
      <c r="CY29">
        <f t="shared" si="4"/>
        <v>517.14</v>
      </c>
      <c r="CZ29">
        <f t="shared" si="5"/>
        <v>517.14</v>
      </c>
      <c r="DA29">
        <f t="shared" si="6"/>
        <v>1</v>
      </c>
      <c r="DB29">
        <f t="shared" si="1"/>
        <v>5274.83</v>
      </c>
      <c r="DC29">
        <f t="shared" si="2"/>
        <v>0</v>
      </c>
      <c r="DD29" t="s">
        <v>3</v>
      </c>
      <c r="DE29" t="s">
        <v>3</v>
      </c>
      <c r="DF29">
        <f>ROUND(ROUND(AE29,2)*CX29,2)</f>
        <v>51.69</v>
      </c>
      <c r="DG29">
        <f t="shared" si="7"/>
        <v>0</v>
      </c>
      <c r="DH29">
        <f t="shared" si="8"/>
        <v>0</v>
      </c>
      <c r="DI29">
        <f t="shared" si="3"/>
        <v>0</v>
      </c>
      <c r="DJ29">
        <f t="shared" si="9"/>
        <v>51.69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ROW(Source!A201)</f>
        <v>201</v>
      </c>
      <c r="B30">
        <v>56610029</v>
      </c>
      <c r="C30">
        <v>56610741</v>
      </c>
      <c r="D30">
        <v>46725728</v>
      </c>
      <c r="E30">
        <v>1</v>
      </c>
      <c r="F30">
        <v>1</v>
      </c>
      <c r="G30">
        <v>27786564</v>
      </c>
      <c r="H30">
        <v>3</v>
      </c>
      <c r="I30" t="s">
        <v>301</v>
      </c>
      <c r="J30" t="s">
        <v>303</v>
      </c>
      <c r="K30" t="s">
        <v>302</v>
      </c>
      <c r="L30">
        <v>1339</v>
      </c>
      <c r="N30">
        <v>1007</v>
      </c>
      <c r="O30" t="s">
        <v>85</v>
      </c>
      <c r="P30" t="s">
        <v>85</v>
      </c>
      <c r="Q30">
        <v>1</v>
      </c>
      <c r="W30">
        <v>0</v>
      </c>
      <c r="X30">
        <v>-520181400</v>
      </c>
      <c r="Y30">
        <f t="shared" si="0"/>
        <v>10.199999999999999</v>
      </c>
      <c r="AA30">
        <v>5715.46</v>
      </c>
      <c r="AB30">
        <v>0</v>
      </c>
      <c r="AC30">
        <v>0</v>
      </c>
      <c r="AD30">
        <v>0</v>
      </c>
      <c r="AE30">
        <v>517.14</v>
      </c>
      <c r="AF30">
        <v>0</v>
      </c>
      <c r="AG30">
        <v>0</v>
      </c>
      <c r="AH30">
        <v>0</v>
      </c>
      <c r="AI30">
        <v>11.03</v>
      </c>
      <c r="AJ30">
        <v>1</v>
      </c>
      <c r="AK30">
        <v>1</v>
      </c>
      <c r="AL30">
        <v>1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 t="s">
        <v>3</v>
      </c>
      <c r="AT30">
        <v>10.199999999999999</v>
      </c>
      <c r="AU30" t="s">
        <v>3</v>
      </c>
      <c r="AV30">
        <v>0</v>
      </c>
      <c r="AW30">
        <v>1</v>
      </c>
      <c r="AX30">
        <v>-1</v>
      </c>
      <c r="AY30">
        <v>0</v>
      </c>
      <c r="AZ30">
        <v>0</v>
      </c>
      <c r="BA30" t="s">
        <v>3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ROUND(Y30*Source!I201,9)</f>
        <v>9.9959999999999993E-2</v>
      </c>
      <c r="CY30">
        <f t="shared" si="4"/>
        <v>5715.46</v>
      </c>
      <c r="CZ30">
        <f t="shared" si="5"/>
        <v>517.14</v>
      </c>
      <c r="DA30">
        <f t="shared" si="6"/>
        <v>11.03</v>
      </c>
      <c r="DB30">
        <f t="shared" si="1"/>
        <v>5274.83</v>
      </c>
      <c r="DC30">
        <f t="shared" si="2"/>
        <v>0</v>
      </c>
      <c r="DD30" t="s">
        <v>3</v>
      </c>
      <c r="DE30" t="s">
        <v>3</v>
      </c>
      <c r="DF30">
        <f>ROUND(ROUND(AE30*AI30,2)*CX30,2)</f>
        <v>570.17999999999995</v>
      </c>
      <c r="DG30">
        <f t="shared" si="7"/>
        <v>0</v>
      </c>
      <c r="DH30">
        <f t="shared" si="8"/>
        <v>0</v>
      </c>
      <c r="DI30">
        <f t="shared" si="3"/>
        <v>0</v>
      </c>
      <c r="DJ30">
        <f t="shared" si="9"/>
        <v>570.17999999999995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ROW(Source!A204)</f>
        <v>204</v>
      </c>
      <c r="B31">
        <v>56622490</v>
      </c>
      <c r="C31">
        <v>56610747</v>
      </c>
      <c r="D31">
        <v>46725956</v>
      </c>
      <c r="E31">
        <v>1</v>
      </c>
      <c r="F31">
        <v>1</v>
      </c>
      <c r="G31">
        <v>27786564</v>
      </c>
      <c r="H31">
        <v>3</v>
      </c>
      <c r="I31" t="s">
        <v>316</v>
      </c>
      <c r="J31" t="s">
        <v>319</v>
      </c>
      <c r="K31" t="s">
        <v>317</v>
      </c>
      <c r="L31">
        <v>1348</v>
      </c>
      <c r="N31">
        <v>1009</v>
      </c>
      <c r="O31" t="s">
        <v>318</v>
      </c>
      <c r="P31" t="s">
        <v>318</v>
      </c>
      <c r="Q31">
        <v>1000</v>
      </c>
      <c r="W31">
        <v>0</v>
      </c>
      <c r="X31">
        <v>1855215121</v>
      </c>
      <c r="Y31">
        <f t="shared" si="0"/>
        <v>9.58</v>
      </c>
      <c r="AA31">
        <v>296.7</v>
      </c>
      <c r="AB31">
        <v>0</v>
      </c>
      <c r="AC31">
        <v>0</v>
      </c>
      <c r="AD31">
        <v>0</v>
      </c>
      <c r="AE31">
        <v>296.7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0</v>
      </c>
      <c r="AP31">
        <v>1</v>
      </c>
      <c r="AQ31">
        <v>0</v>
      </c>
      <c r="AR31">
        <v>0</v>
      </c>
      <c r="AS31" t="s">
        <v>3</v>
      </c>
      <c r="AT31">
        <v>9.58</v>
      </c>
      <c r="AU31" t="s">
        <v>3</v>
      </c>
      <c r="AV31">
        <v>0</v>
      </c>
      <c r="AW31">
        <v>1</v>
      </c>
      <c r="AX31">
        <v>-1</v>
      </c>
      <c r="AY31">
        <v>0</v>
      </c>
      <c r="AZ31">
        <v>0</v>
      </c>
      <c r="BA31" t="s">
        <v>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v>0</v>
      </c>
      <c r="CX31">
        <f>ROUND(Y31*Source!I204,9)</f>
        <v>0.93884000000000001</v>
      </c>
      <c r="CY31">
        <f t="shared" si="4"/>
        <v>296.7</v>
      </c>
      <c r="CZ31">
        <f t="shared" si="5"/>
        <v>296.7</v>
      </c>
      <c r="DA31">
        <f t="shared" si="6"/>
        <v>1</v>
      </c>
      <c r="DB31">
        <f t="shared" si="1"/>
        <v>2842.39</v>
      </c>
      <c r="DC31">
        <f t="shared" si="2"/>
        <v>0</v>
      </c>
      <c r="DD31" t="s">
        <v>3</v>
      </c>
      <c r="DE31" t="s">
        <v>3</v>
      </c>
      <c r="DF31">
        <f>ROUND(ROUND(AE31,2)*CX31,2)</f>
        <v>278.55</v>
      </c>
      <c r="DG31">
        <f t="shared" si="7"/>
        <v>0</v>
      </c>
      <c r="DH31">
        <f t="shared" si="8"/>
        <v>0</v>
      </c>
      <c r="DI31">
        <f t="shared" si="3"/>
        <v>0</v>
      </c>
      <c r="DJ31">
        <f t="shared" si="9"/>
        <v>278.55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ROW(Source!A205)</f>
        <v>205</v>
      </c>
      <c r="B32">
        <v>56610029</v>
      </c>
      <c r="C32">
        <v>56610747</v>
      </c>
      <c r="D32">
        <v>46725956</v>
      </c>
      <c r="E32">
        <v>1</v>
      </c>
      <c r="F32">
        <v>1</v>
      </c>
      <c r="G32">
        <v>27786564</v>
      </c>
      <c r="H32">
        <v>3</v>
      </c>
      <c r="I32" t="s">
        <v>316</v>
      </c>
      <c r="J32" t="s">
        <v>319</v>
      </c>
      <c r="K32" t="s">
        <v>317</v>
      </c>
      <c r="L32">
        <v>1348</v>
      </c>
      <c r="N32">
        <v>1009</v>
      </c>
      <c r="O32" t="s">
        <v>318</v>
      </c>
      <c r="P32" t="s">
        <v>318</v>
      </c>
      <c r="Q32">
        <v>1000</v>
      </c>
      <c r="W32">
        <v>0</v>
      </c>
      <c r="X32">
        <v>1855215121</v>
      </c>
      <c r="Y32">
        <f t="shared" si="0"/>
        <v>9.58</v>
      </c>
      <c r="AA32">
        <v>4566.21</v>
      </c>
      <c r="AB32">
        <v>0</v>
      </c>
      <c r="AC32">
        <v>0</v>
      </c>
      <c r="AD32">
        <v>0</v>
      </c>
      <c r="AE32">
        <v>296.7</v>
      </c>
      <c r="AF32">
        <v>0</v>
      </c>
      <c r="AG32">
        <v>0</v>
      </c>
      <c r="AH32">
        <v>0</v>
      </c>
      <c r="AI32">
        <v>15.39</v>
      </c>
      <c r="AJ32">
        <v>1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 t="s">
        <v>3</v>
      </c>
      <c r="AT32">
        <v>9.58</v>
      </c>
      <c r="AU32" t="s">
        <v>3</v>
      </c>
      <c r="AV32">
        <v>0</v>
      </c>
      <c r="AW32">
        <v>1</v>
      </c>
      <c r="AX32">
        <v>-1</v>
      </c>
      <c r="AY32">
        <v>0</v>
      </c>
      <c r="AZ32">
        <v>0</v>
      </c>
      <c r="BA32" t="s">
        <v>3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ROUND(Y32*Source!I205,9)</f>
        <v>0.93884000000000001</v>
      </c>
      <c r="CY32">
        <f t="shared" si="4"/>
        <v>4566.21</v>
      </c>
      <c r="CZ32">
        <f t="shared" si="5"/>
        <v>296.7</v>
      </c>
      <c r="DA32">
        <f t="shared" si="6"/>
        <v>15.39</v>
      </c>
      <c r="DB32">
        <f t="shared" si="1"/>
        <v>2842.39</v>
      </c>
      <c r="DC32">
        <f t="shared" si="2"/>
        <v>0</v>
      </c>
      <c r="DD32" t="s">
        <v>3</v>
      </c>
      <c r="DE32" t="s">
        <v>3</v>
      </c>
      <c r="DF32">
        <f>ROUND(ROUND(AE32*AI32,2)*CX32,2)</f>
        <v>4286.9399999999996</v>
      </c>
      <c r="DG32">
        <f t="shared" si="7"/>
        <v>0</v>
      </c>
      <c r="DH32">
        <f t="shared" si="8"/>
        <v>0</v>
      </c>
      <c r="DI32">
        <f t="shared" si="3"/>
        <v>0</v>
      </c>
      <c r="DJ32">
        <f t="shared" si="9"/>
        <v>4286.9399999999996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ROW(Source!A208)</f>
        <v>208</v>
      </c>
      <c r="B33">
        <v>56622490</v>
      </c>
      <c r="C33">
        <v>56610761</v>
      </c>
      <c r="D33">
        <v>46725956</v>
      </c>
      <c r="E33">
        <v>1</v>
      </c>
      <c r="F33">
        <v>1</v>
      </c>
      <c r="G33">
        <v>27786564</v>
      </c>
      <c r="H33">
        <v>3</v>
      </c>
      <c r="I33" t="s">
        <v>316</v>
      </c>
      <c r="J33" t="s">
        <v>319</v>
      </c>
      <c r="K33" t="s">
        <v>317</v>
      </c>
      <c r="L33">
        <v>1348</v>
      </c>
      <c r="N33">
        <v>1009</v>
      </c>
      <c r="O33" t="s">
        <v>318</v>
      </c>
      <c r="P33" t="s">
        <v>318</v>
      </c>
      <c r="Q33">
        <v>1000</v>
      </c>
      <c r="W33">
        <v>0</v>
      </c>
      <c r="X33">
        <v>1855215121</v>
      </c>
      <c r="Y33">
        <f t="shared" si="0"/>
        <v>9.58</v>
      </c>
      <c r="AA33">
        <v>296.7</v>
      </c>
      <c r="AB33">
        <v>0</v>
      </c>
      <c r="AC33">
        <v>0</v>
      </c>
      <c r="AD33">
        <v>0</v>
      </c>
      <c r="AE33">
        <v>296.7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0</v>
      </c>
      <c r="AP33">
        <v>1</v>
      </c>
      <c r="AQ33">
        <v>0</v>
      </c>
      <c r="AR33">
        <v>0</v>
      </c>
      <c r="AS33" t="s">
        <v>3</v>
      </c>
      <c r="AT33">
        <v>9.58</v>
      </c>
      <c r="AU33" t="s">
        <v>3</v>
      </c>
      <c r="AV33">
        <v>0</v>
      </c>
      <c r="AW33">
        <v>1</v>
      </c>
      <c r="AX33">
        <v>-1</v>
      </c>
      <c r="AY33">
        <v>0</v>
      </c>
      <c r="AZ33">
        <v>0</v>
      </c>
      <c r="BA33" t="s">
        <v>3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ROUND(Y33*Source!I208,9)</f>
        <v>0.93884000000000001</v>
      </c>
      <c r="CY33">
        <f t="shared" si="4"/>
        <v>296.7</v>
      </c>
      <c r="CZ33">
        <f t="shared" si="5"/>
        <v>296.7</v>
      </c>
      <c r="DA33">
        <f t="shared" si="6"/>
        <v>1</v>
      </c>
      <c r="DB33">
        <f t="shared" si="1"/>
        <v>2842.39</v>
      </c>
      <c r="DC33">
        <f t="shared" si="2"/>
        <v>0</v>
      </c>
      <c r="DD33" t="s">
        <v>3</v>
      </c>
      <c r="DE33" t="s">
        <v>3</v>
      </c>
      <c r="DF33">
        <f>ROUND(ROUND(AE33,2)*CX33,2)</f>
        <v>278.55</v>
      </c>
      <c r="DG33">
        <f t="shared" si="7"/>
        <v>0</v>
      </c>
      <c r="DH33">
        <f t="shared" si="8"/>
        <v>0</v>
      </c>
      <c r="DI33">
        <f t="shared" ref="DI33:DI64" si="10">ROUND(ROUND(AH33,2)*CX33,2)</f>
        <v>0</v>
      </c>
      <c r="DJ33">
        <f t="shared" si="9"/>
        <v>278.55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ROW(Source!A209)</f>
        <v>209</v>
      </c>
      <c r="B34">
        <v>56610029</v>
      </c>
      <c r="C34">
        <v>56610761</v>
      </c>
      <c r="D34">
        <v>46725956</v>
      </c>
      <c r="E34">
        <v>1</v>
      </c>
      <c r="F34">
        <v>1</v>
      </c>
      <c r="G34">
        <v>27786564</v>
      </c>
      <c r="H34">
        <v>3</v>
      </c>
      <c r="I34" t="s">
        <v>316</v>
      </c>
      <c r="J34" t="s">
        <v>319</v>
      </c>
      <c r="K34" t="s">
        <v>317</v>
      </c>
      <c r="L34">
        <v>1348</v>
      </c>
      <c r="N34">
        <v>1009</v>
      </c>
      <c r="O34" t="s">
        <v>318</v>
      </c>
      <c r="P34" t="s">
        <v>318</v>
      </c>
      <c r="Q34">
        <v>1000</v>
      </c>
      <c r="W34">
        <v>0</v>
      </c>
      <c r="X34">
        <v>1855215121</v>
      </c>
      <c r="Y34">
        <f t="shared" si="0"/>
        <v>9.58</v>
      </c>
      <c r="AA34">
        <v>4566.21</v>
      </c>
      <c r="AB34">
        <v>0</v>
      </c>
      <c r="AC34">
        <v>0</v>
      </c>
      <c r="AD34">
        <v>0</v>
      </c>
      <c r="AE34">
        <v>296.7</v>
      </c>
      <c r="AF34">
        <v>0</v>
      </c>
      <c r="AG34">
        <v>0</v>
      </c>
      <c r="AH34">
        <v>0</v>
      </c>
      <c r="AI34">
        <v>15.39</v>
      </c>
      <c r="AJ34">
        <v>1</v>
      </c>
      <c r="AK34">
        <v>1</v>
      </c>
      <c r="AL34">
        <v>1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 t="s">
        <v>3</v>
      </c>
      <c r="AT34">
        <v>9.58</v>
      </c>
      <c r="AU34" t="s">
        <v>3</v>
      </c>
      <c r="AV34">
        <v>0</v>
      </c>
      <c r="AW34">
        <v>1</v>
      </c>
      <c r="AX34">
        <v>-1</v>
      </c>
      <c r="AY34">
        <v>0</v>
      </c>
      <c r="AZ34">
        <v>0</v>
      </c>
      <c r="BA34" t="s">
        <v>3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ROUND(Y34*Source!I209,9)</f>
        <v>0.93884000000000001</v>
      </c>
      <c r="CY34">
        <f t="shared" si="4"/>
        <v>4566.21</v>
      </c>
      <c r="CZ34">
        <f t="shared" si="5"/>
        <v>296.7</v>
      </c>
      <c r="DA34">
        <f t="shared" si="6"/>
        <v>15.39</v>
      </c>
      <c r="DB34">
        <f t="shared" si="1"/>
        <v>2842.39</v>
      </c>
      <c r="DC34">
        <f t="shared" si="2"/>
        <v>0</v>
      </c>
      <c r="DD34" t="s">
        <v>3</v>
      </c>
      <c r="DE34" t="s">
        <v>3</v>
      </c>
      <c r="DF34">
        <f>ROUND(ROUND(AE34*AI34,2)*CX34,2)</f>
        <v>4286.9399999999996</v>
      </c>
      <c r="DG34">
        <f t="shared" si="7"/>
        <v>0</v>
      </c>
      <c r="DH34">
        <f t="shared" si="8"/>
        <v>0</v>
      </c>
      <c r="DI34">
        <f t="shared" si="10"/>
        <v>0</v>
      </c>
      <c r="DJ34">
        <f t="shared" si="9"/>
        <v>4286.9399999999996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ROW(Source!A212)</f>
        <v>212</v>
      </c>
      <c r="B35">
        <v>56622490</v>
      </c>
      <c r="C35">
        <v>56610775</v>
      </c>
      <c r="D35">
        <v>46725956</v>
      </c>
      <c r="E35">
        <v>1</v>
      </c>
      <c r="F35">
        <v>1</v>
      </c>
      <c r="G35">
        <v>27786564</v>
      </c>
      <c r="H35">
        <v>3</v>
      </c>
      <c r="I35" t="s">
        <v>316</v>
      </c>
      <c r="J35" t="s">
        <v>319</v>
      </c>
      <c r="K35" t="s">
        <v>317</v>
      </c>
      <c r="L35">
        <v>1348</v>
      </c>
      <c r="N35">
        <v>1009</v>
      </c>
      <c r="O35" t="s">
        <v>318</v>
      </c>
      <c r="P35" t="s">
        <v>318</v>
      </c>
      <c r="Q35">
        <v>1000</v>
      </c>
      <c r="W35">
        <v>0</v>
      </c>
      <c r="X35">
        <v>1855215121</v>
      </c>
      <c r="Y35">
        <f>(AT35*5)</f>
        <v>12</v>
      </c>
      <c r="AA35">
        <v>296.7</v>
      </c>
      <c r="AB35">
        <v>0</v>
      </c>
      <c r="AC35">
        <v>0</v>
      </c>
      <c r="AD35">
        <v>0</v>
      </c>
      <c r="AE35">
        <v>296.7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0</v>
      </c>
      <c r="AP35">
        <v>1</v>
      </c>
      <c r="AQ35">
        <v>0</v>
      </c>
      <c r="AR35">
        <v>0</v>
      </c>
      <c r="AS35" t="s">
        <v>3</v>
      </c>
      <c r="AT35">
        <v>2.4</v>
      </c>
      <c r="AU35" t="s">
        <v>328</v>
      </c>
      <c r="AV35">
        <v>0</v>
      </c>
      <c r="AW35">
        <v>1</v>
      </c>
      <c r="AX35">
        <v>-1</v>
      </c>
      <c r="AY35">
        <v>0</v>
      </c>
      <c r="AZ35">
        <v>0</v>
      </c>
      <c r="BA35" t="s">
        <v>3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ROUND(Y35*Source!I212,9)</f>
        <v>1.1759999999999999</v>
      </c>
      <c r="CY35">
        <f t="shared" si="4"/>
        <v>296.7</v>
      </c>
      <c r="CZ35">
        <f t="shared" si="5"/>
        <v>296.7</v>
      </c>
      <c r="DA35">
        <f t="shared" si="6"/>
        <v>1</v>
      </c>
      <c r="DB35">
        <f>ROUND((ROUND(AT35*CZ35,2)*5),6)</f>
        <v>3560.4</v>
      </c>
      <c r="DC35">
        <f>ROUND((ROUND(AT35*AG35,2)*5),6)</f>
        <v>0</v>
      </c>
      <c r="DD35" t="s">
        <v>3</v>
      </c>
      <c r="DE35" t="s">
        <v>3</v>
      </c>
      <c r="DF35">
        <f>ROUND(ROUND(AE35,2)*CX35,2)</f>
        <v>348.92</v>
      </c>
      <c r="DG35">
        <f t="shared" si="7"/>
        <v>0</v>
      </c>
      <c r="DH35">
        <f t="shared" si="8"/>
        <v>0</v>
      </c>
      <c r="DI35">
        <f t="shared" si="10"/>
        <v>0</v>
      </c>
      <c r="DJ35">
        <f t="shared" si="9"/>
        <v>348.92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ROW(Source!A213)</f>
        <v>213</v>
      </c>
      <c r="B36">
        <v>56610029</v>
      </c>
      <c r="C36">
        <v>56610775</v>
      </c>
      <c r="D36">
        <v>46725956</v>
      </c>
      <c r="E36">
        <v>1</v>
      </c>
      <c r="F36">
        <v>1</v>
      </c>
      <c r="G36">
        <v>27786564</v>
      </c>
      <c r="H36">
        <v>3</v>
      </c>
      <c r="I36" t="s">
        <v>316</v>
      </c>
      <c r="J36" t="s">
        <v>319</v>
      </c>
      <c r="K36" t="s">
        <v>317</v>
      </c>
      <c r="L36">
        <v>1348</v>
      </c>
      <c r="N36">
        <v>1009</v>
      </c>
      <c r="O36" t="s">
        <v>318</v>
      </c>
      <c r="P36" t="s">
        <v>318</v>
      </c>
      <c r="Q36">
        <v>1000</v>
      </c>
      <c r="W36">
        <v>0</v>
      </c>
      <c r="X36">
        <v>1855215121</v>
      </c>
      <c r="Y36">
        <f>(AT36*5)</f>
        <v>12</v>
      </c>
      <c r="AA36">
        <v>4566.21</v>
      </c>
      <c r="AB36">
        <v>0</v>
      </c>
      <c r="AC36">
        <v>0</v>
      </c>
      <c r="AD36">
        <v>0</v>
      </c>
      <c r="AE36">
        <v>296.7</v>
      </c>
      <c r="AF36">
        <v>0</v>
      </c>
      <c r="AG36">
        <v>0</v>
      </c>
      <c r="AH36">
        <v>0</v>
      </c>
      <c r="AI36">
        <v>15.39</v>
      </c>
      <c r="AJ36">
        <v>1</v>
      </c>
      <c r="AK36">
        <v>1</v>
      </c>
      <c r="AL36">
        <v>1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 t="s">
        <v>3</v>
      </c>
      <c r="AT36">
        <v>2.4</v>
      </c>
      <c r="AU36" t="s">
        <v>328</v>
      </c>
      <c r="AV36">
        <v>0</v>
      </c>
      <c r="AW36">
        <v>1</v>
      </c>
      <c r="AX36">
        <v>-1</v>
      </c>
      <c r="AY36">
        <v>0</v>
      </c>
      <c r="AZ36">
        <v>0</v>
      </c>
      <c r="BA36" t="s">
        <v>3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ROUND(Y36*Source!I213,9)</f>
        <v>1.1759999999999999</v>
      </c>
      <c r="CY36">
        <f t="shared" si="4"/>
        <v>4566.21</v>
      </c>
      <c r="CZ36">
        <f t="shared" si="5"/>
        <v>296.7</v>
      </c>
      <c r="DA36">
        <f t="shared" si="6"/>
        <v>15.39</v>
      </c>
      <c r="DB36">
        <f>ROUND((ROUND(AT36*CZ36,2)*5),6)</f>
        <v>3560.4</v>
      </c>
      <c r="DC36">
        <f>ROUND((ROUND(AT36*AG36,2)*5),6)</f>
        <v>0</v>
      </c>
      <c r="DD36" t="s">
        <v>3</v>
      </c>
      <c r="DE36" t="s">
        <v>3</v>
      </c>
      <c r="DF36">
        <f>ROUND(ROUND(AE36*AI36,2)*CX36,2)</f>
        <v>5369.86</v>
      </c>
      <c r="DG36">
        <f t="shared" si="7"/>
        <v>0</v>
      </c>
      <c r="DH36">
        <f t="shared" si="8"/>
        <v>0</v>
      </c>
      <c r="DI36">
        <f t="shared" si="10"/>
        <v>0</v>
      </c>
      <c r="DJ36">
        <f t="shared" si="9"/>
        <v>5369.86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ROW(Source!A216)</f>
        <v>216</v>
      </c>
      <c r="B37">
        <v>56622490</v>
      </c>
      <c r="C37">
        <v>56610782</v>
      </c>
      <c r="D37">
        <v>46725958</v>
      </c>
      <c r="E37">
        <v>1</v>
      </c>
      <c r="F37">
        <v>1</v>
      </c>
      <c r="G37">
        <v>27786564</v>
      </c>
      <c r="H37">
        <v>3</v>
      </c>
      <c r="I37" t="s">
        <v>331</v>
      </c>
      <c r="J37" t="s">
        <v>333</v>
      </c>
      <c r="K37" t="s">
        <v>332</v>
      </c>
      <c r="L37">
        <v>1348</v>
      </c>
      <c r="N37">
        <v>1009</v>
      </c>
      <c r="O37" t="s">
        <v>318</v>
      </c>
      <c r="P37" t="s">
        <v>318</v>
      </c>
      <c r="Q37">
        <v>1000</v>
      </c>
      <c r="W37">
        <v>0</v>
      </c>
      <c r="X37">
        <v>-1899420918</v>
      </c>
      <c r="Y37">
        <f t="shared" ref="Y37:Y46" si="11">AT37</f>
        <v>9.66</v>
      </c>
      <c r="AA37">
        <v>307.58999999999997</v>
      </c>
      <c r="AB37">
        <v>0</v>
      </c>
      <c r="AC37">
        <v>0</v>
      </c>
      <c r="AD37">
        <v>0</v>
      </c>
      <c r="AE37">
        <v>307.58999999999997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0</v>
      </c>
      <c r="AP37">
        <v>1</v>
      </c>
      <c r="AQ37">
        <v>0</v>
      </c>
      <c r="AR37">
        <v>0</v>
      </c>
      <c r="AS37" t="s">
        <v>3</v>
      </c>
      <c r="AT37">
        <v>9.66</v>
      </c>
      <c r="AU37" t="s">
        <v>3</v>
      </c>
      <c r="AV37">
        <v>0</v>
      </c>
      <c r="AW37">
        <v>1</v>
      </c>
      <c r="AX37">
        <v>-1</v>
      </c>
      <c r="AY37">
        <v>0</v>
      </c>
      <c r="AZ37">
        <v>0</v>
      </c>
      <c r="BA37" t="s">
        <v>3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ROUND(Y37*Source!I216,9)</f>
        <v>2.6082000000000001</v>
      </c>
      <c r="CY37">
        <f t="shared" si="4"/>
        <v>307.58999999999997</v>
      </c>
      <c r="CZ37">
        <f t="shared" si="5"/>
        <v>307.58999999999997</v>
      </c>
      <c r="DA37">
        <f t="shared" si="6"/>
        <v>1</v>
      </c>
      <c r="DB37">
        <f t="shared" ref="DB37:DB46" si="12">ROUND(ROUND(AT37*CZ37,2),6)</f>
        <v>2971.32</v>
      </c>
      <c r="DC37">
        <f t="shared" ref="DC37:DC46" si="13">ROUND(ROUND(AT37*AG37,2),6)</f>
        <v>0</v>
      </c>
      <c r="DD37" t="s">
        <v>3</v>
      </c>
      <c r="DE37" t="s">
        <v>3</v>
      </c>
      <c r="DF37">
        <f>ROUND(ROUND(AE37,2)*CX37,2)</f>
        <v>802.26</v>
      </c>
      <c r="DG37">
        <f t="shared" si="7"/>
        <v>0</v>
      </c>
      <c r="DH37">
        <f t="shared" si="8"/>
        <v>0</v>
      </c>
      <c r="DI37">
        <f t="shared" si="10"/>
        <v>0</v>
      </c>
      <c r="DJ37">
        <f t="shared" si="9"/>
        <v>802.26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ROW(Source!A217)</f>
        <v>217</v>
      </c>
      <c r="B38">
        <v>56610029</v>
      </c>
      <c r="C38">
        <v>56610782</v>
      </c>
      <c r="D38">
        <v>46725958</v>
      </c>
      <c r="E38">
        <v>1</v>
      </c>
      <c r="F38">
        <v>1</v>
      </c>
      <c r="G38">
        <v>27786564</v>
      </c>
      <c r="H38">
        <v>3</v>
      </c>
      <c r="I38" t="s">
        <v>331</v>
      </c>
      <c r="J38" t="s">
        <v>333</v>
      </c>
      <c r="K38" t="s">
        <v>332</v>
      </c>
      <c r="L38">
        <v>1348</v>
      </c>
      <c r="N38">
        <v>1009</v>
      </c>
      <c r="O38" t="s">
        <v>318</v>
      </c>
      <c r="P38" t="s">
        <v>318</v>
      </c>
      <c r="Q38">
        <v>1000</v>
      </c>
      <c r="W38">
        <v>0</v>
      </c>
      <c r="X38">
        <v>-1899420918</v>
      </c>
      <c r="Y38">
        <f t="shared" si="11"/>
        <v>9.66</v>
      </c>
      <c r="AA38">
        <v>4712.28</v>
      </c>
      <c r="AB38">
        <v>0</v>
      </c>
      <c r="AC38">
        <v>0</v>
      </c>
      <c r="AD38">
        <v>0</v>
      </c>
      <c r="AE38">
        <v>307.58999999999997</v>
      </c>
      <c r="AF38">
        <v>0</v>
      </c>
      <c r="AG38">
        <v>0</v>
      </c>
      <c r="AH38">
        <v>0</v>
      </c>
      <c r="AI38">
        <v>15.32</v>
      </c>
      <c r="AJ38">
        <v>1</v>
      </c>
      <c r="AK38">
        <v>1</v>
      </c>
      <c r="AL38">
        <v>1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 t="s">
        <v>3</v>
      </c>
      <c r="AT38">
        <v>9.66</v>
      </c>
      <c r="AU38" t="s">
        <v>3</v>
      </c>
      <c r="AV38">
        <v>0</v>
      </c>
      <c r="AW38">
        <v>1</v>
      </c>
      <c r="AX38">
        <v>-1</v>
      </c>
      <c r="AY38">
        <v>0</v>
      </c>
      <c r="AZ38">
        <v>0</v>
      </c>
      <c r="BA38" t="s">
        <v>3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ROUND(Y38*Source!I217,9)</f>
        <v>2.6082000000000001</v>
      </c>
      <c r="CY38">
        <f t="shared" si="4"/>
        <v>4712.28</v>
      </c>
      <c r="CZ38">
        <f t="shared" si="5"/>
        <v>307.58999999999997</v>
      </c>
      <c r="DA38">
        <f t="shared" si="6"/>
        <v>15.32</v>
      </c>
      <c r="DB38">
        <f t="shared" si="12"/>
        <v>2971.32</v>
      </c>
      <c r="DC38">
        <f t="shared" si="13"/>
        <v>0</v>
      </c>
      <c r="DD38" t="s">
        <v>3</v>
      </c>
      <c r="DE38" t="s">
        <v>3</v>
      </c>
      <c r="DF38">
        <f>ROUND(ROUND(AE38*AI38,2)*CX38,2)</f>
        <v>12290.57</v>
      </c>
      <c r="DG38">
        <f t="shared" si="7"/>
        <v>0</v>
      </c>
      <c r="DH38">
        <f t="shared" si="8"/>
        <v>0</v>
      </c>
      <c r="DI38">
        <f t="shared" si="10"/>
        <v>0</v>
      </c>
      <c r="DJ38">
        <f t="shared" si="9"/>
        <v>12290.57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ROW(Source!A261)</f>
        <v>261</v>
      </c>
      <c r="B39">
        <v>56622490</v>
      </c>
      <c r="C39">
        <v>56610809</v>
      </c>
      <c r="D39">
        <v>49108184</v>
      </c>
      <c r="E39">
        <v>1</v>
      </c>
      <c r="F39">
        <v>1</v>
      </c>
      <c r="G39">
        <v>27786564</v>
      </c>
      <c r="H39">
        <v>3</v>
      </c>
      <c r="I39" t="s">
        <v>83</v>
      </c>
      <c r="J39" t="s">
        <v>86</v>
      </c>
      <c r="K39" t="s">
        <v>292</v>
      </c>
      <c r="L39">
        <v>1339</v>
      </c>
      <c r="N39">
        <v>1007</v>
      </c>
      <c r="O39" t="s">
        <v>85</v>
      </c>
      <c r="P39" t="s">
        <v>85</v>
      </c>
      <c r="Q39">
        <v>1</v>
      </c>
      <c r="W39">
        <v>0</v>
      </c>
      <c r="X39">
        <v>921520</v>
      </c>
      <c r="Y39">
        <f t="shared" si="11"/>
        <v>110</v>
      </c>
      <c r="AA39">
        <v>104.99</v>
      </c>
      <c r="AB39">
        <v>0</v>
      </c>
      <c r="AC39">
        <v>0</v>
      </c>
      <c r="AD39">
        <v>0</v>
      </c>
      <c r="AE39">
        <v>104.99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0</v>
      </c>
      <c r="AP39">
        <v>1</v>
      </c>
      <c r="AQ39">
        <v>0</v>
      </c>
      <c r="AR39">
        <v>0</v>
      </c>
      <c r="AS39" t="s">
        <v>3</v>
      </c>
      <c r="AT39">
        <v>110</v>
      </c>
      <c r="AU39" t="s">
        <v>3</v>
      </c>
      <c r="AV39">
        <v>0</v>
      </c>
      <c r="AW39">
        <v>1</v>
      </c>
      <c r="AX39">
        <v>-1</v>
      </c>
      <c r="AY39">
        <v>0</v>
      </c>
      <c r="AZ39">
        <v>0</v>
      </c>
      <c r="BA39" t="s">
        <v>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ROUND(Y39*Source!I261,9)</f>
        <v>0</v>
      </c>
      <c r="CY39">
        <f t="shared" si="4"/>
        <v>104.99</v>
      </c>
      <c r="CZ39">
        <f t="shared" si="5"/>
        <v>104.99</v>
      </c>
      <c r="DA39">
        <f t="shared" si="6"/>
        <v>1</v>
      </c>
      <c r="DB39">
        <f t="shared" si="12"/>
        <v>11548.9</v>
      </c>
      <c r="DC39">
        <f t="shared" si="13"/>
        <v>0</v>
      </c>
      <c r="DD39" t="s">
        <v>3</v>
      </c>
      <c r="DE39" t="s">
        <v>3</v>
      </c>
      <c r="DF39">
        <f>ROUND(ROUND(AE39,2)*CX39,2)</f>
        <v>0</v>
      </c>
      <c r="DG39">
        <f t="shared" si="7"/>
        <v>0</v>
      </c>
      <c r="DH39">
        <f t="shared" si="8"/>
        <v>0</v>
      </c>
      <c r="DI39">
        <f t="shared" si="10"/>
        <v>0</v>
      </c>
      <c r="DJ39">
        <f t="shared" si="9"/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ROW(Source!A262)</f>
        <v>262</v>
      </c>
      <c r="B40">
        <v>56610029</v>
      </c>
      <c r="C40">
        <v>56610809</v>
      </c>
      <c r="D40">
        <v>49108184</v>
      </c>
      <c r="E40">
        <v>1</v>
      </c>
      <c r="F40">
        <v>1</v>
      </c>
      <c r="G40">
        <v>27786564</v>
      </c>
      <c r="H40">
        <v>3</v>
      </c>
      <c r="I40" t="s">
        <v>83</v>
      </c>
      <c r="J40" t="s">
        <v>86</v>
      </c>
      <c r="K40" t="s">
        <v>292</v>
      </c>
      <c r="L40">
        <v>1339</v>
      </c>
      <c r="N40">
        <v>1007</v>
      </c>
      <c r="O40" t="s">
        <v>85</v>
      </c>
      <c r="P40" t="s">
        <v>85</v>
      </c>
      <c r="Q40">
        <v>1</v>
      </c>
      <c r="W40">
        <v>0</v>
      </c>
      <c r="X40">
        <v>921520</v>
      </c>
      <c r="Y40">
        <f t="shared" si="11"/>
        <v>110</v>
      </c>
      <c r="AA40">
        <v>808.99</v>
      </c>
      <c r="AB40">
        <v>0</v>
      </c>
      <c r="AC40">
        <v>0</v>
      </c>
      <c r="AD40">
        <v>0</v>
      </c>
      <c r="AE40">
        <v>104.99</v>
      </c>
      <c r="AF40">
        <v>0</v>
      </c>
      <c r="AG40">
        <v>0</v>
      </c>
      <c r="AH40">
        <v>0</v>
      </c>
      <c r="AI40">
        <v>7.69</v>
      </c>
      <c r="AJ40">
        <v>1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 t="s">
        <v>3</v>
      </c>
      <c r="AT40">
        <v>110</v>
      </c>
      <c r="AU40" t="s">
        <v>3</v>
      </c>
      <c r="AV40">
        <v>0</v>
      </c>
      <c r="AW40">
        <v>1</v>
      </c>
      <c r="AX40">
        <v>-1</v>
      </c>
      <c r="AY40">
        <v>0</v>
      </c>
      <c r="AZ40">
        <v>0</v>
      </c>
      <c r="BA40" t="s">
        <v>3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ROUND(Y40*Source!I262,9)</f>
        <v>0</v>
      </c>
      <c r="CY40">
        <f t="shared" si="4"/>
        <v>808.99</v>
      </c>
      <c r="CZ40">
        <f t="shared" si="5"/>
        <v>104.99</v>
      </c>
      <c r="DA40">
        <f t="shared" si="6"/>
        <v>7.69</v>
      </c>
      <c r="DB40">
        <f t="shared" si="12"/>
        <v>11548.9</v>
      </c>
      <c r="DC40">
        <f t="shared" si="13"/>
        <v>0</v>
      </c>
      <c r="DD40" t="s">
        <v>3</v>
      </c>
      <c r="DE40" t="s">
        <v>3</v>
      </c>
      <c r="DF40">
        <f>ROUND(ROUND(AE40*AI40,2)*CX40,2)</f>
        <v>0</v>
      </c>
      <c r="DG40">
        <f t="shared" si="7"/>
        <v>0</v>
      </c>
      <c r="DH40">
        <f t="shared" si="8"/>
        <v>0</v>
      </c>
      <c r="DI40">
        <f t="shared" si="10"/>
        <v>0</v>
      </c>
      <c r="DJ40">
        <f t="shared" si="9"/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ROW(Source!A265)</f>
        <v>265</v>
      </c>
      <c r="B41">
        <v>56622490</v>
      </c>
      <c r="C41">
        <v>56610820</v>
      </c>
      <c r="D41">
        <v>46724066</v>
      </c>
      <c r="E41">
        <v>1</v>
      </c>
      <c r="F41">
        <v>1</v>
      </c>
      <c r="G41">
        <v>27786564</v>
      </c>
      <c r="H41">
        <v>3</v>
      </c>
      <c r="I41" t="s">
        <v>352</v>
      </c>
      <c r="J41" t="s">
        <v>354</v>
      </c>
      <c r="K41" t="s">
        <v>353</v>
      </c>
      <c r="L41">
        <v>1339</v>
      </c>
      <c r="N41">
        <v>1007</v>
      </c>
      <c r="O41" t="s">
        <v>85</v>
      </c>
      <c r="P41" t="s">
        <v>85</v>
      </c>
      <c r="Q41">
        <v>1</v>
      </c>
      <c r="W41">
        <v>0</v>
      </c>
      <c r="X41">
        <v>1868310757</v>
      </c>
      <c r="Y41">
        <f t="shared" si="11"/>
        <v>12</v>
      </c>
      <c r="AA41">
        <v>160.62</v>
      </c>
      <c r="AB41">
        <v>0</v>
      </c>
      <c r="AC41">
        <v>0</v>
      </c>
      <c r="AD41">
        <v>0</v>
      </c>
      <c r="AE41">
        <v>160.62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0</v>
      </c>
      <c r="AP41">
        <v>1</v>
      </c>
      <c r="AQ41">
        <v>0</v>
      </c>
      <c r="AR41">
        <v>0</v>
      </c>
      <c r="AS41" t="s">
        <v>3</v>
      </c>
      <c r="AT41">
        <v>12</v>
      </c>
      <c r="AU41" t="s">
        <v>3</v>
      </c>
      <c r="AV41">
        <v>0</v>
      </c>
      <c r="AW41">
        <v>1</v>
      </c>
      <c r="AX41">
        <v>-1</v>
      </c>
      <c r="AY41">
        <v>0</v>
      </c>
      <c r="AZ41">
        <v>0</v>
      </c>
      <c r="BA41" t="s">
        <v>3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v>0</v>
      </c>
      <c r="CX41">
        <f>ROUND(Y41*Source!I265,9)</f>
        <v>0</v>
      </c>
      <c r="CY41">
        <f t="shared" si="4"/>
        <v>160.62</v>
      </c>
      <c r="CZ41">
        <f t="shared" si="5"/>
        <v>160.62</v>
      </c>
      <c r="DA41">
        <f t="shared" si="6"/>
        <v>1</v>
      </c>
      <c r="DB41">
        <f t="shared" si="12"/>
        <v>1927.44</v>
      </c>
      <c r="DC41">
        <f t="shared" si="13"/>
        <v>0</v>
      </c>
      <c r="DD41" t="s">
        <v>3</v>
      </c>
      <c r="DE41" t="s">
        <v>3</v>
      </c>
      <c r="DF41">
        <f>ROUND(ROUND(AE41,2)*CX41,2)</f>
        <v>0</v>
      </c>
      <c r="DG41">
        <f t="shared" si="7"/>
        <v>0</v>
      </c>
      <c r="DH41">
        <f t="shared" si="8"/>
        <v>0</v>
      </c>
      <c r="DI41">
        <f t="shared" si="10"/>
        <v>0</v>
      </c>
      <c r="DJ41">
        <f t="shared" si="9"/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ROW(Source!A266)</f>
        <v>266</v>
      </c>
      <c r="B42">
        <v>56610029</v>
      </c>
      <c r="C42">
        <v>56610820</v>
      </c>
      <c r="D42">
        <v>46724066</v>
      </c>
      <c r="E42">
        <v>1</v>
      </c>
      <c r="F42">
        <v>1</v>
      </c>
      <c r="G42">
        <v>27786564</v>
      </c>
      <c r="H42">
        <v>3</v>
      </c>
      <c r="I42" t="s">
        <v>352</v>
      </c>
      <c r="J42" t="s">
        <v>354</v>
      </c>
      <c r="K42" t="s">
        <v>353</v>
      </c>
      <c r="L42">
        <v>1339</v>
      </c>
      <c r="N42">
        <v>1007</v>
      </c>
      <c r="O42" t="s">
        <v>85</v>
      </c>
      <c r="P42" t="s">
        <v>85</v>
      </c>
      <c r="Q42">
        <v>1</v>
      </c>
      <c r="W42">
        <v>0</v>
      </c>
      <c r="X42">
        <v>1868310757</v>
      </c>
      <c r="Y42">
        <f t="shared" si="11"/>
        <v>12</v>
      </c>
      <c r="AA42">
        <v>2913.04</v>
      </c>
      <c r="AB42">
        <v>0</v>
      </c>
      <c r="AC42">
        <v>0</v>
      </c>
      <c r="AD42">
        <v>0</v>
      </c>
      <c r="AE42">
        <v>160.62</v>
      </c>
      <c r="AF42">
        <v>0</v>
      </c>
      <c r="AG42">
        <v>0</v>
      </c>
      <c r="AH42">
        <v>0</v>
      </c>
      <c r="AI42">
        <v>18.100000000000001</v>
      </c>
      <c r="AJ42">
        <v>1</v>
      </c>
      <c r="AK42">
        <v>1</v>
      </c>
      <c r="AL42">
        <v>1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 t="s">
        <v>3</v>
      </c>
      <c r="AT42">
        <v>12</v>
      </c>
      <c r="AU42" t="s">
        <v>3</v>
      </c>
      <c r="AV42">
        <v>0</v>
      </c>
      <c r="AW42">
        <v>1</v>
      </c>
      <c r="AX42">
        <v>-1</v>
      </c>
      <c r="AY42">
        <v>0</v>
      </c>
      <c r="AZ42">
        <v>0</v>
      </c>
      <c r="BA42" t="s">
        <v>3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ROUND(Y42*Source!I266,9)</f>
        <v>0</v>
      </c>
      <c r="CY42">
        <f t="shared" si="4"/>
        <v>2913.04</v>
      </c>
      <c r="CZ42">
        <f t="shared" si="5"/>
        <v>160.62</v>
      </c>
      <c r="DA42">
        <f t="shared" si="6"/>
        <v>18.100000000000001</v>
      </c>
      <c r="DB42">
        <f t="shared" si="12"/>
        <v>1927.44</v>
      </c>
      <c r="DC42">
        <f t="shared" si="13"/>
        <v>0</v>
      </c>
      <c r="DD42" t="s">
        <v>3</v>
      </c>
      <c r="DE42" t="s">
        <v>3</v>
      </c>
      <c r="DF42">
        <f>ROUND(ROUND(AE42*AI42,2)*CX42,2)</f>
        <v>0</v>
      </c>
      <c r="DG42">
        <f t="shared" si="7"/>
        <v>0</v>
      </c>
      <c r="DH42">
        <f t="shared" si="8"/>
        <v>0</v>
      </c>
      <c r="DI42">
        <f t="shared" si="10"/>
        <v>0</v>
      </c>
      <c r="DJ42">
        <f t="shared" si="9"/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ROW(Source!A269)</f>
        <v>269</v>
      </c>
      <c r="B43">
        <v>56622490</v>
      </c>
      <c r="C43">
        <v>56610828</v>
      </c>
      <c r="D43">
        <v>46725956</v>
      </c>
      <c r="E43">
        <v>1</v>
      </c>
      <c r="F43">
        <v>1</v>
      </c>
      <c r="G43">
        <v>27786564</v>
      </c>
      <c r="H43">
        <v>3</v>
      </c>
      <c r="I43" t="s">
        <v>316</v>
      </c>
      <c r="J43" t="s">
        <v>319</v>
      </c>
      <c r="K43" t="s">
        <v>317</v>
      </c>
      <c r="L43">
        <v>1348</v>
      </c>
      <c r="N43">
        <v>1009</v>
      </c>
      <c r="O43" t="s">
        <v>318</v>
      </c>
      <c r="P43" t="s">
        <v>318</v>
      </c>
      <c r="Q43">
        <v>1000</v>
      </c>
      <c r="W43">
        <v>0</v>
      </c>
      <c r="X43">
        <v>1855215121</v>
      </c>
      <c r="Y43">
        <f t="shared" si="11"/>
        <v>10.7</v>
      </c>
      <c r="AA43">
        <v>296.7</v>
      </c>
      <c r="AB43">
        <v>0</v>
      </c>
      <c r="AC43">
        <v>0</v>
      </c>
      <c r="AD43">
        <v>0</v>
      </c>
      <c r="AE43">
        <v>296.7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0</v>
      </c>
      <c r="AP43">
        <v>1</v>
      </c>
      <c r="AQ43">
        <v>0</v>
      </c>
      <c r="AR43">
        <v>0</v>
      </c>
      <c r="AS43" t="s">
        <v>3</v>
      </c>
      <c r="AT43">
        <v>10.7</v>
      </c>
      <c r="AU43" t="s">
        <v>3</v>
      </c>
      <c r="AV43">
        <v>0</v>
      </c>
      <c r="AW43">
        <v>1</v>
      </c>
      <c r="AX43">
        <v>-1</v>
      </c>
      <c r="AY43">
        <v>0</v>
      </c>
      <c r="AZ43">
        <v>0</v>
      </c>
      <c r="BA43" t="s">
        <v>3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v>0</v>
      </c>
      <c r="CX43">
        <f>ROUND(Y43*Source!I269,9)</f>
        <v>0</v>
      </c>
      <c r="CY43">
        <f t="shared" si="4"/>
        <v>296.7</v>
      </c>
      <c r="CZ43">
        <f t="shared" si="5"/>
        <v>296.7</v>
      </c>
      <c r="DA43">
        <f t="shared" si="6"/>
        <v>1</v>
      </c>
      <c r="DB43">
        <f t="shared" si="12"/>
        <v>3174.69</v>
      </c>
      <c r="DC43">
        <f t="shared" si="13"/>
        <v>0</v>
      </c>
      <c r="DD43" t="s">
        <v>3</v>
      </c>
      <c r="DE43" t="s">
        <v>3</v>
      </c>
      <c r="DF43">
        <f>ROUND(ROUND(AE43,2)*CX43,2)</f>
        <v>0</v>
      </c>
      <c r="DG43">
        <f t="shared" si="7"/>
        <v>0</v>
      </c>
      <c r="DH43">
        <f t="shared" si="8"/>
        <v>0</v>
      </c>
      <c r="DI43">
        <f t="shared" si="10"/>
        <v>0</v>
      </c>
      <c r="DJ43">
        <f t="shared" si="9"/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ROW(Source!A270)</f>
        <v>270</v>
      </c>
      <c r="B44">
        <v>56610029</v>
      </c>
      <c r="C44">
        <v>56610828</v>
      </c>
      <c r="D44">
        <v>46725956</v>
      </c>
      <c r="E44">
        <v>1</v>
      </c>
      <c r="F44">
        <v>1</v>
      </c>
      <c r="G44">
        <v>27786564</v>
      </c>
      <c r="H44">
        <v>3</v>
      </c>
      <c r="I44" t="s">
        <v>316</v>
      </c>
      <c r="J44" t="s">
        <v>319</v>
      </c>
      <c r="K44" t="s">
        <v>317</v>
      </c>
      <c r="L44">
        <v>1348</v>
      </c>
      <c r="N44">
        <v>1009</v>
      </c>
      <c r="O44" t="s">
        <v>318</v>
      </c>
      <c r="P44" t="s">
        <v>318</v>
      </c>
      <c r="Q44">
        <v>1000</v>
      </c>
      <c r="W44">
        <v>0</v>
      </c>
      <c r="X44">
        <v>1855215121</v>
      </c>
      <c r="Y44">
        <f t="shared" si="11"/>
        <v>10.7</v>
      </c>
      <c r="AA44">
        <v>4566.21</v>
      </c>
      <c r="AB44">
        <v>0</v>
      </c>
      <c r="AC44">
        <v>0</v>
      </c>
      <c r="AD44">
        <v>0</v>
      </c>
      <c r="AE44">
        <v>296.7</v>
      </c>
      <c r="AF44">
        <v>0</v>
      </c>
      <c r="AG44">
        <v>0</v>
      </c>
      <c r="AH44">
        <v>0</v>
      </c>
      <c r="AI44">
        <v>15.39</v>
      </c>
      <c r="AJ44">
        <v>1</v>
      </c>
      <c r="AK44">
        <v>1</v>
      </c>
      <c r="AL44">
        <v>1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 t="s">
        <v>3</v>
      </c>
      <c r="AT44">
        <v>10.7</v>
      </c>
      <c r="AU44" t="s">
        <v>3</v>
      </c>
      <c r="AV44">
        <v>0</v>
      </c>
      <c r="AW44">
        <v>1</v>
      </c>
      <c r="AX44">
        <v>-1</v>
      </c>
      <c r="AY44">
        <v>0</v>
      </c>
      <c r="AZ44">
        <v>0</v>
      </c>
      <c r="BA44" t="s">
        <v>3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ROUND(Y44*Source!I270,9)</f>
        <v>0</v>
      </c>
      <c r="CY44">
        <f t="shared" si="4"/>
        <v>4566.21</v>
      </c>
      <c r="CZ44">
        <f t="shared" si="5"/>
        <v>296.7</v>
      </c>
      <c r="DA44">
        <f t="shared" si="6"/>
        <v>15.39</v>
      </c>
      <c r="DB44">
        <f t="shared" si="12"/>
        <v>3174.69</v>
      </c>
      <c r="DC44">
        <f t="shared" si="13"/>
        <v>0</v>
      </c>
      <c r="DD44" t="s">
        <v>3</v>
      </c>
      <c r="DE44" t="s">
        <v>3</v>
      </c>
      <c r="DF44">
        <f>ROUND(ROUND(AE44*AI44,2)*CX44,2)</f>
        <v>0</v>
      </c>
      <c r="DG44">
        <f t="shared" si="7"/>
        <v>0</v>
      </c>
      <c r="DH44">
        <f t="shared" si="8"/>
        <v>0</v>
      </c>
      <c r="DI44">
        <f t="shared" si="10"/>
        <v>0</v>
      </c>
      <c r="DJ44">
        <f t="shared" si="9"/>
        <v>0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ROW(Source!A273)</f>
        <v>273</v>
      </c>
      <c r="B45">
        <v>56622490</v>
      </c>
      <c r="C45">
        <v>56610835</v>
      </c>
      <c r="D45">
        <v>46725961</v>
      </c>
      <c r="E45">
        <v>1</v>
      </c>
      <c r="F45">
        <v>1</v>
      </c>
      <c r="G45">
        <v>27786564</v>
      </c>
      <c r="H45">
        <v>3</v>
      </c>
      <c r="I45" t="s">
        <v>367</v>
      </c>
      <c r="J45" t="s">
        <v>369</v>
      </c>
      <c r="K45" t="s">
        <v>368</v>
      </c>
      <c r="L45">
        <v>1348</v>
      </c>
      <c r="N45">
        <v>1009</v>
      </c>
      <c r="O45" t="s">
        <v>318</v>
      </c>
      <c r="P45" t="s">
        <v>318</v>
      </c>
      <c r="Q45">
        <v>1000</v>
      </c>
      <c r="W45">
        <v>0</v>
      </c>
      <c r="X45">
        <v>-1088409324</v>
      </c>
      <c r="Y45">
        <f t="shared" si="11"/>
        <v>7.14</v>
      </c>
      <c r="AA45">
        <v>293.51</v>
      </c>
      <c r="AB45">
        <v>0</v>
      </c>
      <c r="AC45">
        <v>0</v>
      </c>
      <c r="AD45">
        <v>0</v>
      </c>
      <c r="AE45">
        <v>293.51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0</v>
      </c>
      <c r="AP45">
        <v>1</v>
      </c>
      <c r="AQ45">
        <v>0</v>
      </c>
      <c r="AR45">
        <v>0</v>
      </c>
      <c r="AS45" t="s">
        <v>3</v>
      </c>
      <c r="AT45">
        <v>7.14</v>
      </c>
      <c r="AU45" t="s">
        <v>3</v>
      </c>
      <c r="AV45">
        <v>0</v>
      </c>
      <c r="AW45">
        <v>1</v>
      </c>
      <c r="AX45">
        <v>-1</v>
      </c>
      <c r="AY45">
        <v>0</v>
      </c>
      <c r="AZ45">
        <v>0</v>
      </c>
      <c r="BA45" t="s">
        <v>3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v>0</v>
      </c>
      <c r="CX45">
        <f>ROUND(Y45*Source!I273,9)</f>
        <v>0</v>
      </c>
      <c r="CY45">
        <f t="shared" si="4"/>
        <v>293.51</v>
      </c>
      <c r="CZ45">
        <f t="shared" si="5"/>
        <v>293.51</v>
      </c>
      <c r="DA45">
        <f t="shared" si="6"/>
        <v>1</v>
      </c>
      <c r="DB45">
        <f t="shared" si="12"/>
        <v>2095.66</v>
      </c>
      <c r="DC45">
        <f t="shared" si="13"/>
        <v>0</v>
      </c>
      <c r="DD45" t="s">
        <v>3</v>
      </c>
      <c r="DE45" t="s">
        <v>3</v>
      </c>
      <c r="DF45">
        <f>ROUND(ROUND(AE45,2)*CX45,2)</f>
        <v>0</v>
      </c>
      <c r="DG45">
        <f t="shared" si="7"/>
        <v>0</v>
      </c>
      <c r="DH45">
        <f t="shared" si="8"/>
        <v>0</v>
      </c>
      <c r="DI45">
        <f t="shared" si="10"/>
        <v>0</v>
      </c>
      <c r="DJ45">
        <f t="shared" si="9"/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ROW(Source!A274)</f>
        <v>274</v>
      </c>
      <c r="B46">
        <v>56610029</v>
      </c>
      <c r="C46">
        <v>56610835</v>
      </c>
      <c r="D46">
        <v>46725961</v>
      </c>
      <c r="E46">
        <v>1</v>
      </c>
      <c r="F46">
        <v>1</v>
      </c>
      <c r="G46">
        <v>27786564</v>
      </c>
      <c r="H46">
        <v>3</v>
      </c>
      <c r="I46" t="s">
        <v>367</v>
      </c>
      <c r="J46" t="s">
        <v>369</v>
      </c>
      <c r="K46" t="s">
        <v>368</v>
      </c>
      <c r="L46">
        <v>1348</v>
      </c>
      <c r="N46">
        <v>1009</v>
      </c>
      <c r="O46" t="s">
        <v>318</v>
      </c>
      <c r="P46" t="s">
        <v>318</v>
      </c>
      <c r="Q46">
        <v>1000</v>
      </c>
      <c r="W46">
        <v>0</v>
      </c>
      <c r="X46">
        <v>-1088409324</v>
      </c>
      <c r="Y46">
        <f t="shared" si="11"/>
        <v>7.14</v>
      </c>
      <c r="AA46">
        <v>5154.04</v>
      </c>
      <c r="AB46">
        <v>0</v>
      </c>
      <c r="AC46">
        <v>0</v>
      </c>
      <c r="AD46">
        <v>0</v>
      </c>
      <c r="AE46">
        <v>293.51</v>
      </c>
      <c r="AF46">
        <v>0</v>
      </c>
      <c r="AG46">
        <v>0</v>
      </c>
      <c r="AH46">
        <v>0</v>
      </c>
      <c r="AI46">
        <v>17.559999999999999</v>
      </c>
      <c r="AJ46">
        <v>1</v>
      </c>
      <c r="AK46">
        <v>1</v>
      </c>
      <c r="AL46">
        <v>1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 t="s">
        <v>3</v>
      </c>
      <c r="AT46">
        <v>7.14</v>
      </c>
      <c r="AU46" t="s">
        <v>3</v>
      </c>
      <c r="AV46">
        <v>0</v>
      </c>
      <c r="AW46">
        <v>1</v>
      </c>
      <c r="AX46">
        <v>-1</v>
      </c>
      <c r="AY46">
        <v>0</v>
      </c>
      <c r="AZ46">
        <v>0</v>
      </c>
      <c r="BA46" t="s">
        <v>3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ROUND(Y46*Source!I274,9)</f>
        <v>0</v>
      </c>
      <c r="CY46">
        <f t="shared" si="4"/>
        <v>5154.04</v>
      </c>
      <c r="CZ46">
        <f t="shared" si="5"/>
        <v>293.51</v>
      </c>
      <c r="DA46">
        <f t="shared" si="6"/>
        <v>17.559999999999999</v>
      </c>
      <c r="DB46">
        <f t="shared" si="12"/>
        <v>2095.66</v>
      </c>
      <c r="DC46">
        <f t="shared" si="13"/>
        <v>0</v>
      </c>
      <c r="DD46" t="s">
        <v>3</v>
      </c>
      <c r="DE46" t="s">
        <v>3</v>
      </c>
      <c r="DF46">
        <f>ROUND(ROUND(AE46*AI46,2)*CX46,2)</f>
        <v>0</v>
      </c>
      <c r="DG46">
        <f t="shared" si="7"/>
        <v>0</v>
      </c>
      <c r="DH46">
        <f t="shared" si="8"/>
        <v>0</v>
      </c>
      <c r="DI46">
        <f t="shared" si="10"/>
        <v>0</v>
      </c>
      <c r="DJ46">
        <f t="shared" si="9"/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ROW(Source!A277)</f>
        <v>277</v>
      </c>
      <c r="B47">
        <v>56622490</v>
      </c>
      <c r="C47">
        <v>56610842</v>
      </c>
      <c r="D47">
        <v>47634407</v>
      </c>
      <c r="E47">
        <v>27786564</v>
      </c>
      <c r="F47">
        <v>1</v>
      </c>
      <c r="G47">
        <v>27786564</v>
      </c>
      <c r="H47">
        <v>1</v>
      </c>
      <c r="I47" t="s">
        <v>452</v>
      </c>
      <c r="J47" t="s">
        <v>3</v>
      </c>
      <c r="K47" t="s">
        <v>453</v>
      </c>
      <c r="L47">
        <v>1191</v>
      </c>
      <c r="N47">
        <v>1013</v>
      </c>
      <c r="O47" t="s">
        <v>454</v>
      </c>
      <c r="P47" t="s">
        <v>454</v>
      </c>
      <c r="Q47">
        <v>1</v>
      </c>
      <c r="W47">
        <v>0</v>
      </c>
      <c r="X47">
        <v>476480486</v>
      </c>
      <c r="Y47">
        <f>(AT47*1.05)</f>
        <v>80.535000000000011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76.7</v>
      </c>
      <c r="AU47" t="s">
        <v>22</v>
      </c>
      <c r="AV47">
        <v>1</v>
      </c>
      <c r="AW47">
        <v>2</v>
      </c>
      <c r="AX47">
        <v>56610844</v>
      </c>
      <c r="AY47">
        <v>1</v>
      </c>
      <c r="AZ47">
        <v>0</v>
      </c>
      <c r="BA47">
        <v>533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U47">
        <f>ROUND(AT47*Source!I277*AH47*AL47,2)</f>
        <v>0</v>
      </c>
      <c r="CV47">
        <f>ROUND(Y47*Source!I277,9)</f>
        <v>0</v>
      </c>
      <c r="CW47">
        <v>0</v>
      </c>
      <c r="CX47">
        <f>ROUND(Y47*Source!I277,9)</f>
        <v>0</v>
      </c>
      <c r="CY47">
        <f>AD47</f>
        <v>0</v>
      </c>
      <c r="CZ47">
        <f>AH47</f>
        <v>0</v>
      </c>
      <c r="DA47">
        <f>AL47</f>
        <v>1</v>
      </c>
      <c r="DB47">
        <f>ROUND((ROUND(AT47*CZ47,2)*1.05),6)</f>
        <v>0</v>
      </c>
      <c r="DC47">
        <f>ROUND((ROUND(AT47*AG47,2)*1.05),6)</f>
        <v>0</v>
      </c>
      <c r="DD47" t="s">
        <v>3</v>
      </c>
      <c r="DE47" t="s">
        <v>3</v>
      </c>
      <c r="DF47">
        <f t="shared" ref="DF47:DF55" si="14">ROUND(ROUND(AE47,2)*CX47,2)</f>
        <v>0</v>
      </c>
      <c r="DG47">
        <f t="shared" si="7"/>
        <v>0</v>
      </c>
      <c r="DH47">
        <f t="shared" si="8"/>
        <v>0</v>
      </c>
      <c r="DI47">
        <f t="shared" si="10"/>
        <v>0</v>
      </c>
      <c r="DJ47">
        <f>DI47</f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ROW(Source!A278)</f>
        <v>278</v>
      </c>
      <c r="B48">
        <v>56610029</v>
      </c>
      <c r="C48">
        <v>56610842</v>
      </c>
      <c r="D48">
        <v>47634407</v>
      </c>
      <c r="E48">
        <v>27786564</v>
      </c>
      <c r="F48">
        <v>1</v>
      </c>
      <c r="G48">
        <v>27786564</v>
      </c>
      <c r="H48">
        <v>1</v>
      </c>
      <c r="I48" t="s">
        <v>452</v>
      </c>
      <c r="J48" t="s">
        <v>3</v>
      </c>
      <c r="K48" t="s">
        <v>453</v>
      </c>
      <c r="L48">
        <v>1191</v>
      </c>
      <c r="N48">
        <v>1013</v>
      </c>
      <c r="O48" t="s">
        <v>454</v>
      </c>
      <c r="P48" t="s">
        <v>454</v>
      </c>
      <c r="Q48">
        <v>1</v>
      </c>
      <c r="W48">
        <v>0</v>
      </c>
      <c r="X48">
        <v>476480486</v>
      </c>
      <c r="Y48">
        <f>(AT48*1.05)</f>
        <v>80.535000000000011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76.7</v>
      </c>
      <c r="AU48" t="s">
        <v>22</v>
      </c>
      <c r="AV48">
        <v>1</v>
      </c>
      <c r="AW48">
        <v>2</v>
      </c>
      <c r="AX48">
        <v>56610844</v>
      </c>
      <c r="AY48">
        <v>1</v>
      </c>
      <c r="AZ48">
        <v>0</v>
      </c>
      <c r="BA48">
        <v>534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U48">
        <f>ROUND(AT48*Source!I278*AH48*AL48,2)</f>
        <v>0</v>
      </c>
      <c r="CV48">
        <f>ROUND(Y48*Source!I278,9)</f>
        <v>0</v>
      </c>
      <c r="CW48">
        <v>0</v>
      </c>
      <c r="CX48">
        <f>ROUND(Y48*Source!I278,9)</f>
        <v>0</v>
      </c>
      <c r="CY48">
        <f>AD48</f>
        <v>0</v>
      </c>
      <c r="CZ48">
        <f>AH48</f>
        <v>0</v>
      </c>
      <c r="DA48">
        <f>AL48</f>
        <v>1</v>
      </c>
      <c r="DB48">
        <f>ROUND((ROUND(AT48*CZ48,2)*1.05),6)</f>
        <v>0</v>
      </c>
      <c r="DC48">
        <f>ROUND((ROUND(AT48*AG48,2)*1.05),6)</f>
        <v>0</v>
      </c>
      <c r="DD48" t="s">
        <v>3</v>
      </c>
      <c r="DE48" t="s">
        <v>3</v>
      </c>
      <c r="DF48">
        <f t="shared" si="14"/>
        <v>0</v>
      </c>
      <c r="DG48">
        <f t="shared" si="7"/>
        <v>0</v>
      </c>
      <c r="DH48">
        <f t="shared" si="8"/>
        <v>0</v>
      </c>
      <c r="DI48">
        <f t="shared" si="10"/>
        <v>0</v>
      </c>
      <c r="DJ48">
        <f>DI48</f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ROW(Source!A316)</f>
        <v>316</v>
      </c>
      <c r="B49">
        <v>56622490</v>
      </c>
      <c r="C49">
        <v>56610853</v>
      </c>
      <c r="D49">
        <v>47634407</v>
      </c>
      <c r="E49">
        <v>27786564</v>
      </c>
      <c r="F49">
        <v>1</v>
      </c>
      <c r="G49">
        <v>27786564</v>
      </c>
      <c r="H49">
        <v>1</v>
      </c>
      <c r="I49" t="s">
        <v>452</v>
      </c>
      <c r="J49" t="s">
        <v>3</v>
      </c>
      <c r="K49" t="s">
        <v>453</v>
      </c>
      <c r="L49">
        <v>1191</v>
      </c>
      <c r="N49">
        <v>1013</v>
      </c>
      <c r="O49" t="s">
        <v>454</v>
      </c>
      <c r="P49" t="s">
        <v>454</v>
      </c>
      <c r="Q49">
        <v>1</v>
      </c>
      <c r="W49">
        <v>0</v>
      </c>
      <c r="X49">
        <v>476480486</v>
      </c>
      <c r="Y49">
        <f>(AT49*1.05)</f>
        <v>28.119000000000003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26.78</v>
      </c>
      <c r="AU49" t="s">
        <v>22</v>
      </c>
      <c r="AV49">
        <v>1</v>
      </c>
      <c r="AW49">
        <v>2</v>
      </c>
      <c r="AX49">
        <v>56610858</v>
      </c>
      <c r="AY49">
        <v>1</v>
      </c>
      <c r="AZ49">
        <v>0</v>
      </c>
      <c r="BA49">
        <v>549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U49">
        <f>ROUND(AT49*Source!I316*AH49*AL49,2)</f>
        <v>0</v>
      </c>
      <c r="CV49">
        <f>ROUND(Y49*Source!I316,9)</f>
        <v>10.7470818</v>
      </c>
      <c r="CW49">
        <v>0</v>
      </c>
      <c r="CX49">
        <f>ROUND(Y49*Source!I316,9)</f>
        <v>10.7470818</v>
      </c>
      <c r="CY49">
        <f>AD49</f>
        <v>0</v>
      </c>
      <c r="CZ49">
        <f>AH49</f>
        <v>0</v>
      </c>
      <c r="DA49">
        <f>AL49</f>
        <v>1</v>
      </c>
      <c r="DB49">
        <f>ROUND((ROUND(AT49*CZ49,2)*1.05),6)</f>
        <v>0</v>
      </c>
      <c r="DC49">
        <f>ROUND((ROUND(AT49*AG49,2)*1.05),6)</f>
        <v>0</v>
      </c>
      <c r="DD49" t="s">
        <v>3</v>
      </c>
      <c r="DE49" t="s">
        <v>3</v>
      </c>
      <c r="DF49">
        <f t="shared" si="14"/>
        <v>0</v>
      </c>
      <c r="DG49">
        <f t="shared" si="7"/>
        <v>0</v>
      </c>
      <c r="DH49">
        <f t="shared" si="8"/>
        <v>0</v>
      </c>
      <c r="DI49">
        <f t="shared" si="10"/>
        <v>0</v>
      </c>
      <c r="DJ49">
        <f>DI49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ROW(Source!A316)</f>
        <v>316</v>
      </c>
      <c r="B50">
        <v>56622490</v>
      </c>
      <c r="C50">
        <v>56610853</v>
      </c>
      <c r="D50">
        <v>47766425</v>
      </c>
      <c r="E50">
        <v>1</v>
      </c>
      <c r="F50">
        <v>1</v>
      </c>
      <c r="G50">
        <v>27786564</v>
      </c>
      <c r="H50">
        <v>2</v>
      </c>
      <c r="I50" t="s">
        <v>465</v>
      </c>
      <c r="J50" t="s">
        <v>466</v>
      </c>
      <c r="K50" t="s">
        <v>467</v>
      </c>
      <c r="L50">
        <v>1368</v>
      </c>
      <c r="N50">
        <v>1011</v>
      </c>
      <c r="O50" t="s">
        <v>458</v>
      </c>
      <c r="P50" t="s">
        <v>458</v>
      </c>
      <c r="Q50">
        <v>1</v>
      </c>
      <c r="W50">
        <v>0</v>
      </c>
      <c r="X50">
        <v>2010228649</v>
      </c>
      <c r="Y50">
        <f>(AT50*1.05)</f>
        <v>5.2500000000000005E-2</v>
      </c>
      <c r="AA50">
        <v>0</v>
      </c>
      <c r="AB50">
        <v>97.62</v>
      </c>
      <c r="AC50">
        <v>12.62</v>
      </c>
      <c r="AD50">
        <v>0</v>
      </c>
      <c r="AE50">
        <v>0</v>
      </c>
      <c r="AF50">
        <v>97.62</v>
      </c>
      <c r="AG50">
        <v>12.62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0.05</v>
      </c>
      <c r="AU50" t="s">
        <v>22</v>
      </c>
      <c r="AV50">
        <v>0</v>
      </c>
      <c r="AW50">
        <v>2</v>
      </c>
      <c r="AX50">
        <v>56610859</v>
      </c>
      <c r="AY50">
        <v>1</v>
      </c>
      <c r="AZ50">
        <v>0</v>
      </c>
      <c r="BA50">
        <v>550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f>ROUND(Y50*Source!I316*DO50,9)</f>
        <v>0</v>
      </c>
      <c r="CX50">
        <f>ROUND(Y50*Source!I316,9)</f>
        <v>2.00655E-2</v>
      </c>
      <c r="CY50">
        <f>AB50</f>
        <v>97.62</v>
      </c>
      <c r="CZ50">
        <f>AF50</f>
        <v>97.62</v>
      </c>
      <c r="DA50">
        <f>AJ50</f>
        <v>1</v>
      </c>
      <c r="DB50">
        <f>ROUND((ROUND(AT50*CZ50,2)*1.05),6)</f>
        <v>5.1239999999999997</v>
      </c>
      <c r="DC50">
        <f>ROUND((ROUND(AT50*AG50,2)*1.05),6)</f>
        <v>0.66149999999999998</v>
      </c>
      <c r="DD50" t="s">
        <v>3</v>
      </c>
      <c r="DE50" t="s">
        <v>3</v>
      </c>
      <c r="DF50">
        <f t="shared" si="14"/>
        <v>0</v>
      </c>
      <c r="DG50">
        <f t="shared" si="7"/>
        <v>1.96</v>
      </c>
      <c r="DH50">
        <f t="shared" si="8"/>
        <v>0.25</v>
      </c>
      <c r="DI50">
        <f t="shared" si="10"/>
        <v>0</v>
      </c>
      <c r="DJ50">
        <f>DG50</f>
        <v>1.96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ROW(Source!A316)</f>
        <v>316</v>
      </c>
      <c r="B51">
        <v>56622490</v>
      </c>
      <c r="C51">
        <v>56610853</v>
      </c>
      <c r="D51">
        <v>47634960</v>
      </c>
      <c r="E51">
        <v>27786564</v>
      </c>
      <c r="F51">
        <v>1</v>
      </c>
      <c r="G51">
        <v>27786564</v>
      </c>
      <c r="H51">
        <v>2</v>
      </c>
      <c r="I51" t="s">
        <v>468</v>
      </c>
      <c r="J51" t="s">
        <v>3</v>
      </c>
      <c r="K51" t="s">
        <v>469</v>
      </c>
      <c r="L51">
        <v>1344</v>
      </c>
      <c r="N51">
        <v>1008</v>
      </c>
      <c r="O51" t="s">
        <v>470</v>
      </c>
      <c r="P51" t="s">
        <v>470</v>
      </c>
      <c r="Q51">
        <v>1</v>
      </c>
      <c r="W51">
        <v>0</v>
      </c>
      <c r="X51">
        <v>-1180195794</v>
      </c>
      <c r="Y51">
        <f>(AT51*1.05)</f>
        <v>0.126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0.12</v>
      </c>
      <c r="AU51" t="s">
        <v>22</v>
      </c>
      <c r="AV51">
        <v>0</v>
      </c>
      <c r="AW51">
        <v>2</v>
      </c>
      <c r="AX51">
        <v>56610860</v>
      </c>
      <c r="AY51">
        <v>1</v>
      </c>
      <c r="AZ51">
        <v>0</v>
      </c>
      <c r="BA51">
        <v>551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f>ROUND(Y51*Source!I316*DO51,9)</f>
        <v>0</v>
      </c>
      <c r="CX51">
        <f>ROUND(Y51*Source!I316,9)</f>
        <v>4.8157199999999997E-2</v>
      </c>
      <c r="CY51">
        <f>AB51</f>
        <v>1</v>
      </c>
      <c r="CZ51">
        <f>AF51</f>
        <v>1</v>
      </c>
      <c r="DA51">
        <f>AJ51</f>
        <v>1</v>
      </c>
      <c r="DB51">
        <f>ROUND((ROUND(AT51*CZ51,2)*1.05),6)</f>
        <v>0.126</v>
      </c>
      <c r="DC51">
        <f>ROUND((ROUND(AT51*AG51,2)*1.05),6)</f>
        <v>0</v>
      </c>
      <c r="DD51" t="s">
        <v>3</v>
      </c>
      <c r="DE51" t="s">
        <v>3</v>
      </c>
      <c r="DF51">
        <f t="shared" si="14"/>
        <v>0</v>
      </c>
      <c r="DG51">
        <f t="shared" si="7"/>
        <v>0.05</v>
      </c>
      <c r="DH51">
        <f t="shared" si="8"/>
        <v>0</v>
      </c>
      <c r="DI51">
        <f t="shared" si="10"/>
        <v>0</v>
      </c>
      <c r="DJ51">
        <f>DG51</f>
        <v>0.05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ROW(Source!A316)</f>
        <v>316</v>
      </c>
      <c r="B52">
        <v>56622490</v>
      </c>
      <c r="C52">
        <v>56610853</v>
      </c>
      <c r="D52">
        <v>30409490</v>
      </c>
      <c r="E52">
        <v>1</v>
      </c>
      <c r="F52">
        <v>1</v>
      </c>
      <c r="G52">
        <v>27786564</v>
      </c>
      <c r="H52">
        <v>3</v>
      </c>
      <c r="I52" t="s">
        <v>391</v>
      </c>
      <c r="J52" t="s">
        <v>393</v>
      </c>
      <c r="K52" t="s">
        <v>392</v>
      </c>
      <c r="L52">
        <v>1339</v>
      </c>
      <c r="N52">
        <v>1007</v>
      </c>
      <c r="O52" t="s">
        <v>85</v>
      </c>
      <c r="P52" t="s">
        <v>85</v>
      </c>
      <c r="Q52">
        <v>1</v>
      </c>
      <c r="W52">
        <v>0</v>
      </c>
      <c r="X52">
        <v>-1933062003</v>
      </c>
      <c r="Y52">
        <f>AT52</f>
        <v>15</v>
      </c>
      <c r="AA52">
        <v>146.84</v>
      </c>
      <c r="AB52">
        <v>0</v>
      </c>
      <c r="AC52">
        <v>0</v>
      </c>
      <c r="AD52">
        <v>0</v>
      </c>
      <c r="AE52">
        <v>146.84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-2</v>
      </c>
      <c r="AN52">
        <v>0</v>
      </c>
      <c r="AO52">
        <v>0</v>
      </c>
      <c r="AP52">
        <v>1</v>
      </c>
      <c r="AQ52">
        <v>0</v>
      </c>
      <c r="AR52">
        <v>0</v>
      </c>
      <c r="AS52" t="s">
        <v>3</v>
      </c>
      <c r="AT52">
        <v>15</v>
      </c>
      <c r="AU52" t="s">
        <v>3</v>
      </c>
      <c r="AV52">
        <v>0</v>
      </c>
      <c r="AW52">
        <v>1</v>
      </c>
      <c r="AX52">
        <v>-1</v>
      </c>
      <c r="AY52">
        <v>0</v>
      </c>
      <c r="AZ52">
        <v>0</v>
      </c>
      <c r="BA52" t="s">
        <v>3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ROUND(Y52*Source!I316,9)</f>
        <v>5.7329999999999997</v>
      </c>
      <c r="CY52">
        <f>AA52</f>
        <v>146.84</v>
      </c>
      <c r="CZ52">
        <f>AE52</f>
        <v>146.84</v>
      </c>
      <c r="DA52">
        <f>AI52</f>
        <v>1</v>
      </c>
      <c r="DB52">
        <f>ROUND(ROUND(AT52*CZ52,2),6)</f>
        <v>2202.6</v>
      </c>
      <c r="DC52">
        <f>ROUND(ROUND(AT52*AG52,2),6)</f>
        <v>0</v>
      </c>
      <c r="DD52" t="s">
        <v>3</v>
      </c>
      <c r="DE52" t="s">
        <v>3</v>
      </c>
      <c r="DF52">
        <f t="shared" si="14"/>
        <v>841.83</v>
      </c>
      <c r="DG52">
        <f t="shared" si="7"/>
        <v>0</v>
      </c>
      <c r="DH52">
        <f t="shared" si="8"/>
        <v>0</v>
      </c>
      <c r="DI52">
        <f t="shared" si="10"/>
        <v>0</v>
      </c>
      <c r="DJ52">
        <f>DF52</f>
        <v>841.83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ROW(Source!A317)</f>
        <v>317</v>
      </c>
      <c r="B53">
        <v>56610029</v>
      </c>
      <c r="C53">
        <v>56610853</v>
      </c>
      <c r="D53">
        <v>47634407</v>
      </c>
      <c r="E53">
        <v>27786564</v>
      </c>
      <c r="F53">
        <v>1</v>
      </c>
      <c r="G53">
        <v>27786564</v>
      </c>
      <c r="H53">
        <v>1</v>
      </c>
      <c r="I53" t="s">
        <v>452</v>
      </c>
      <c r="J53" t="s">
        <v>3</v>
      </c>
      <c r="K53" t="s">
        <v>453</v>
      </c>
      <c r="L53">
        <v>1191</v>
      </c>
      <c r="N53">
        <v>1013</v>
      </c>
      <c r="O53" t="s">
        <v>454</v>
      </c>
      <c r="P53" t="s">
        <v>454</v>
      </c>
      <c r="Q53">
        <v>1</v>
      </c>
      <c r="W53">
        <v>0</v>
      </c>
      <c r="X53">
        <v>476480486</v>
      </c>
      <c r="Y53">
        <f>(AT53*1.05)</f>
        <v>28.119000000000003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-2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26.78</v>
      </c>
      <c r="AU53" t="s">
        <v>22</v>
      </c>
      <c r="AV53">
        <v>1</v>
      </c>
      <c r="AW53">
        <v>2</v>
      </c>
      <c r="AX53">
        <v>56610858</v>
      </c>
      <c r="AY53">
        <v>1</v>
      </c>
      <c r="AZ53">
        <v>0</v>
      </c>
      <c r="BA53">
        <v>553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U53">
        <f>ROUND(AT53*Source!I317*AH53*AL53,2)</f>
        <v>0</v>
      </c>
      <c r="CV53">
        <f>ROUND(Y53*Source!I317,9)</f>
        <v>10.7470818</v>
      </c>
      <c r="CW53">
        <v>0</v>
      </c>
      <c r="CX53">
        <f>ROUND(Y53*Source!I317,9)</f>
        <v>10.7470818</v>
      </c>
      <c r="CY53">
        <f>AD53</f>
        <v>0</v>
      </c>
      <c r="CZ53">
        <f>AH53</f>
        <v>0</v>
      </c>
      <c r="DA53">
        <f>AL53</f>
        <v>1</v>
      </c>
      <c r="DB53">
        <f>ROUND((ROUND(AT53*CZ53,2)*1.05),6)</f>
        <v>0</v>
      </c>
      <c r="DC53">
        <f>ROUND((ROUND(AT53*AG53,2)*1.05),6)</f>
        <v>0</v>
      </c>
      <c r="DD53" t="s">
        <v>3</v>
      </c>
      <c r="DE53" t="s">
        <v>3</v>
      </c>
      <c r="DF53">
        <f t="shared" si="14"/>
        <v>0</v>
      </c>
      <c r="DG53">
        <f t="shared" si="7"/>
        <v>0</v>
      </c>
      <c r="DH53">
        <f t="shared" si="8"/>
        <v>0</v>
      </c>
      <c r="DI53">
        <f t="shared" si="10"/>
        <v>0</v>
      </c>
      <c r="DJ53">
        <f>DI53</f>
        <v>0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ROW(Source!A317)</f>
        <v>317</v>
      </c>
      <c r="B54">
        <v>56610029</v>
      </c>
      <c r="C54">
        <v>56610853</v>
      </c>
      <c r="D54">
        <v>47766425</v>
      </c>
      <c r="E54">
        <v>1</v>
      </c>
      <c r="F54">
        <v>1</v>
      </c>
      <c r="G54">
        <v>27786564</v>
      </c>
      <c r="H54">
        <v>2</v>
      </c>
      <c r="I54" t="s">
        <v>465</v>
      </c>
      <c r="J54" t="s">
        <v>466</v>
      </c>
      <c r="K54" t="s">
        <v>467</v>
      </c>
      <c r="L54">
        <v>1368</v>
      </c>
      <c r="N54">
        <v>1011</v>
      </c>
      <c r="O54" t="s">
        <v>458</v>
      </c>
      <c r="P54" t="s">
        <v>458</v>
      </c>
      <c r="Q54">
        <v>1</v>
      </c>
      <c r="W54">
        <v>0</v>
      </c>
      <c r="X54">
        <v>2010228649</v>
      </c>
      <c r="Y54">
        <f>(AT54*1.05)</f>
        <v>5.2500000000000005E-2</v>
      </c>
      <c r="AA54">
        <v>0</v>
      </c>
      <c r="AB54">
        <v>1298.3499999999999</v>
      </c>
      <c r="AC54">
        <v>435.52</v>
      </c>
      <c r="AD54">
        <v>0</v>
      </c>
      <c r="AE54">
        <v>0</v>
      </c>
      <c r="AF54">
        <v>97.62</v>
      </c>
      <c r="AG54">
        <v>12.62</v>
      </c>
      <c r="AH54">
        <v>0</v>
      </c>
      <c r="AI54">
        <v>1</v>
      </c>
      <c r="AJ54">
        <v>13.3</v>
      </c>
      <c r="AK54">
        <v>34.51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0.05</v>
      </c>
      <c r="AU54" t="s">
        <v>22</v>
      </c>
      <c r="AV54">
        <v>0</v>
      </c>
      <c r="AW54">
        <v>2</v>
      </c>
      <c r="AX54">
        <v>56610859</v>
      </c>
      <c r="AY54">
        <v>1</v>
      </c>
      <c r="AZ54">
        <v>0</v>
      </c>
      <c r="BA54">
        <v>554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f>ROUND(Y54*Source!I317*DO54,9)</f>
        <v>0</v>
      </c>
      <c r="CX54">
        <f>ROUND(Y54*Source!I317,9)</f>
        <v>2.00655E-2</v>
      </c>
      <c r="CY54">
        <f>AB54</f>
        <v>1298.3499999999999</v>
      </c>
      <c r="CZ54">
        <f>AF54</f>
        <v>97.62</v>
      </c>
      <c r="DA54">
        <f>AJ54</f>
        <v>13.3</v>
      </c>
      <c r="DB54">
        <f>ROUND((ROUND(AT54*CZ54,2)*1.05),6)</f>
        <v>5.1239999999999997</v>
      </c>
      <c r="DC54">
        <f>ROUND((ROUND(AT54*AG54,2)*1.05),6)</f>
        <v>0.66149999999999998</v>
      </c>
      <c r="DD54" t="s">
        <v>3</v>
      </c>
      <c r="DE54" t="s">
        <v>3</v>
      </c>
      <c r="DF54">
        <f t="shared" si="14"/>
        <v>0</v>
      </c>
      <c r="DG54">
        <f>ROUND(ROUND(AF54*AJ54,2)*CX54,2)</f>
        <v>26.05</v>
      </c>
      <c r="DH54">
        <f>ROUND(ROUND(AG54*AK54,2)*CX54,2)</f>
        <v>8.74</v>
      </c>
      <c r="DI54">
        <f t="shared" si="10"/>
        <v>0</v>
      </c>
      <c r="DJ54">
        <f>DG54</f>
        <v>26.05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ROW(Source!A317)</f>
        <v>317</v>
      </c>
      <c r="B55">
        <v>56610029</v>
      </c>
      <c r="C55">
        <v>56610853</v>
      </c>
      <c r="D55">
        <v>47634960</v>
      </c>
      <c r="E55">
        <v>27786564</v>
      </c>
      <c r="F55">
        <v>1</v>
      </c>
      <c r="G55">
        <v>27786564</v>
      </c>
      <c r="H55">
        <v>2</v>
      </c>
      <c r="I55" t="s">
        <v>468</v>
      </c>
      <c r="J55" t="s">
        <v>3</v>
      </c>
      <c r="K55" t="s">
        <v>469</v>
      </c>
      <c r="L55">
        <v>1344</v>
      </c>
      <c r="N55">
        <v>1008</v>
      </c>
      <c r="O55" t="s">
        <v>470</v>
      </c>
      <c r="P55" t="s">
        <v>470</v>
      </c>
      <c r="Q55">
        <v>1</v>
      </c>
      <c r="W55">
        <v>0</v>
      </c>
      <c r="X55">
        <v>-1180195794</v>
      </c>
      <c r="Y55">
        <f>(AT55*1.05)</f>
        <v>0.126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-2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0.12</v>
      </c>
      <c r="AU55" t="s">
        <v>22</v>
      </c>
      <c r="AV55">
        <v>0</v>
      </c>
      <c r="AW55">
        <v>2</v>
      </c>
      <c r="AX55">
        <v>56610860</v>
      </c>
      <c r="AY55">
        <v>1</v>
      </c>
      <c r="AZ55">
        <v>0</v>
      </c>
      <c r="BA55">
        <v>555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f>ROUND(Y55*Source!I317*DO55,9)</f>
        <v>0</v>
      </c>
      <c r="CX55">
        <f>ROUND(Y55*Source!I317,9)</f>
        <v>4.8157199999999997E-2</v>
      </c>
      <c r="CY55">
        <f>AB55</f>
        <v>1</v>
      </c>
      <c r="CZ55">
        <f>AF55</f>
        <v>1</v>
      </c>
      <c r="DA55">
        <f>AJ55</f>
        <v>1</v>
      </c>
      <c r="DB55">
        <f>ROUND((ROUND(AT55*CZ55,2)*1.05),6)</f>
        <v>0.126</v>
      </c>
      <c r="DC55">
        <f>ROUND((ROUND(AT55*AG55,2)*1.05),6)</f>
        <v>0</v>
      </c>
      <c r="DD55" t="s">
        <v>3</v>
      </c>
      <c r="DE55" t="s">
        <v>3</v>
      </c>
      <c r="DF55">
        <f t="shared" si="14"/>
        <v>0</v>
      </c>
      <c r="DG55">
        <f t="shared" ref="DG55:DG70" si="15">ROUND(ROUND(AF55,2)*CX55,2)</f>
        <v>0.05</v>
      </c>
      <c r="DH55">
        <f t="shared" ref="DH55:DH70" si="16">ROUND(ROUND(AG55,2)*CX55,2)</f>
        <v>0</v>
      </c>
      <c r="DI55">
        <f t="shared" si="10"/>
        <v>0</v>
      </c>
      <c r="DJ55">
        <f>DG55</f>
        <v>0.05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ROW(Source!A317)</f>
        <v>317</v>
      </c>
      <c r="B56">
        <v>56610029</v>
      </c>
      <c r="C56">
        <v>56610853</v>
      </c>
      <c r="D56">
        <v>30409490</v>
      </c>
      <c r="E56">
        <v>1</v>
      </c>
      <c r="F56">
        <v>1</v>
      </c>
      <c r="G56">
        <v>27786564</v>
      </c>
      <c r="H56">
        <v>3</v>
      </c>
      <c r="I56" t="s">
        <v>391</v>
      </c>
      <c r="J56" t="s">
        <v>393</v>
      </c>
      <c r="K56" t="s">
        <v>392</v>
      </c>
      <c r="L56">
        <v>1339</v>
      </c>
      <c r="N56">
        <v>1007</v>
      </c>
      <c r="O56" t="s">
        <v>85</v>
      </c>
      <c r="P56" t="s">
        <v>85</v>
      </c>
      <c r="Q56">
        <v>1</v>
      </c>
      <c r="W56">
        <v>0</v>
      </c>
      <c r="X56">
        <v>-1933062003</v>
      </c>
      <c r="Y56">
        <f t="shared" ref="Y56:Y70" si="17">AT56</f>
        <v>15</v>
      </c>
      <c r="AA56">
        <v>1063.1199999999999</v>
      </c>
      <c r="AB56">
        <v>0</v>
      </c>
      <c r="AC56">
        <v>0</v>
      </c>
      <c r="AD56">
        <v>0</v>
      </c>
      <c r="AE56">
        <v>146.84</v>
      </c>
      <c r="AF56">
        <v>0</v>
      </c>
      <c r="AG56">
        <v>0</v>
      </c>
      <c r="AH56">
        <v>0</v>
      </c>
      <c r="AI56">
        <v>7.24</v>
      </c>
      <c r="AJ56">
        <v>1</v>
      </c>
      <c r="AK56">
        <v>1</v>
      </c>
      <c r="AL56">
        <v>1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 t="s">
        <v>3</v>
      </c>
      <c r="AT56">
        <v>15</v>
      </c>
      <c r="AU56" t="s">
        <v>3</v>
      </c>
      <c r="AV56">
        <v>0</v>
      </c>
      <c r="AW56">
        <v>1</v>
      </c>
      <c r="AX56">
        <v>-1</v>
      </c>
      <c r="AY56">
        <v>0</v>
      </c>
      <c r="AZ56">
        <v>0</v>
      </c>
      <c r="BA56" t="s">
        <v>3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ROUND(Y56*Source!I317,9)</f>
        <v>5.7329999999999997</v>
      </c>
      <c r="CY56">
        <f t="shared" ref="CY56:CY70" si="18">AA56</f>
        <v>1063.1199999999999</v>
      </c>
      <c r="CZ56">
        <f t="shared" ref="CZ56:CZ70" si="19">AE56</f>
        <v>146.84</v>
      </c>
      <c r="DA56">
        <f t="shared" ref="DA56:DA70" si="20">AI56</f>
        <v>7.24</v>
      </c>
      <c r="DB56">
        <f t="shared" ref="DB56:DB70" si="21">ROUND(ROUND(AT56*CZ56,2),6)</f>
        <v>2202.6</v>
      </c>
      <c r="DC56">
        <f t="shared" ref="DC56:DC70" si="22">ROUND(ROUND(AT56*AG56,2),6)</f>
        <v>0</v>
      </c>
      <c r="DD56" t="s">
        <v>3</v>
      </c>
      <c r="DE56" t="s">
        <v>3</v>
      </c>
      <c r="DF56">
        <f>ROUND(ROUND(AE56*AI56,2)*CX56,2)</f>
        <v>6094.87</v>
      </c>
      <c r="DG56">
        <f t="shared" si="15"/>
        <v>0</v>
      </c>
      <c r="DH56">
        <f t="shared" si="16"/>
        <v>0</v>
      </c>
      <c r="DI56">
        <f t="shared" si="10"/>
        <v>0</v>
      </c>
      <c r="DJ56">
        <f t="shared" ref="DJ56:DJ70" si="23">DF56</f>
        <v>6094.87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ROW(Source!A320)</f>
        <v>320</v>
      </c>
      <c r="B57">
        <v>56622490</v>
      </c>
      <c r="C57">
        <v>56610863</v>
      </c>
      <c r="D57">
        <v>30409490</v>
      </c>
      <c r="E57">
        <v>1</v>
      </c>
      <c r="F57">
        <v>1</v>
      </c>
      <c r="G57">
        <v>27786564</v>
      </c>
      <c r="H57">
        <v>3</v>
      </c>
      <c r="I57" t="s">
        <v>391</v>
      </c>
      <c r="J57" t="s">
        <v>393</v>
      </c>
      <c r="K57" t="s">
        <v>392</v>
      </c>
      <c r="L57">
        <v>1339</v>
      </c>
      <c r="N57">
        <v>1007</v>
      </c>
      <c r="O57" t="s">
        <v>85</v>
      </c>
      <c r="P57" t="s">
        <v>85</v>
      </c>
      <c r="Q57">
        <v>1</v>
      </c>
      <c r="W57">
        <v>0</v>
      </c>
      <c r="X57">
        <v>-1933062003</v>
      </c>
      <c r="Y57">
        <f t="shared" si="17"/>
        <v>15</v>
      </c>
      <c r="AA57">
        <v>146.84</v>
      </c>
      <c r="AB57">
        <v>0</v>
      </c>
      <c r="AC57">
        <v>0</v>
      </c>
      <c r="AD57">
        <v>0</v>
      </c>
      <c r="AE57">
        <v>146.84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0</v>
      </c>
      <c r="AP57">
        <v>1</v>
      </c>
      <c r="AQ57">
        <v>0</v>
      </c>
      <c r="AR57">
        <v>0</v>
      </c>
      <c r="AS57" t="s">
        <v>3</v>
      </c>
      <c r="AT57">
        <v>15</v>
      </c>
      <c r="AU57" t="s">
        <v>3</v>
      </c>
      <c r="AV57">
        <v>0</v>
      </c>
      <c r="AW57">
        <v>1</v>
      </c>
      <c r="AX57">
        <v>-1</v>
      </c>
      <c r="AY57">
        <v>0</v>
      </c>
      <c r="AZ57">
        <v>0</v>
      </c>
      <c r="BA57" t="s">
        <v>3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v>0</v>
      </c>
      <c r="CX57">
        <f>ROUND(Y57*Source!I320,9)</f>
        <v>2.4569999999999999</v>
      </c>
      <c r="CY57">
        <f t="shared" si="18"/>
        <v>146.84</v>
      </c>
      <c r="CZ57">
        <f t="shared" si="19"/>
        <v>146.84</v>
      </c>
      <c r="DA57">
        <f t="shared" si="20"/>
        <v>1</v>
      </c>
      <c r="DB57">
        <f t="shared" si="21"/>
        <v>2202.6</v>
      </c>
      <c r="DC57">
        <f t="shared" si="22"/>
        <v>0</v>
      </c>
      <c r="DD57" t="s">
        <v>3</v>
      </c>
      <c r="DE57" t="s">
        <v>3</v>
      </c>
      <c r="DF57">
        <f>ROUND(ROUND(AE57,2)*CX57,2)</f>
        <v>360.79</v>
      </c>
      <c r="DG57">
        <f t="shared" si="15"/>
        <v>0</v>
      </c>
      <c r="DH57">
        <f t="shared" si="16"/>
        <v>0</v>
      </c>
      <c r="DI57">
        <f t="shared" si="10"/>
        <v>0</v>
      </c>
      <c r="DJ57">
        <f t="shared" si="23"/>
        <v>360.79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ROW(Source!A321)</f>
        <v>321</v>
      </c>
      <c r="B58">
        <v>56610029</v>
      </c>
      <c r="C58">
        <v>56610863</v>
      </c>
      <c r="D58">
        <v>30409490</v>
      </c>
      <c r="E58">
        <v>1</v>
      </c>
      <c r="F58">
        <v>1</v>
      </c>
      <c r="G58">
        <v>27786564</v>
      </c>
      <c r="H58">
        <v>3</v>
      </c>
      <c r="I58" t="s">
        <v>391</v>
      </c>
      <c r="J58" t="s">
        <v>393</v>
      </c>
      <c r="K58" t="s">
        <v>392</v>
      </c>
      <c r="L58">
        <v>1339</v>
      </c>
      <c r="N58">
        <v>1007</v>
      </c>
      <c r="O58" t="s">
        <v>85</v>
      </c>
      <c r="P58" t="s">
        <v>85</v>
      </c>
      <c r="Q58">
        <v>1</v>
      </c>
      <c r="W58">
        <v>0</v>
      </c>
      <c r="X58">
        <v>-1933062003</v>
      </c>
      <c r="Y58">
        <f t="shared" si="17"/>
        <v>15</v>
      </c>
      <c r="AA58">
        <v>1063.1199999999999</v>
      </c>
      <c r="AB58">
        <v>0</v>
      </c>
      <c r="AC58">
        <v>0</v>
      </c>
      <c r="AD58">
        <v>0</v>
      </c>
      <c r="AE58">
        <v>146.84</v>
      </c>
      <c r="AF58">
        <v>0</v>
      </c>
      <c r="AG58">
        <v>0</v>
      </c>
      <c r="AH58">
        <v>0</v>
      </c>
      <c r="AI58">
        <v>7.24</v>
      </c>
      <c r="AJ58">
        <v>1</v>
      </c>
      <c r="AK58">
        <v>1</v>
      </c>
      <c r="AL58">
        <v>1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 t="s">
        <v>3</v>
      </c>
      <c r="AT58">
        <v>15</v>
      </c>
      <c r="AU58" t="s">
        <v>3</v>
      </c>
      <c r="AV58">
        <v>0</v>
      </c>
      <c r="AW58">
        <v>1</v>
      </c>
      <c r="AX58">
        <v>-1</v>
      </c>
      <c r="AY58">
        <v>0</v>
      </c>
      <c r="AZ58">
        <v>0</v>
      </c>
      <c r="BA58" t="s">
        <v>3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ROUND(Y58*Source!I321,9)</f>
        <v>2.4569999999999999</v>
      </c>
      <c r="CY58">
        <f t="shared" si="18"/>
        <v>1063.1199999999999</v>
      </c>
      <c r="CZ58">
        <f t="shared" si="19"/>
        <v>146.84</v>
      </c>
      <c r="DA58">
        <f t="shared" si="20"/>
        <v>7.24</v>
      </c>
      <c r="DB58">
        <f t="shared" si="21"/>
        <v>2202.6</v>
      </c>
      <c r="DC58">
        <f t="shared" si="22"/>
        <v>0</v>
      </c>
      <c r="DD58" t="s">
        <v>3</v>
      </c>
      <c r="DE58" t="s">
        <v>3</v>
      </c>
      <c r="DF58">
        <f>ROUND(ROUND(AE58*AI58,2)*CX58,2)</f>
        <v>2612.09</v>
      </c>
      <c r="DG58">
        <f t="shared" si="15"/>
        <v>0</v>
      </c>
      <c r="DH58">
        <f t="shared" si="16"/>
        <v>0</v>
      </c>
      <c r="DI58">
        <f t="shared" si="10"/>
        <v>0</v>
      </c>
      <c r="DJ58">
        <f t="shared" si="23"/>
        <v>2612.09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ROW(Source!A324)</f>
        <v>324</v>
      </c>
      <c r="B59">
        <v>56622490</v>
      </c>
      <c r="C59">
        <v>56610868</v>
      </c>
      <c r="D59">
        <v>30409490</v>
      </c>
      <c r="E59">
        <v>1</v>
      </c>
      <c r="F59">
        <v>1</v>
      </c>
      <c r="G59">
        <v>27786564</v>
      </c>
      <c r="H59">
        <v>3</v>
      </c>
      <c r="I59" t="s">
        <v>391</v>
      </c>
      <c r="J59" t="s">
        <v>393</v>
      </c>
      <c r="K59" t="s">
        <v>392</v>
      </c>
      <c r="L59">
        <v>1339</v>
      </c>
      <c r="N59">
        <v>1007</v>
      </c>
      <c r="O59" t="s">
        <v>85</v>
      </c>
      <c r="P59" t="s">
        <v>85</v>
      </c>
      <c r="Q59">
        <v>1</v>
      </c>
      <c r="W59">
        <v>0</v>
      </c>
      <c r="X59">
        <v>-1933062003</v>
      </c>
      <c r="Y59">
        <f t="shared" si="17"/>
        <v>5</v>
      </c>
      <c r="AA59">
        <v>146.84</v>
      </c>
      <c r="AB59">
        <v>0</v>
      </c>
      <c r="AC59">
        <v>0</v>
      </c>
      <c r="AD59">
        <v>0</v>
      </c>
      <c r="AE59">
        <v>146.84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-2</v>
      </c>
      <c r="AN59">
        <v>0</v>
      </c>
      <c r="AO59">
        <v>0</v>
      </c>
      <c r="AP59">
        <v>1</v>
      </c>
      <c r="AQ59">
        <v>0</v>
      </c>
      <c r="AR59">
        <v>0</v>
      </c>
      <c r="AS59" t="s">
        <v>3</v>
      </c>
      <c r="AT59">
        <v>5</v>
      </c>
      <c r="AU59" t="s">
        <v>3</v>
      </c>
      <c r="AV59">
        <v>0</v>
      </c>
      <c r="AW59">
        <v>1</v>
      </c>
      <c r="AX59">
        <v>-1</v>
      </c>
      <c r="AY59">
        <v>0</v>
      </c>
      <c r="AZ59">
        <v>0</v>
      </c>
      <c r="BA59" t="s">
        <v>3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ROUND(Y59*Source!I324,9)</f>
        <v>-2.73</v>
      </c>
      <c r="CY59">
        <f t="shared" si="18"/>
        <v>146.84</v>
      </c>
      <c r="CZ59">
        <f t="shared" si="19"/>
        <v>146.84</v>
      </c>
      <c r="DA59">
        <f t="shared" si="20"/>
        <v>1</v>
      </c>
      <c r="DB59">
        <f t="shared" si="21"/>
        <v>734.2</v>
      </c>
      <c r="DC59">
        <f t="shared" si="22"/>
        <v>0</v>
      </c>
      <c r="DD59" t="s">
        <v>3</v>
      </c>
      <c r="DE59" t="s">
        <v>3</v>
      </c>
      <c r="DF59">
        <f>ROUND(ROUND(AE59,2)*CX59,2)</f>
        <v>-400.87</v>
      </c>
      <c r="DG59">
        <f t="shared" si="15"/>
        <v>0</v>
      </c>
      <c r="DH59">
        <f t="shared" si="16"/>
        <v>0</v>
      </c>
      <c r="DI59">
        <f t="shared" si="10"/>
        <v>0</v>
      </c>
      <c r="DJ59">
        <f t="shared" si="23"/>
        <v>-400.87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ROW(Source!A325)</f>
        <v>325</v>
      </c>
      <c r="B60">
        <v>56610029</v>
      </c>
      <c r="C60">
        <v>56610868</v>
      </c>
      <c r="D60">
        <v>30409490</v>
      </c>
      <c r="E60">
        <v>1</v>
      </c>
      <c r="F60">
        <v>1</v>
      </c>
      <c r="G60">
        <v>27786564</v>
      </c>
      <c r="H60">
        <v>3</v>
      </c>
      <c r="I60" t="s">
        <v>391</v>
      </c>
      <c r="J60" t="s">
        <v>393</v>
      </c>
      <c r="K60" t="s">
        <v>392</v>
      </c>
      <c r="L60">
        <v>1339</v>
      </c>
      <c r="N60">
        <v>1007</v>
      </c>
      <c r="O60" t="s">
        <v>85</v>
      </c>
      <c r="P60" t="s">
        <v>85</v>
      </c>
      <c r="Q60">
        <v>1</v>
      </c>
      <c r="W60">
        <v>0</v>
      </c>
      <c r="X60">
        <v>-1933062003</v>
      </c>
      <c r="Y60">
        <f t="shared" si="17"/>
        <v>5</v>
      </c>
      <c r="AA60">
        <v>1063.1199999999999</v>
      </c>
      <c r="AB60">
        <v>0</v>
      </c>
      <c r="AC60">
        <v>0</v>
      </c>
      <c r="AD60">
        <v>0</v>
      </c>
      <c r="AE60">
        <v>146.84</v>
      </c>
      <c r="AF60">
        <v>0</v>
      </c>
      <c r="AG60">
        <v>0</v>
      </c>
      <c r="AH60">
        <v>0</v>
      </c>
      <c r="AI60">
        <v>7.24</v>
      </c>
      <c r="AJ60">
        <v>1</v>
      </c>
      <c r="AK60">
        <v>1</v>
      </c>
      <c r="AL60">
        <v>1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 t="s">
        <v>3</v>
      </c>
      <c r="AT60">
        <v>5</v>
      </c>
      <c r="AU60" t="s">
        <v>3</v>
      </c>
      <c r="AV60">
        <v>0</v>
      </c>
      <c r="AW60">
        <v>1</v>
      </c>
      <c r="AX60">
        <v>-1</v>
      </c>
      <c r="AY60">
        <v>0</v>
      </c>
      <c r="AZ60">
        <v>0</v>
      </c>
      <c r="BA60" t="s">
        <v>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ROUND(Y60*Source!I325,9)</f>
        <v>-2.73</v>
      </c>
      <c r="CY60">
        <f t="shared" si="18"/>
        <v>1063.1199999999999</v>
      </c>
      <c r="CZ60">
        <f t="shared" si="19"/>
        <v>146.84</v>
      </c>
      <c r="DA60">
        <f t="shared" si="20"/>
        <v>7.24</v>
      </c>
      <c r="DB60">
        <f t="shared" si="21"/>
        <v>734.2</v>
      </c>
      <c r="DC60">
        <f t="shared" si="22"/>
        <v>0</v>
      </c>
      <c r="DD60" t="s">
        <v>3</v>
      </c>
      <c r="DE60" t="s">
        <v>3</v>
      </c>
      <c r="DF60">
        <f>ROUND(ROUND(AE60*AI60,2)*CX60,2)</f>
        <v>-2902.32</v>
      </c>
      <c r="DG60">
        <f t="shared" si="15"/>
        <v>0</v>
      </c>
      <c r="DH60">
        <f t="shared" si="16"/>
        <v>0</v>
      </c>
      <c r="DI60">
        <f t="shared" si="10"/>
        <v>0</v>
      </c>
      <c r="DJ60">
        <f t="shared" si="23"/>
        <v>-2902.32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ROW(Source!A328)</f>
        <v>328</v>
      </c>
      <c r="B61">
        <v>56622490</v>
      </c>
      <c r="C61">
        <v>56610873</v>
      </c>
      <c r="D61">
        <v>30409494</v>
      </c>
      <c r="E61">
        <v>1</v>
      </c>
      <c r="F61">
        <v>1</v>
      </c>
      <c r="G61">
        <v>27786564</v>
      </c>
      <c r="H61">
        <v>3</v>
      </c>
      <c r="I61" t="s">
        <v>409</v>
      </c>
      <c r="J61" t="s">
        <v>411</v>
      </c>
      <c r="K61" t="s">
        <v>410</v>
      </c>
      <c r="L61">
        <v>1346</v>
      </c>
      <c r="N61">
        <v>1009</v>
      </c>
      <c r="O61" t="s">
        <v>101</v>
      </c>
      <c r="P61" t="s">
        <v>101</v>
      </c>
      <c r="Q61">
        <v>1</v>
      </c>
      <c r="W61">
        <v>0</v>
      </c>
      <c r="X61">
        <v>-1082088882</v>
      </c>
      <c r="Y61">
        <f t="shared" si="17"/>
        <v>4</v>
      </c>
      <c r="AA61">
        <v>57.93</v>
      </c>
      <c r="AB61">
        <v>0</v>
      </c>
      <c r="AC61">
        <v>0</v>
      </c>
      <c r="AD61">
        <v>0</v>
      </c>
      <c r="AE61">
        <v>57.93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0</v>
      </c>
      <c r="AP61">
        <v>1</v>
      </c>
      <c r="AQ61">
        <v>0</v>
      </c>
      <c r="AR61">
        <v>0</v>
      </c>
      <c r="AS61" t="s">
        <v>3</v>
      </c>
      <c r="AT61">
        <v>4</v>
      </c>
      <c r="AU61" t="s">
        <v>3</v>
      </c>
      <c r="AV61">
        <v>0</v>
      </c>
      <c r="AW61">
        <v>1</v>
      </c>
      <c r="AX61">
        <v>-1</v>
      </c>
      <c r="AY61">
        <v>0</v>
      </c>
      <c r="AZ61">
        <v>0</v>
      </c>
      <c r="BA61" t="s">
        <v>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ROUND(Y61*Source!I328,9)</f>
        <v>2.1840000000000002</v>
      </c>
      <c r="CY61">
        <f t="shared" si="18"/>
        <v>57.93</v>
      </c>
      <c r="CZ61">
        <f t="shared" si="19"/>
        <v>57.93</v>
      </c>
      <c r="DA61">
        <f t="shared" si="20"/>
        <v>1</v>
      </c>
      <c r="DB61">
        <f t="shared" si="21"/>
        <v>231.72</v>
      </c>
      <c r="DC61">
        <f t="shared" si="22"/>
        <v>0</v>
      </c>
      <c r="DD61" t="s">
        <v>3</v>
      </c>
      <c r="DE61" t="s">
        <v>3</v>
      </c>
      <c r="DF61">
        <f>ROUND(ROUND(AE61,2)*CX61,2)</f>
        <v>126.52</v>
      </c>
      <c r="DG61">
        <f t="shared" si="15"/>
        <v>0</v>
      </c>
      <c r="DH61">
        <f t="shared" si="16"/>
        <v>0</v>
      </c>
      <c r="DI61">
        <f t="shared" si="10"/>
        <v>0</v>
      </c>
      <c r="DJ61">
        <f t="shared" si="23"/>
        <v>126.52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ROW(Source!A329)</f>
        <v>329</v>
      </c>
      <c r="B62">
        <v>56610029</v>
      </c>
      <c r="C62">
        <v>56610873</v>
      </c>
      <c r="D62">
        <v>30409494</v>
      </c>
      <c r="E62">
        <v>1</v>
      </c>
      <c r="F62">
        <v>1</v>
      </c>
      <c r="G62">
        <v>27786564</v>
      </c>
      <c r="H62">
        <v>3</v>
      </c>
      <c r="I62" t="s">
        <v>409</v>
      </c>
      <c r="J62" t="s">
        <v>411</v>
      </c>
      <c r="K62" t="s">
        <v>410</v>
      </c>
      <c r="L62">
        <v>1346</v>
      </c>
      <c r="N62">
        <v>1009</v>
      </c>
      <c r="O62" t="s">
        <v>101</v>
      </c>
      <c r="P62" t="s">
        <v>101</v>
      </c>
      <c r="Q62">
        <v>1</v>
      </c>
      <c r="W62">
        <v>0</v>
      </c>
      <c r="X62">
        <v>-1082088882</v>
      </c>
      <c r="Y62">
        <f t="shared" si="17"/>
        <v>4</v>
      </c>
      <c r="AA62">
        <v>149.46</v>
      </c>
      <c r="AB62">
        <v>0</v>
      </c>
      <c r="AC62">
        <v>0</v>
      </c>
      <c r="AD62">
        <v>0</v>
      </c>
      <c r="AE62">
        <v>57.93</v>
      </c>
      <c r="AF62">
        <v>0</v>
      </c>
      <c r="AG62">
        <v>0</v>
      </c>
      <c r="AH62">
        <v>0</v>
      </c>
      <c r="AI62">
        <v>2.58</v>
      </c>
      <c r="AJ62">
        <v>1</v>
      </c>
      <c r="AK62">
        <v>1</v>
      </c>
      <c r="AL62">
        <v>1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 t="s">
        <v>3</v>
      </c>
      <c r="AT62">
        <v>4</v>
      </c>
      <c r="AU62" t="s">
        <v>3</v>
      </c>
      <c r="AV62">
        <v>0</v>
      </c>
      <c r="AW62">
        <v>1</v>
      </c>
      <c r="AX62">
        <v>-1</v>
      </c>
      <c r="AY62">
        <v>0</v>
      </c>
      <c r="AZ62">
        <v>0</v>
      </c>
      <c r="BA62" t="s">
        <v>3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ROUND(Y62*Source!I329,9)</f>
        <v>2.1840000000000002</v>
      </c>
      <c r="CY62">
        <f t="shared" si="18"/>
        <v>149.46</v>
      </c>
      <c r="CZ62">
        <f t="shared" si="19"/>
        <v>57.93</v>
      </c>
      <c r="DA62">
        <f t="shared" si="20"/>
        <v>2.58</v>
      </c>
      <c r="DB62">
        <f t="shared" si="21"/>
        <v>231.72</v>
      </c>
      <c r="DC62">
        <f t="shared" si="22"/>
        <v>0</v>
      </c>
      <c r="DD62" t="s">
        <v>3</v>
      </c>
      <c r="DE62" t="s">
        <v>3</v>
      </c>
      <c r="DF62">
        <f>ROUND(ROUND(AE62*AI62,2)*CX62,2)</f>
        <v>326.42</v>
      </c>
      <c r="DG62">
        <f t="shared" si="15"/>
        <v>0</v>
      </c>
      <c r="DH62">
        <f t="shared" si="16"/>
        <v>0</v>
      </c>
      <c r="DI62">
        <f t="shared" si="10"/>
        <v>0</v>
      </c>
      <c r="DJ62">
        <f t="shared" si="23"/>
        <v>326.42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ROW(Source!A375)</f>
        <v>375</v>
      </c>
      <c r="B63">
        <v>56622490</v>
      </c>
      <c r="C63">
        <v>56610894</v>
      </c>
      <c r="D63">
        <v>49108184</v>
      </c>
      <c r="E63">
        <v>1</v>
      </c>
      <c r="F63">
        <v>1</v>
      </c>
      <c r="G63">
        <v>27786564</v>
      </c>
      <c r="H63">
        <v>3</v>
      </c>
      <c r="I63" t="s">
        <v>83</v>
      </c>
      <c r="J63" t="s">
        <v>86</v>
      </c>
      <c r="K63" t="s">
        <v>292</v>
      </c>
      <c r="L63">
        <v>1339</v>
      </c>
      <c r="N63">
        <v>1007</v>
      </c>
      <c r="O63" t="s">
        <v>85</v>
      </c>
      <c r="P63" t="s">
        <v>85</v>
      </c>
      <c r="Q63">
        <v>1</v>
      </c>
      <c r="W63">
        <v>0</v>
      </c>
      <c r="X63">
        <v>921520</v>
      </c>
      <c r="Y63">
        <f t="shared" si="17"/>
        <v>110</v>
      </c>
      <c r="AA63">
        <v>104.99</v>
      </c>
      <c r="AB63">
        <v>0</v>
      </c>
      <c r="AC63">
        <v>0</v>
      </c>
      <c r="AD63">
        <v>0</v>
      </c>
      <c r="AE63">
        <v>104.99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0</v>
      </c>
      <c r="AP63">
        <v>1</v>
      </c>
      <c r="AQ63">
        <v>0</v>
      </c>
      <c r="AR63">
        <v>0</v>
      </c>
      <c r="AS63" t="s">
        <v>3</v>
      </c>
      <c r="AT63">
        <v>110</v>
      </c>
      <c r="AU63" t="s">
        <v>3</v>
      </c>
      <c r="AV63">
        <v>0</v>
      </c>
      <c r="AW63">
        <v>1</v>
      </c>
      <c r="AX63">
        <v>-1</v>
      </c>
      <c r="AY63">
        <v>0</v>
      </c>
      <c r="AZ63">
        <v>0</v>
      </c>
      <c r="BA63" t="s">
        <v>3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ROUND(Y63*Source!I375,9)</f>
        <v>0</v>
      </c>
      <c r="CY63">
        <f t="shared" si="18"/>
        <v>104.99</v>
      </c>
      <c r="CZ63">
        <f t="shared" si="19"/>
        <v>104.99</v>
      </c>
      <c r="DA63">
        <f t="shared" si="20"/>
        <v>1</v>
      </c>
      <c r="DB63">
        <f t="shared" si="21"/>
        <v>11548.9</v>
      </c>
      <c r="DC63">
        <f t="shared" si="22"/>
        <v>0</v>
      </c>
      <c r="DD63" t="s">
        <v>3</v>
      </c>
      <c r="DE63" t="s">
        <v>3</v>
      </c>
      <c r="DF63">
        <f>ROUND(ROUND(AE63,2)*CX63,2)</f>
        <v>0</v>
      </c>
      <c r="DG63">
        <f t="shared" si="15"/>
        <v>0</v>
      </c>
      <c r="DH63">
        <f t="shared" si="16"/>
        <v>0</v>
      </c>
      <c r="DI63">
        <f t="shared" si="10"/>
        <v>0</v>
      </c>
      <c r="DJ63">
        <f t="shared" si="23"/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ROW(Source!A376)</f>
        <v>376</v>
      </c>
      <c r="B64">
        <v>56610029</v>
      </c>
      <c r="C64">
        <v>56610894</v>
      </c>
      <c r="D64">
        <v>49108184</v>
      </c>
      <c r="E64">
        <v>1</v>
      </c>
      <c r="F64">
        <v>1</v>
      </c>
      <c r="G64">
        <v>27786564</v>
      </c>
      <c r="H64">
        <v>3</v>
      </c>
      <c r="I64" t="s">
        <v>83</v>
      </c>
      <c r="J64" t="s">
        <v>86</v>
      </c>
      <c r="K64" t="s">
        <v>292</v>
      </c>
      <c r="L64">
        <v>1339</v>
      </c>
      <c r="N64">
        <v>1007</v>
      </c>
      <c r="O64" t="s">
        <v>85</v>
      </c>
      <c r="P64" t="s">
        <v>85</v>
      </c>
      <c r="Q64">
        <v>1</v>
      </c>
      <c r="W64">
        <v>0</v>
      </c>
      <c r="X64">
        <v>921520</v>
      </c>
      <c r="Y64">
        <f t="shared" si="17"/>
        <v>110</v>
      </c>
      <c r="AA64">
        <v>808.99</v>
      </c>
      <c r="AB64">
        <v>0</v>
      </c>
      <c r="AC64">
        <v>0</v>
      </c>
      <c r="AD64">
        <v>0</v>
      </c>
      <c r="AE64">
        <v>104.99</v>
      </c>
      <c r="AF64">
        <v>0</v>
      </c>
      <c r="AG64">
        <v>0</v>
      </c>
      <c r="AH64">
        <v>0</v>
      </c>
      <c r="AI64">
        <v>7.69</v>
      </c>
      <c r="AJ64">
        <v>1</v>
      </c>
      <c r="AK64">
        <v>1</v>
      </c>
      <c r="AL64">
        <v>1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0</v>
      </c>
      <c r="AS64" t="s">
        <v>3</v>
      </c>
      <c r="AT64">
        <v>110</v>
      </c>
      <c r="AU64" t="s">
        <v>3</v>
      </c>
      <c r="AV64">
        <v>0</v>
      </c>
      <c r="AW64">
        <v>1</v>
      </c>
      <c r="AX64">
        <v>-1</v>
      </c>
      <c r="AY64">
        <v>0</v>
      </c>
      <c r="AZ64">
        <v>0</v>
      </c>
      <c r="BA64" t="s">
        <v>3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ROUND(Y64*Source!I376,9)</f>
        <v>0</v>
      </c>
      <c r="CY64">
        <f t="shared" si="18"/>
        <v>808.99</v>
      </c>
      <c r="CZ64">
        <f t="shared" si="19"/>
        <v>104.99</v>
      </c>
      <c r="DA64">
        <f t="shared" si="20"/>
        <v>7.69</v>
      </c>
      <c r="DB64">
        <f t="shared" si="21"/>
        <v>11548.9</v>
      </c>
      <c r="DC64">
        <f t="shared" si="22"/>
        <v>0</v>
      </c>
      <c r="DD64" t="s">
        <v>3</v>
      </c>
      <c r="DE64" t="s">
        <v>3</v>
      </c>
      <c r="DF64">
        <f>ROUND(ROUND(AE64*AI64,2)*CX64,2)</f>
        <v>0</v>
      </c>
      <c r="DG64">
        <f t="shared" si="15"/>
        <v>0</v>
      </c>
      <c r="DH64">
        <f t="shared" si="16"/>
        <v>0</v>
      </c>
      <c r="DI64">
        <f t="shared" si="10"/>
        <v>0</v>
      </c>
      <c r="DJ64">
        <f t="shared" si="23"/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ROW(Source!A379)</f>
        <v>379</v>
      </c>
      <c r="B65">
        <v>56622490</v>
      </c>
      <c r="C65">
        <v>56610905</v>
      </c>
      <c r="D65">
        <v>46725728</v>
      </c>
      <c r="E65">
        <v>1</v>
      </c>
      <c r="F65">
        <v>1</v>
      </c>
      <c r="G65">
        <v>27786564</v>
      </c>
      <c r="H65">
        <v>3</v>
      </c>
      <c r="I65" t="s">
        <v>301</v>
      </c>
      <c r="J65" t="s">
        <v>303</v>
      </c>
      <c r="K65" t="s">
        <v>302</v>
      </c>
      <c r="L65">
        <v>1339</v>
      </c>
      <c r="N65">
        <v>1007</v>
      </c>
      <c r="O65" t="s">
        <v>85</v>
      </c>
      <c r="P65" t="s">
        <v>85</v>
      </c>
      <c r="Q65">
        <v>1</v>
      </c>
      <c r="W65">
        <v>0</v>
      </c>
      <c r="X65">
        <v>-520181400</v>
      </c>
      <c r="Y65">
        <f t="shared" si="17"/>
        <v>162</v>
      </c>
      <c r="AA65">
        <v>517.14</v>
      </c>
      <c r="AB65">
        <v>0</v>
      </c>
      <c r="AC65">
        <v>0</v>
      </c>
      <c r="AD65">
        <v>0</v>
      </c>
      <c r="AE65">
        <v>517.14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0</v>
      </c>
      <c r="AP65">
        <v>1</v>
      </c>
      <c r="AQ65">
        <v>0</v>
      </c>
      <c r="AR65">
        <v>0</v>
      </c>
      <c r="AS65" t="s">
        <v>3</v>
      </c>
      <c r="AT65">
        <v>162</v>
      </c>
      <c r="AU65" t="s">
        <v>3</v>
      </c>
      <c r="AV65">
        <v>0</v>
      </c>
      <c r="AW65">
        <v>1</v>
      </c>
      <c r="AX65">
        <v>-1</v>
      </c>
      <c r="AY65">
        <v>0</v>
      </c>
      <c r="AZ65">
        <v>0</v>
      </c>
      <c r="BA65" t="s">
        <v>3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ROUND(Y65*Source!I379,9)</f>
        <v>0</v>
      </c>
      <c r="CY65">
        <f t="shared" si="18"/>
        <v>517.14</v>
      </c>
      <c r="CZ65">
        <f t="shared" si="19"/>
        <v>517.14</v>
      </c>
      <c r="DA65">
        <f t="shared" si="20"/>
        <v>1</v>
      </c>
      <c r="DB65">
        <f t="shared" si="21"/>
        <v>83776.679999999993</v>
      </c>
      <c r="DC65">
        <f t="shared" si="22"/>
        <v>0</v>
      </c>
      <c r="DD65" t="s">
        <v>3</v>
      </c>
      <c r="DE65" t="s">
        <v>3</v>
      </c>
      <c r="DF65">
        <f>ROUND(ROUND(AE65,2)*CX65,2)</f>
        <v>0</v>
      </c>
      <c r="DG65">
        <f t="shared" si="15"/>
        <v>0</v>
      </c>
      <c r="DH65">
        <f t="shared" si="16"/>
        <v>0</v>
      </c>
      <c r="DI65">
        <f t="shared" ref="DI65:DI70" si="24">ROUND(ROUND(AH65,2)*CX65,2)</f>
        <v>0</v>
      </c>
      <c r="DJ65">
        <f t="shared" si="23"/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ROW(Source!A380)</f>
        <v>380</v>
      </c>
      <c r="B66">
        <v>56610029</v>
      </c>
      <c r="C66">
        <v>56610905</v>
      </c>
      <c r="D66">
        <v>46725728</v>
      </c>
      <c r="E66">
        <v>1</v>
      </c>
      <c r="F66">
        <v>1</v>
      </c>
      <c r="G66">
        <v>27786564</v>
      </c>
      <c r="H66">
        <v>3</v>
      </c>
      <c r="I66" t="s">
        <v>301</v>
      </c>
      <c r="J66" t="s">
        <v>303</v>
      </c>
      <c r="K66" t="s">
        <v>302</v>
      </c>
      <c r="L66">
        <v>1339</v>
      </c>
      <c r="N66">
        <v>1007</v>
      </c>
      <c r="O66" t="s">
        <v>85</v>
      </c>
      <c r="P66" t="s">
        <v>85</v>
      </c>
      <c r="Q66">
        <v>1</v>
      </c>
      <c r="W66">
        <v>0</v>
      </c>
      <c r="X66">
        <v>-520181400</v>
      </c>
      <c r="Y66">
        <f t="shared" si="17"/>
        <v>162</v>
      </c>
      <c r="AA66">
        <v>5715.46</v>
      </c>
      <c r="AB66">
        <v>0</v>
      </c>
      <c r="AC66">
        <v>0</v>
      </c>
      <c r="AD66">
        <v>0</v>
      </c>
      <c r="AE66">
        <v>517.14</v>
      </c>
      <c r="AF66">
        <v>0</v>
      </c>
      <c r="AG66">
        <v>0</v>
      </c>
      <c r="AH66">
        <v>0</v>
      </c>
      <c r="AI66">
        <v>11.03</v>
      </c>
      <c r="AJ66">
        <v>1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 t="s">
        <v>3</v>
      </c>
      <c r="AT66">
        <v>162</v>
      </c>
      <c r="AU66" t="s">
        <v>3</v>
      </c>
      <c r="AV66">
        <v>0</v>
      </c>
      <c r="AW66">
        <v>1</v>
      </c>
      <c r="AX66">
        <v>-1</v>
      </c>
      <c r="AY66">
        <v>0</v>
      </c>
      <c r="AZ66">
        <v>0</v>
      </c>
      <c r="BA66" t="s">
        <v>3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ROUND(Y66*Source!I380,9)</f>
        <v>0</v>
      </c>
      <c r="CY66">
        <f t="shared" si="18"/>
        <v>5715.46</v>
      </c>
      <c r="CZ66">
        <f t="shared" si="19"/>
        <v>517.14</v>
      </c>
      <c r="DA66">
        <f t="shared" si="20"/>
        <v>11.03</v>
      </c>
      <c r="DB66">
        <f t="shared" si="21"/>
        <v>83776.679999999993</v>
      </c>
      <c r="DC66">
        <f t="shared" si="22"/>
        <v>0</v>
      </c>
      <c r="DD66" t="s">
        <v>3</v>
      </c>
      <c r="DE66" t="s">
        <v>3</v>
      </c>
      <c r="DF66">
        <f>ROUND(ROUND(AE66*AI66,2)*CX66,2)</f>
        <v>0</v>
      </c>
      <c r="DG66">
        <f t="shared" si="15"/>
        <v>0</v>
      </c>
      <c r="DH66">
        <f t="shared" si="16"/>
        <v>0</v>
      </c>
      <c r="DI66">
        <f t="shared" si="24"/>
        <v>0</v>
      </c>
      <c r="DJ66">
        <f t="shared" si="23"/>
        <v>0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ROW(Source!A383)</f>
        <v>383</v>
      </c>
      <c r="B67">
        <v>56622490</v>
      </c>
      <c r="C67">
        <v>56610920</v>
      </c>
      <c r="D67">
        <v>46725728</v>
      </c>
      <c r="E67">
        <v>1</v>
      </c>
      <c r="F67">
        <v>1</v>
      </c>
      <c r="G67">
        <v>27786564</v>
      </c>
      <c r="H67">
        <v>3</v>
      </c>
      <c r="I67" t="s">
        <v>301</v>
      </c>
      <c r="J67" t="s">
        <v>303</v>
      </c>
      <c r="K67" t="s">
        <v>302</v>
      </c>
      <c r="L67">
        <v>1339</v>
      </c>
      <c r="N67">
        <v>1007</v>
      </c>
      <c r="O67" t="s">
        <v>85</v>
      </c>
      <c r="P67" t="s">
        <v>85</v>
      </c>
      <c r="Q67">
        <v>1</v>
      </c>
      <c r="W67">
        <v>0</v>
      </c>
      <c r="X67">
        <v>-520181400</v>
      </c>
      <c r="Y67">
        <f t="shared" si="17"/>
        <v>10.199999999999999</v>
      </c>
      <c r="AA67">
        <v>517.14</v>
      </c>
      <c r="AB67">
        <v>0</v>
      </c>
      <c r="AC67">
        <v>0</v>
      </c>
      <c r="AD67">
        <v>0</v>
      </c>
      <c r="AE67">
        <v>517.14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0</v>
      </c>
      <c r="AP67">
        <v>1</v>
      </c>
      <c r="AQ67">
        <v>0</v>
      </c>
      <c r="AR67">
        <v>0</v>
      </c>
      <c r="AS67" t="s">
        <v>3</v>
      </c>
      <c r="AT67">
        <v>10.199999999999999</v>
      </c>
      <c r="AU67" t="s">
        <v>3</v>
      </c>
      <c r="AV67">
        <v>0</v>
      </c>
      <c r="AW67">
        <v>1</v>
      </c>
      <c r="AX67">
        <v>-1</v>
      </c>
      <c r="AY67">
        <v>0</v>
      </c>
      <c r="AZ67">
        <v>0</v>
      </c>
      <c r="BA67" t="s">
        <v>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v>0</v>
      </c>
      <c r="CX67">
        <f>ROUND(Y67*Source!I383,9)</f>
        <v>0</v>
      </c>
      <c r="CY67">
        <f t="shared" si="18"/>
        <v>517.14</v>
      </c>
      <c r="CZ67">
        <f t="shared" si="19"/>
        <v>517.14</v>
      </c>
      <c r="DA67">
        <f t="shared" si="20"/>
        <v>1</v>
      </c>
      <c r="DB67">
        <f t="shared" si="21"/>
        <v>5274.83</v>
      </c>
      <c r="DC67">
        <f t="shared" si="22"/>
        <v>0</v>
      </c>
      <c r="DD67" t="s">
        <v>3</v>
      </c>
      <c r="DE67" t="s">
        <v>3</v>
      </c>
      <c r="DF67">
        <f>ROUND(ROUND(AE67,2)*CX67,2)</f>
        <v>0</v>
      </c>
      <c r="DG67">
        <f t="shared" si="15"/>
        <v>0</v>
      </c>
      <c r="DH67">
        <f t="shared" si="16"/>
        <v>0</v>
      </c>
      <c r="DI67">
        <f t="shared" si="24"/>
        <v>0</v>
      </c>
      <c r="DJ67">
        <f t="shared" si="23"/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ROW(Source!A384)</f>
        <v>384</v>
      </c>
      <c r="B68">
        <v>56610029</v>
      </c>
      <c r="C68">
        <v>56610920</v>
      </c>
      <c r="D68">
        <v>46725728</v>
      </c>
      <c r="E68">
        <v>1</v>
      </c>
      <c r="F68">
        <v>1</v>
      </c>
      <c r="G68">
        <v>27786564</v>
      </c>
      <c r="H68">
        <v>3</v>
      </c>
      <c r="I68" t="s">
        <v>301</v>
      </c>
      <c r="J68" t="s">
        <v>303</v>
      </c>
      <c r="K68" t="s">
        <v>302</v>
      </c>
      <c r="L68">
        <v>1339</v>
      </c>
      <c r="N68">
        <v>1007</v>
      </c>
      <c r="O68" t="s">
        <v>85</v>
      </c>
      <c r="P68" t="s">
        <v>85</v>
      </c>
      <c r="Q68">
        <v>1</v>
      </c>
      <c r="W68">
        <v>0</v>
      </c>
      <c r="X68">
        <v>-520181400</v>
      </c>
      <c r="Y68">
        <f t="shared" si="17"/>
        <v>10.199999999999999</v>
      </c>
      <c r="AA68">
        <v>5715.46</v>
      </c>
      <c r="AB68">
        <v>0</v>
      </c>
      <c r="AC68">
        <v>0</v>
      </c>
      <c r="AD68">
        <v>0</v>
      </c>
      <c r="AE68">
        <v>517.14</v>
      </c>
      <c r="AF68">
        <v>0</v>
      </c>
      <c r="AG68">
        <v>0</v>
      </c>
      <c r="AH68">
        <v>0</v>
      </c>
      <c r="AI68">
        <v>11.03</v>
      </c>
      <c r="AJ68">
        <v>1</v>
      </c>
      <c r="AK68">
        <v>1</v>
      </c>
      <c r="AL68">
        <v>1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 t="s">
        <v>3</v>
      </c>
      <c r="AT68">
        <v>10.199999999999999</v>
      </c>
      <c r="AU68" t="s">
        <v>3</v>
      </c>
      <c r="AV68">
        <v>0</v>
      </c>
      <c r="AW68">
        <v>1</v>
      </c>
      <c r="AX68">
        <v>-1</v>
      </c>
      <c r="AY68">
        <v>0</v>
      </c>
      <c r="AZ68">
        <v>0</v>
      </c>
      <c r="BA68" t="s">
        <v>3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ROUND(Y68*Source!I384,9)</f>
        <v>0</v>
      </c>
      <c r="CY68">
        <f t="shared" si="18"/>
        <v>5715.46</v>
      </c>
      <c r="CZ68">
        <f t="shared" si="19"/>
        <v>517.14</v>
      </c>
      <c r="DA68">
        <f t="shared" si="20"/>
        <v>11.03</v>
      </c>
      <c r="DB68">
        <f t="shared" si="21"/>
        <v>5274.83</v>
      </c>
      <c r="DC68">
        <f t="shared" si="22"/>
        <v>0</v>
      </c>
      <c r="DD68" t="s">
        <v>3</v>
      </c>
      <c r="DE68" t="s">
        <v>3</v>
      </c>
      <c r="DF68">
        <f>ROUND(ROUND(AE68*AI68,2)*CX68,2)</f>
        <v>0</v>
      </c>
      <c r="DG68">
        <f t="shared" si="15"/>
        <v>0</v>
      </c>
      <c r="DH68">
        <f t="shared" si="16"/>
        <v>0</v>
      </c>
      <c r="DI68">
        <f t="shared" si="24"/>
        <v>0</v>
      </c>
      <c r="DJ68">
        <f t="shared" si="23"/>
        <v>0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ROW(Source!A387)</f>
        <v>387</v>
      </c>
      <c r="B69">
        <v>56622490</v>
      </c>
      <c r="C69">
        <v>56610926</v>
      </c>
      <c r="D69">
        <v>46724065</v>
      </c>
      <c r="E69">
        <v>1</v>
      </c>
      <c r="F69">
        <v>1</v>
      </c>
      <c r="G69">
        <v>27786564</v>
      </c>
      <c r="H69">
        <v>3</v>
      </c>
      <c r="I69" t="s">
        <v>434</v>
      </c>
      <c r="J69" t="s">
        <v>436</v>
      </c>
      <c r="K69" t="s">
        <v>435</v>
      </c>
      <c r="L69">
        <v>1339</v>
      </c>
      <c r="N69">
        <v>1007</v>
      </c>
      <c r="O69" t="s">
        <v>85</v>
      </c>
      <c r="P69" t="s">
        <v>85</v>
      </c>
      <c r="Q69">
        <v>1</v>
      </c>
      <c r="W69">
        <v>0</v>
      </c>
      <c r="X69">
        <v>1202100556</v>
      </c>
      <c r="Y69">
        <f t="shared" si="17"/>
        <v>100</v>
      </c>
      <c r="AA69">
        <v>165.8</v>
      </c>
      <c r="AB69">
        <v>0</v>
      </c>
      <c r="AC69">
        <v>0</v>
      </c>
      <c r="AD69">
        <v>0</v>
      </c>
      <c r="AE69">
        <v>165.8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0</v>
      </c>
      <c r="AP69">
        <v>1</v>
      </c>
      <c r="AQ69">
        <v>0</v>
      </c>
      <c r="AR69">
        <v>0</v>
      </c>
      <c r="AS69" t="s">
        <v>3</v>
      </c>
      <c r="AT69">
        <v>100</v>
      </c>
      <c r="AU69" t="s">
        <v>3</v>
      </c>
      <c r="AV69">
        <v>0</v>
      </c>
      <c r="AW69">
        <v>1</v>
      </c>
      <c r="AX69">
        <v>-1</v>
      </c>
      <c r="AY69">
        <v>0</v>
      </c>
      <c r="AZ69">
        <v>0</v>
      </c>
      <c r="BA69" t="s">
        <v>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v>0</v>
      </c>
      <c r="CX69">
        <f>ROUND(Y69*Source!I387,9)</f>
        <v>0</v>
      </c>
      <c r="CY69">
        <f t="shared" si="18"/>
        <v>165.8</v>
      </c>
      <c r="CZ69">
        <f t="shared" si="19"/>
        <v>165.8</v>
      </c>
      <c r="DA69">
        <f t="shared" si="20"/>
        <v>1</v>
      </c>
      <c r="DB69">
        <f t="shared" si="21"/>
        <v>16580</v>
      </c>
      <c r="DC69">
        <f t="shared" si="22"/>
        <v>0</v>
      </c>
      <c r="DD69" t="s">
        <v>3</v>
      </c>
      <c r="DE69" t="s">
        <v>3</v>
      </c>
      <c r="DF69">
        <f>ROUND(ROUND(AE69,2)*CX69,2)</f>
        <v>0</v>
      </c>
      <c r="DG69">
        <f t="shared" si="15"/>
        <v>0</v>
      </c>
      <c r="DH69">
        <f t="shared" si="16"/>
        <v>0</v>
      </c>
      <c r="DI69">
        <f t="shared" si="24"/>
        <v>0</v>
      </c>
      <c r="DJ69">
        <f t="shared" si="23"/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ROW(Source!A388)</f>
        <v>388</v>
      </c>
      <c r="B70">
        <v>56610029</v>
      </c>
      <c r="C70">
        <v>56610926</v>
      </c>
      <c r="D70">
        <v>46724065</v>
      </c>
      <c r="E70">
        <v>1</v>
      </c>
      <c r="F70">
        <v>1</v>
      </c>
      <c r="G70">
        <v>27786564</v>
      </c>
      <c r="H70">
        <v>3</v>
      </c>
      <c r="I70" t="s">
        <v>434</v>
      </c>
      <c r="J70" t="s">
        <v>436</v>
      </c>
      <c r="K70" t="s">
        <v>435</v>
      </c>
      <c r="L70">
        <v>1339</v>
      </c>
      <c r="N70">
        <v>1007</v>
      </c>
      <c r="O70" t="s">
        <v>85</v>
      </c>
      <c r="P70" t="s">
        <v>85</v>
      </c>
      <c r="Q70">
        <v>1</v>
      </c>
      <c r="W70">
        <v>0</v>
      </c>
      <c r="X70">
        <v>1202100556</v>
      </c>
      <c r="Y70">
        <f t="shared" si="17"/>
        <v>100</v>
      </c>
      <c r="AA70">
        <v>2978.74</v>
      </c>
      <c r="AB70">
        <v>0</v>
      </c>
      <c r="AC70">
        <v>0</v>
      </c>
      <c r="AD70">
        <v>0</v>
      </c>
      <c r="AE70">
        <v>165.8</v>
      </c>
      <c r="AF70">
        <v>0</v>
      </c>
      <c r="AG70">
        <v>0</v>
      </c>
      <c r="AH70">
        <v>0</v>
      </c>
      <c r="AI70">
        <v>17.93</v>
      </c>
      <c r="AJ70">
        <v>1</v>
      </c>
      <c r="AK70">
        <v>1</v>
      </c>
      <c r="AL70">
        <v>1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 t="s">
        <v>3</v>
      </c>
      <c r="AT70">
        <v>100</v>
      </c>
      <c r="AU70" t="s">
        <v>3</v>
      </c>
      <c r="AV70">
        <v>0</v>
      </c>
      <c r="AW70">
        <v>1</v>
      </c>
      <c r="AX70">
        <v>-1</v>
      </c>
      <c r="AY70">
        <v>0</v>
      </c>
      <c r="AZ70">
        <v>0</v>
      </c>
      <c r="BA70" t="s">
        <v>3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ROUND(Y70*Source!I388,9)</f>
        <v>0</v>
      </c>
      <c r="CY70">
        <f t="shared" si="18"/>
        <v>2978.74</v>
      </c>
      <c r="CZ70">
        <f t="shared" si="19"/>
        <v>165.8</v>
      </c>
      <c r="DA70">
        <f t="shared" si="20"/>
        <v>17.93</v>
      </c>
      <c r="DB70">
        <f t="shared" si="21"/>
        <v>16580</v>
      </c>
      <c r="DC70">
        <f t="shared" si="22"/>
        <v>0</v>
      </c>
      <c r="DD70" t="s">
        <v>3</v>
      </c>
      <c r="DE70" t="s">
        <v>3</v>
      </c>
      <c r="DF70">
        <f>ROUND(ROUND(AE70*AI70,2)*CX70,2)</f>
        <v>0</v>
      </c>
      <c r="DG70">
        <f t="shared" si="15"/>
        <v>0</v>
      </c>
      <c r="DH70">
        <f t="shared" si="16"/>
        <v>0</v>
      </c>
      <c r="DI70">
        <f t="shared" si="24"/>
        <v>0</v>
      </c>
      <c r="DJ70">
        <f t="shared" si="23"/>
        <v>0</v>
      </c>
      <c r="DK70">
        <v>0</v>
      </c>
      <c r="DL70" t="s">
        <v>3</v>
      </c>
      <c r="DM70">
        <v>0</v>
      </c>
      <c r="DN70" t="s">
        <v>3</v>
      </c>
      <c r="DO7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B0D4-F280-48C5-A395-4612B84227C6}">
  <dimension ref="A1:AR66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56610496</v>
      </c>
      <c r="C1">
        <v>56610495</v>
      </c>
      <c r="D1">
        <v>47634407</v>
      </c>
      <c r="E1">
        <v>27786564</v>
      </c>
      <c r="F1">
        <v>1</v>
      </c>
      <c r="G1">
        <v>27786564</v>
      </c>
      <c r="H1">
        <v>1</v>
      </c>
      <c r="I1" t="s">
        <v>452</v>
      </c>
      <c r="J1" t="s">
        <v>3</v>
      </c>
      <c r="K1" t="s">
        <v>453</v>
      </c>
      <c r="L1">
        <v>1191</v>
      </c>
      <c r="N1">
        <v>1013</v>
      </c>
      <c r="O1" t="s">
        <v>454</v>
      </c>
      <c r="P1" t="s">
        <v>454</v>
      </c>
      <c r="Q1">
        <v>1</v>
      </c>
      <c r="X1">
        <v>192.7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22</v>
      </c>
      <c r="AG1">
        <v>202.33500000000001</v>
      </c>
      <c r="AH1">
        <v>3</v>
      </c>
      <c r="AI1">
        <v>-1</v>
      </c>
      <c r="AJ1" t="s">
        <v>3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ROW(Source!A29)</f>
        <v>29</v>
      </c>
      <c r="B2">
        <v>56610496</v>
      </c>
      <c r="C2">
        <v>56610495</v>
      </c>
      <c r="D2">
        <v>47634407</v>
      </c>
      <c r="E2">
        <v>27786564</v>
      </c>
      <c r="F2">
        <v>1</v>
      </c>
      <c r="G2">
        <v>27786564</v>
      </c>
      <c r="H2">
        <v>1</v>
      </c>
      <c r="I2" t="s">
        <v>452</v>
      </c>
      <c r="J2" t="s">
        <v>3</v>
      </c>
      <c r="K2" t="s">
        <v>453</v>
      </c>
      <c r="L2">
        <v>1191</v>
      </c>
      <c r="N2">
        <v>1013</v>
      </c>
      <c r="O2" t="s">
        <v>454</v>
      </c>
      <c r="P2" t="s">
        <v>454</v>
      </c>
      <c r="Q2">
        <v>1</v>
      </c>
      <c r="X2">
        <v>192.7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 t="s">
        <v>22</v>
      </c>
      <c r="AG2">
        <v>202.33500000000001</v>
      </c>
      <c r="AH2">
        <v>3</v>
      </c>
      <c r="AI2">
        <v>-1</v>
      </c>
      <c r="AJ2" t="s">
        <v>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ROW(Source!A30)</f>
        <v>30</v>
      </c>
      <c r="B3">
        <v>56610498</v>
      </c>
      <c r="C3">
        <v>56610497</v>
      </c>
      <c r="D3">
        <v>27731869</v>
      </c>
      <c r="E3">
        <v>27731863</v>
      </c>
      <c r="F3">
        <v>1</v>
      </c>
      <c r="G3">
        <v>27786564</v>
      </c>
      <c r="H3">
        <v>1</v>
      </c>
      <c r="I3" t="s">
        <v>452</v>
      </c>
      <c r="J3" t="s">
        <v>3</v>
      </c>
      <c r="K3" t="s">
        <v>453</v>
      </c>
      <c r="L3">
        <v>1191</v>
      </c>
      <c r="N3">
        <v>1013</v>
      </c>
      <c r="O3" t="s">
        <v>454</v>
      </c>
      <c r="P3" t="s">
        <v>454</v>
      </c>
      <c r="Q3">
        <v>1</v>
      </c>
      <c r="X3">
        <v>2.95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 t="s">
        <v>22</v>
      </c>
      <c r="AG3">
        <v>3.0975000000000001</v>
      </c>
      <c r="AH3">
        <v>3</v>
      </c>
      <c r="AI3">
        <v>-1</v>
      </c>
      <c r="AJ3" t="s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ROW(Source!A30)</f>
        <v>30</v>
      </c>
      <c r="B4">
        <v>56610499</v>
      </c>
      <c r="C4">
        <v>56610497</v>
      </c>
      <c r="D4">
        <v>27810822</v>
      </c>
      <c r="E4">
        <v>1</v>
      </c>
      <c r="F4">
        <v>1</v>
      </c>
      <c r="G4">
        <v>27786564</v>
      </c>
      <c r="H4">
        <v>2</v>
      </c>
      <c r="I4" t="s">
        <v>471</v>
      </c>
      <c r="J4" t="s">
        <v>472</v>
      </c>
      <c r="K4" t="s">
        <v>473</v>
      </c>
      <c r="L4">
        <v>1368</v>
      </c>
      <c r="N4">
        <v>1011</v>
      </c>
      <c r="O4" t="s">
        <v>458</v>
      </c>
      <c r="P4" t="s">
        <v>458</v>
      </c>
      <c r="Q4">
        <v>1</v>
      </c>
      <c r="X4">
        <v>7.4139999999999997</v>
      </c>
      <c r="Y4">
        <v>0</v>
      </c>
      <c r="Z4">
        <v>147.49</v>
      </c>
      <c r="AA4">
        <v>14.54</v>
      </c>
      <c r="AB4">
        <v>0</v>
      </c>
      <c r="AC4">
        <v>0</v>
      </c>
      <c r="AD4">
        <v>1</v>
      </c>
      <c r="AE4">
        <v>0</v>
      </c>
      <c r="AF4" t="s">
        <v>22</v>
      </c>
      <c r="AG4">
        <v>7.7847</v>
      </c>
      <c r="AH4">
        <v>3</v>
      </c>
      <c r="AI4">
        <v>-1</v>
      </c>
      <c r="AJ4" t="s">
        <v>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ROW(Source!A30)</f>
        <v>30</v>
      </c>
      <c r="B5">
        <v>56610500</v>
      </c>
      <c r="C5">
        <v>56610497</v>
      </c>
      <c r="D5">
        <v>27810834</v>
      </c>
      <c r="E5">
        <v>1</v>
      </c>
      <c r="F5">
        <v>1</v>
      </c>
      <c r="G5">
        <v>27786564</v>
      </c>
      <c r="H5">
        <v>2</v>
      </c>
      <c r="I5" t="s">
        <v>474</v>
      </c>
      <c r="J5" t="s">
        <v>475</v>
      </c>
      <c r="K5" t="s">
        <v>476</v>
      </c>
      <c r="L5">
        <v>1368</v>
      </c>
      <c r="N5">
        <v>1011</v>
      </c>
      <c r="O5" t="s">
        <v>458</v>
      </c>
      <c r="P5" t="s">
        <v>458</v>
      </c>
      <c r="Q5">
        <v>1</v>
      </c>
      <c r="X5">
        <v>1.6975</v>
      </c>
      <c r="Y5">
        <v>0</v>
      </c>
      <c r="Z5">
        <v>145.59</v>
      </c>
      <c r="AA5">
        <v>14.54</v>
      </c>
      <c r="AB5">
        <v>0</v>
      </c>
      <c r="AC5">
        <v>0</v>
      </c>
      <c r="AD5">
        <v>1</v>
      </c>
      <c r="AE5">
        <v>0</v>
      </c>
      <c r="AF5" t="s">
        <v>22</v>
      </c>
      <c r="AG5">
        <v>1.782375</v>
      </c>
      <c r="AH5">
        <v>3</v>
      </c>
      <c r="AI5">
        <v>-1</v>
      </c>
      <c r="AJ5" t="s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ROW(Source!A31)</f>
        <v>31</v>
      </c>
      <c r="B6">
        <v>56610498</v>
      </c>
      <c r="C6">
        <v>56610497</v>
      </c>
      <c r="D6">
        <v>27731869</v>
      </c>
      <c r="E6">
        <v>27731863</v>
      </c>
      <c r="F6">
        <v>1</v>
      </c>
      <c r="G6">
        <v>27786564</v>
      </c>
      <c r="H6">
        <v>1</v>
      </c>
      <c r="I6" t="s">
        <v>452</v>
      </c>
      <c r="J6" t="s">
        <v>3</v>
      </c>
      <c r="K6" t="s">
        <v>453</v>
      </c>
      <c r="L6">
        <v>1191</v>
      </c>
      <c r="N6">
        <v>1013</v>
      </c>
      <c r="O6" t="s">
        <v>454</v>
      </c>
      <c r="P6" t="s">
        <v>454</v>
      </c>
      <c r="Q6">
        <v>1</v>
      </c>
      <c r="X6">
        <v>2.95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22</v>
      </c>
      <c r="AG6">
        <v>3.0975000000000001</v>
      </c>
      <c r="AH6">
        <v>3</v>
      </c>
      <c r="AI6">
        <v>-1</v>
      </c>
      <c r="AJ6" t="s">
        <v>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ROW(Source!A31)</f>
        <v>31</v>
      </c>
      <c r="B7">
        <v>56610499</v>
      </c>
      <c r="C7">
        <v>56610497</v>
      </c>
      <c r="D7">
        <v>27810822</v>
      </c>
      <c r="E7">
        <v>1</v>
      </c>
      <c r="F7">
        <v>1</v>
      </c>
      <c r="G7">
        <v>27786564</v>
      </c>
      <c r="H7">
        <v>2</v>
      </c>
      <c r="I7" t="s">
        <v>471</v>
      </c>
      <c r="J7" t="s">
        <v>472</v>
      </c>
      <c r="K7" t="s">
        <v>473</v>
      </c>
      <c r="L7">
        <v>1368</v>
      </c>
      <c r="N7">
        <v>1011</v>
      </c>
      <c r="O7" t="s">
        <v>458</v>
      </c>
      <c r="P7" t="s">
        <v>458</v>
      </c>
      <c r="Q7">
        <v>1</v>
      </c>
      <c r="X7">
        <v>7.4139999999999997</v>
      </c>
      <c r="Y7">
        <v>0</v>
      </c>
      <c r="Z7">
        <v>147.49</v>
      </c>
      <c r="AA7">
        <v>14.54</v>
      </c>
      <c r="AB7">
        <v>0</v>
      </c>
      <c r="AC7">
        <v>0</v>
      </c>
      <c r="AD7">
        <v>1</v>
      </c>
      <c r="AE7">
        <v>0</v>
      </c>
      <c r="AF7" t="s">
        <v>22</v>
      </c>
      <c r="AG7">
        <v>7.7847</v>
      </c>
      <c r="AH7">
        <v>3</v>
      </c>
      <c r="AI7">
        <v>-1</v>
      </c>
      <c r="AJ7" t="s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ROW(Source!A31)</f>
        <v>31</v>
      </c>
      <c r="B8">
        <v>56610500</v>
      </c>
      <c r="C8">
        <v>56610497</v>
      </c>
      <c r="D8">
        <v>27810834</v>
      </c>
      <c r="E8">
        <v>1</v>
      </c>
      <c r="F8">
        <v>1</v>
      </c>
      <c r="G8">
        <v>27786564</v>
      </c>
      <c r="H8">
        <v>2</v>
      </c>
      <c r="I8" t="s">
        <v>474</v>
      </c>
      <c r="J8" t="s">
        <v>475</v>
      </c>
      <c r="K8" t="s">
        <v>476</v>
      </c>
      <c r="L8">
        <v>1368</v>
      </c>
      <c r="N8">
        <v>1011</v>
      </c>
      <c r="O8" t="s">
        <v>458</v>
      </c>
      <c r="P8" t="s">
        <v>458</v>
      </c>
      <c r="Q8">
        <v>1</v>
      </c>
      <c r="X8">
        <v>1.6975</v>
      </c>
      <c r="Y8">
        <v>0</v>
      </c>
      <c r="Z8">
        <v>145.59</v>
      </c>
      <c r="AA8">
        <v>14.54</v>
      </c>
      <c r="AB8">
        <v>0</v>
      </c>
      <c r="AC8">
        <v>0</v>
      </c>
      <c r="AD8">
        <v>1</v>
      </c>
      <c r="AE8">
        <v>0</v>
      </c>
      <c r="AF8" t="s">
        <v>22</v>
      </c>
      <c r="AG8">
        <v>1.782375</v>
      </c>
      <c r="AH8">
        <v>3</v>
      </c>
      <c r="AI8">
        <v>-1</v>
      </c>
      <c r="AJ8" t="s">
        <v>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ROW(Source!A32)</f>
        <v>32</v>
      </c>
      <c r="B9">
        <v>56610502</v>
      </c>
      <c r="C9">
        <v>56610501</v>
      </c>
      <c r="D9">
        <v>47634407</v>
      </c>
      <c r="E9">
        <v>27786564</v>
      </c>
      <c r="F9">
        <v>1</v>
      </c>
      <c r="G9">
        <v>27786564</v>
      </c>
      <c r="H9">
        <v>1</v>
      </c>
      <c r="I9" t="s">
        <v>452</v>
      </c>
      <c r="J9" t="s">
        <v>3</v>
      </c>
      <c r="K9" t="s">
        <v>453</v>
      </c>
      <c r="L9">
        <v>1191</v>
      </c>
      <c r="N9">
        <v>1013</v>
      </c>
      <c r="O9" t="s">
        <v>454</v>
      </c>
      <c r="P9" t="s">
        <v>454</v>
      </c>
      <c r="Q9">
        <v>1</v>
      </c>
      <c r="X9">
        <v>1.19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22</v>
      </c>
      <c r="AG9">
        <v>1.2495000000000001</v>
      </c>
      <c r="AH9">
        <v>3</v>
      </c>
      <c r="AI9">
        <v>-1</v>
      </c>
      <c r="AJ9" t="s">
        <v>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ROW(Source!A32)</f>
        <v>32</v>
      </c>
      <c r="B10">
        <v>56610503</v>
      </c>
      <c r="C10">
        <v>56610501</v>
      </c>
      <c r="D10">
        <v>47766391</v>
      </c>
      <c r="E10">
        <v>1</v>
      </c>
      <c r="F10">
        <v>1</v>
      </c>
      <c r="G10">
        <v>27786564</v>
      </c>
      <c r="H10">
        <v>2</v>
      </c>
      <c r="I10" t="s">
        <v>471</v>
      </c>
      <c r="J10" t="s">
        <v>472</v>
      </c>
      <c r="K10" t="s">
        <v>473</v>
      </c>
      <c r="L10">
        <v>1368</v>
      </c>
      <c r="N10">
        <v>1011</v>
      </c>
      <c r="O10" t="s">
        <v>458</v>
      </c>
      <c r="P10" t="s">
        <v>458</v>
      </c>
      <c r="Q10">
        <v>1</v>
      </c>
      <c r="X10">
        <v>6.3194999999999997</v>
      </c>
      <c r="Y10">
        <v>0</v>
      </c>
      <c r="Z10">
        <v>147.49</v>
      </c>
      <c r="AA10">
        <v>14.54</v>
      </c>
      <c r="AB10">
        <v>0</v>
      </c>
      <c r="AC10">
        <v>0</v>
      </c>
      <c r="AD10">
        <v>1</v>
      </c>
      <c r="AE10">
        <v>0</v>
      </c>
      <c r="AF10" t="s">
        <v>22</v>
      </c>
      <c r="AG10">
        <v>6.6354749999999996</v>
      </c>
      <c r="AH10">
        <v>3</v>
      </c>
      <c r="AI10">
        <v>-1</v>
      </c>
      <c r="AJ10" t="s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ROW(Source!A33)</f>
        <v>33</v>
      </c>
      <c r="B11">
        <v>56610502</v>
      </c>
      <c r="C11">
        <v>56610501</v>
      </c>
      <c r="D11">
        <v>47634407</v>
      </c>
      <c r="E11">
        <v>27786564</v>
      </c>
      <c r="F11">
        <v>1</v>
      </c>
      <c r="G11">
        <v>27786564</v>
      </c>
      <c r="H11">
        <v>1</v>
      </c>
      <c r="I11" t="s">
        <v>452</v>
      </c>
      <c r="J11" t="s">
        <v>3</v>
      </c>
      <c r="K11" t="s">
        <v>453</v>
      </c>
      <c r="L11">
        <v>1191</v>
      </c>
      <c r="N11">
        <v>1013</v>
      </c>
      <c r="O11" t="s">
        <v>454</v>
      </c>
      <c r="P11" t="s">
        <v>454</v>
      </c>
      <c r="Q11">
        <v>1</v>
      </c>
      <c r="X11">
        <v>1.19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22</v>
      </c>
      <c r="AG11">
        <v>1.2495000000000001</v>
      </c>
      <c r="AH11">
        <v>3</v>
      </c>
      <c r="AI11">
        <v>-1</v>
      </c>
      <c r="AJ11" t="s">
        <v>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ROW(Source!A33)</f>
        <v>33</v>
      </c>
      <c r="B12">
        <v>56610503</v>
      </c>
      <c r="C12">
        <v>56610501</v>
      </c>
      <c r="D12">
        <v>47766391</v>
      </c>
      <c r="E12">
        <v>1</v>
      </c>
      <c r="F12">
        <v>1</v>
      </c>
      <c r="G12">
        <v>27786564</v>
      </c>
      <c r="H12">
        <v>2</v>
      </c>
      <c r="I12" t="s">
        <v>471</v>
      </c>
      <c r="J12" t="s">
        <v>472</v>
      </c>
      <c r="K12" t="s">
        <v>473</v>
      </c>
      <c r="L12">
        <v>1368</v>
      </c>
      <c r="N12">
        <v>1011</v>
      </c>
      <c r="O12" t="s">
        <v>458</v>
      </c>
      <c r="P12" t="s">
        <v>458</v>
      </c>
      <c r="Q12">
        <v>1</v>
      </c>
      <c r="X12">
        <v>6.3194999999999997</v>
      </c>
      <c r="Y12">
        <v>0</v>
      </c>
      <c r="Z12">
        <v>147.49</v>
      </c>
      <c r="AA12">
        <v>14.54</v>
      </c>
      <c r="AB12">
        <v>0</v>
      </c>
      <c r="AC12">
        <v>0</v>
      </c>
      <c r="AD12">
        <v>1</v>
      </c>
      <c r="AE12">
        <v>0</v>
      </c>
      <c r="AF12" t="s">
        <v>22</v>
      </c>
      <c r="AG12">
        <v>6.6354749999999996</v>
      </c>
      <c r="AH12">
        <v>3</v>
      </c>
      <c r="AI12">
        <v>-1</v>
      </c>
      <c r="AJ12" t="s">
        <v>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ROW(Source!A34)</f>
        <v>34</v>
      </c>
      <c r="B13">
        <v>56610505</v>
      </c>
      <c r="C13">
        <v>56610504</v>
      </c>
      <c r="D13">
        <v>47634407</v>
      </c>
      <c r="E13">
        <v>27786564</v>
      </c>
      <c r="F13">
        <v>1</v>
      </c>
      <c r="G13">
        <v>27786564</v>
      </c>
      <c r="H13">
        <v>1</v>
      </c>
      <c r="I13" t="s">
        <v>452</v>
      </c>
      <c r="J13" t="s">
        <v>3</v>
      </c>
      <c r="K13" t="s">
        <v>453</v>
      </c>
      <c r="L13">
        <v>1191</v>
      </c>
      <c r="N13">
        <v>1013</v>
      </c>
      <c r="O13" t="s">
        <v>454</v>
      </c>
      <c r="P13" t="s">
        <v>454</v>
      </c>
      <c r="Q13">
        <v>1</v>
      </c>
      <c r="X13">
        <v>107.04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 t="s">
        <v>22</v>
      </c>
      <c r="AG13">
        <v>112.39200000000001</v>
      </c>
      <c r="AH13">
        <v>3</v>
      </c>
      <c r="AI13">
        <v>-1</v>
      </c>
      <c r="AJ13" t="s">
        <v>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ROW(Source!A35)</f>
        <v>35</v>
      </c>
      <c r="B14">
        <v>56610505</v>
      </c>
      <c r="C14">
        <v>56610504</v>
      </c>
      <c r="D14">
        <v>47634407</v>
      </c>
      <c r="E14">
        <v>27786564</v>
      </c>
      <c r="F14">
        <v>1</v>
      </c>
      <c r="G14">
        <v>27786564</v>
      </c>
      <c r="H14">
        <v>1</v>
      </c>
      <c r="I14" t="s">
        <v>452</v>
      </c>
      <c r="J14" t="s">
        <v>3</v>
      </c>
      <c r="K14" t="s">
        <v>453</v>
      </c>
      <c r="L14">
        <v>1191</v>
      </c>
      <c r="N14">
        <v>1013</v>
      </c>
      <c r="O14" t="s">
        <v>454</v>
      </c>
      <c r="P14" t="s">
        <v>454</v>
      </c>
      <c r="Q14">
        <v>1</v>
      </c>
      <c r="X14">
        <v>107.04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 t="s">
        <v>22</v>
      </c>
      <c r="AG14">
        <v>112.39200000000001</v>
      </c>
      <c r="AH14">
        <v>3</v>
      </c>
      <c r="AI14">
        <v>-1</v>
      </c>
      <c r="AJ14" t="s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ROW(Source!A36)</f>
        <v>36</v>
      </c>
      <c r="B15">
        <v>56610507</v>
      </c>
      <c r="C15">
        <v>56610506</v>
      </c>
      <c r="D15">
        <v>47766400</v>
      </c>
      <c r="E15">
        <v>1</v>
      </c>
      <c r="F15">
        <v>1</v>
      </c>
      <c r="G15">
        <v>27786564</v>
      </c>
      <c r="H15">
        <v>2</v>
      </c>
      <c r="I15" t="s">
        <v>474</v>
      </c>
      <c r="J15" t="s">
        <v>475</v>
      </c>
      <c r="K15" t="s">
        <v>476</v>
      </c>
      <c r="L15">
        <v>1368</v>
      </c>
      <c r="N15">
        <v>1011</v>
      </c>
      <c r="O15" t="s">
        <v>458</v>
      </c>
      <c r="P15" t="s">
        <v>458</v>
      </c>
      <c r="Q15">
        <v>1</v>
      </c>
      <c r="X15">
        <v>0.89300000000000002</v>
      </c>
      <c r="Y15">
        <v>0</v>
      </c>
      <c r="Z15">
        <v>145.59</v>
      </c>
      <c r="AA15">
        <v>14.54</v>
      </c>
      <c r="AB15">
        <v>0</v>
      </c>
      <c r="AC15">
        <v>0</v>
      </c>
      <c r="AD15">
        <v>1</v>
      </c>
      <c r="AE15">
        <v>0</v>
      </c>
      <c r="AF15" t="s">
        <v>22</v>
      </c>
      <c r="AG15">
        <v>0.93765000000000009</v>
      </c>
      <c r="AH15">
        <v>3</v>
      </c>
      <c r="AI15">
        <v>-1</v>
      </c>
      <c r="AJ15" t="s">
        <v>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ROW(Source!A37)</f>
        <v>37</v>
      </c>
      <c r="B16">
        <v>56610507</v>
      </c>
      <c r="C16">
        <v>56610506</v>
      </c>
      <c r="D16">
        <v>47766400</v>
      </c>
      <c r="E16">
        <v>1</v>
      </c>
      <c r="F16">
        <v>1</v>
      </c>
      <c r="G16">
        <v>27786564</v>
      </c>
      <c r="H16">
        <v>2</v>
      </c>
      <c r="I16" t="s">
        <v>474</v>
      </c>
      <c r="J16" t="s">
        <v>475</v>
      </c>
      <c r="K16" t="s">
        <v>476</v>
      </c>
      <c r="L16">
        <v>1368</v>
      </c>
      <c r="N16">
        <v>1011</v>
      </c>
      <c r="O16" t="s">
        <v>458</v>
      </c>
      <c r="P16" t="s">
        <v>458</v>
      </c>
      <c r="Q16">
        <v>1</v>
      </c>
      <c r="X16">
        <v>0.89300000000000002</v>
      </c>
      <c r="Y16">
        <v>0</v>
      </c>
      <c r="Z16">
        <v>145.59</v>
      </c>
      <c r="AA16">
        <v>14.54</v>
      </c>
      <c r="AB16">
        <v>0</v>
      </c>
      <c r="AC16">
        <v>0</v>
      </c>
      <c r="AD16">
        <v>1</v>
      </c>
      <c r="AE16">
        <v>0</v>
      </c>
      <c r="AF16" t="s">
        <v>22</v>
      </c>
      <c r="AG16">
        <v>0.93765000000000009</v>
      </c>
      <c r="AH16">
        <v>3</v>
      </c>
      <c r="AI16">
        <v>-1</v>
      </c>
      <c r="AJ16" t="s">
        <v>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ROW(Source!A38)</f>
        <v>38</v>
      </c>
      <c r="B17">
        <v>56610509</v>
      </c>
      <c r="C17">
        <v>56610508</v>
      </c>
      <c r="D17">
        <v>47634407</v>
      </c>
      <c r="E17">
        <v>27786564</v>
      </c>
      <c r="F17">
        <v>1</v>
      </c>
      <c r="G17">
        <v>27786564</v>
      </c>
      <c r="H17">
        <v>1</v>
      </c>
      <c r="I17" t="s">
        <v>452</v>
      </c>
      <c r="J17" t="s">
        <v>3</v>
      </c>
      <c r="K17" t="s">
        <v>453</v>
      </c>
      <c r="L17">
        <v>1191</v>
      </c>
      <c r="N17">
        <v>1013</v>
      </c>
      <c r="O17" t="s">
        <v>454</v>
      </c>
      <c r="P17" t="s">
        <v>454</v>
      </c>
      <c r="Q17">
        <v>1</v>
      </c>
      <c r="X17">
        <v>138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 t="s">
        <v>22</v>
      </c>
      <c r="AG17">
        <v>144.9</v>
      </c>
      <c r="AH17">
        <v>3</v>
      </c>
      <c r="AI17">
        <v>-1</v>
      </c>
      <c r="AJ17" t="s">
        <v>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ROW(Source!A38)</f>
        <v>38</v>
      </c>
      <c r="B18">
        <v>56610510</v>
      </c>
      <c r="C18">
        <v>56610508</v>
      </c>
      <c r="D18">
        <v>30395571</v>
      </c>
      <c r="E18">
        <v>1</v>
      </c>
      <c r="F18">
        <v>1</v>
      </c>
      <c r="G18">
        <v>27786564</v>
      </c>
      <c r="H18">
        <v>3</v>
      </c>
      <c r="I18" t="s">
        <v>55</v>
      </c>
      <c r="J18" t="s">
        <v>477</v>
      </c>
      <c r="K18" t="s">
        <v>478</v>
      </c>
      <c r="L18">
        <v>1301</v>
      </c>
      <c r="N18">
        <v>1003</v>
      </c>
      <c r="O18" t="s">
        <v>57</v>
      </c>
      <c r="P18" t="s">
        <v>57</v>
      </c>
      <c r="Q18">
        <v>1</v>
      </c>
      <c r="X18">
        <v>990</v>
      </c>
      <c r="Y18">
        <v>15.01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3</v>
      </c>
      <c r="AG18">
        <v>990</v>
      </c>
      <c r="AH18">
        <v>3</v>
      </c>
      <c r="AI18">
        <v>-1</v>
      </c>
      <c r="AJ18" t="s">
        <v>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ROW(Source!A38)</f>
        <v>38</v>
      </c>
      <c r="B19">
        <v>56610511</v>
      </c>
      <c r="C19">
        <v>56610508</v>
      </c>
      <c r="D19">
        <v>30395740</v>
      </c>
      <c r="E19">
        <v>1</v>
      </c>
      <c r="F19">
        <v>1</v>
      </c>
      <c r="G19">
        <v>27786564</v>
      </c>
      <c r="H19">
        <v>3</v>
      </c>
      <c r="I19" t="s">
        <v>479</v>
      </c>
      <c r="J19" t="s">
        <v>480</v>
      </c>
      <c r="K19" t="s">
        <v>481</v>
      </c>
      <c r="L19">
        <v>1358</v>
      </c>
      <c r="N19">
        <v>1010</v>
      </c>
      <c r="O19" t="s">
        <v>482</v>
      </c>
      <c r="P19" t="s">
        <v>482</v>
      </c>
      <c r="Q19">
        <v>10</v>
      </c>
      <c r="X19">
        <v>32</v>
      </c>
      <c r="Y19">
        <v>144.77000000000001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3</v>
      </c>
      <c r="AG19">
        <v>32</v>
      </c>
      <c r="AH19">
        <v>3</v>
      </c>
      <c r="AI19">
        <v>-1</v>
      </c>
      <c r="AJ19" t="s">
        <v>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ROW(Source!A38)</f>
        <v>38</v>
      </c>
      <c r="B20">
        <v>56610512</v>
      </c>
      <c r="C20">
        <v>56610508</v>
      </c>
      <c r="D20">
        <v>47634908</v>
      </c>
      <c r="E20">
        <v>27786564</v>
      </c>
      <c r="F20">
        <v>1</v>
      </c>
      <c r="G20">
        <v>27786564</v>
      </c>
      <c r="H20">
        <v>3</v>
      </c>
      <c r="I20" t="s">
        <v>483</v>
      </c>
      <c r="J20" t="s">
        <v>3</v>
      </c>
      <c r="K20" t="s">
        <v>484</v>
      </c>
      <c r="L20">
        <v>1344</v>
      </c>
      <c r="N20">
        <v>1008</v>
      </c>
      <c r="O20" t="s">
        <v>470</v>
      </c>
      <c r="P20" t="s">
        <v>470</v>
      </c>
      <c r="Q20">
        <v>1</v>
      </c>
      <c r="X20">
        <v>61.6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3</v>
      </c>
      <c r="AG20">
        <v>61.6</v>
      </c>
      <c r="AH20">
        <v>3</v>
      </c>
      <c r="AI20">
        <v>-1</v>
      </c>
      <c r="AJ20" t="s">
        <v>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ROW(Source!A39)</f>
        <v>39</v>
      </c>
      <c r="B21">
        <v>56610509</v>
      </c>
      <c r="C21">
        <v>56610508</v>
      </c>
      <c r="D21">
        <v>47634407</v>
      </c>
      <c r="E21">
        <v>27786564</v>
      </c>
      <c r="F21">
        <v>1</v>
      </c>
      <c r="G21">
        <v>27786564</v>
      </c>
      <c r="H21">
        <v>1</v>
      </c>
      <c r="I21" t="s">
        <v>452</v>
      </c>
      <c r="J21" t="s">
        <v>3</v>
      </c>
      <c r="K21" t="s">
        <v>453</v>
      </c>
      <c r="L21">
        <v>1191</v>
      </c>
      <c r="N21">
        <v>1013</v>
      </c>
      <c r="O21" t="s">
        <v>454</v>
      </c>
      <c r="P21" t="s">
        <v>454</v>
      </c>
      <c r="Q21">
        <v>1</v>
      </c>
      <c r="X21">
        <v>138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 t="s">
        <v>22</v>
      </c>
      <c r="AG21">
        <v>144.9</v>
      </c>
      <c r="AH21">
        <v>3</v>
      </c>
      <c r="AI21">
        <v>-1</v>
      </c>
      <c r="AJ21" t="s">
        <v>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ROW(Source!A39)</f>
        <v>39</v>
      </c>
      <c r="B22">
        <v>56610510</v>
      </c>
      <c r="C22">
        <v>56610508</v>
      </c>
      <c r="D22">
        <v>30395571</v>
      </c>
      <c r="E22">
        <v>1</v>
      </c>
      <c r="F22">
        <v>1</v>
      </c>
      <c r="G22">
        <v>27786564</v>
      </c>
      <c r="H22">
        <v>3</v>
      </c>
      <c r="I22" t="s">
        <v>55</v>
      </c>
      <c r="J22" t="s">
        <v>477</v>
      </c>
      <c r="K22" t="s">
        <v>478</v>
      </c>
      <c r="L22">
        <v>1301</v>
      </c>
      <c r="N22">
        <v>1003</v>
      </c>
      <c r="O22" t="s">
        <v>57</v>
      </c>
      <c r="P22" t="s">
        <v>57</v>
      </c>
      <c r="Q22">
        <v>1</v>
      </c>
      <c r="X22">
        <v>990</v>
      </c>
      <c r="Y22">
        <v>15.01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3</v>
      </c>
      <c r="AG22">
        <v>990</v>
      </c>
      <c r="AH22">
        <v>3</v>
      </c>
      <c r="AI22">
        <v>-1</v>
      </c>
      <c r="AJ22" t="s">
        <v>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ROW(Source!A39)</f>
        <v>39</v>
      </c>
      <c r="B23">
        <v>56610511</v>
      </c>
      <c r="C23">
        <v>56610508</v>
      </c>
      <c r="D23">
        <v>30395740</v>
      </c>
      <c r="E23">
        <v>1</v>
      </c>
      <c r="F23">
        <v>1</v>
      </c>
      <c r="G23">
        <v>27786564</v>
      </c>
      <c r="H23">
        <v>3</v>
      </c>
      <c r="I23" t="s">
        <v>479</v>
      </c>
      <c r="J23" t="s">
        <v>480</v>
      </c>
      <c r="K23" t="s">
        <v>481</v>
      </c>
      <c r="L23">
        <v>1358</v>
      </c>
      <c r="N23">
        <v>1010</v>
      </c>
      <c r="O23" t="s">
        <v>482</v>
      </c>
      <c r="P23" t="s">
        <v>482</v>
      </c>
      <c r="Q23">
        <v>10</v>
      </c>
      <c r="X23">
        <v>32</v>
      </c>
      <c r="Y23">
        <v>144.77000000000001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3</v>
      </c>
      <c r="AG23">
        <v>32</v>
      </c>
      <c r="AH23">
        <v>3</v>
      </c>
      <c r="AI23">
        <v>-1</v>
      </c>
      <c r="AJ23" t="s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ROW(Source!A39)</f>
        <v>39</v>
      </c>
      <c r="B24">
        <v>56610512</v>
      </c>
      <c r="C24">
        <v>56610508</v>
      </c>
      <c r="D24">
        <v>47634908</v>
      </c>
      <c r="E24">
        <v>27786564</v>
      </c>
      <c r="F24">
        <v>1</v>
      </c>
      <c r="G24">
        <v>27786564</v>
      </c>
      <c r="H24">
        <v>3</v>
      </c>
      <c r="I24" t="s">
        <v>483</v>
      </c>
      <c r="J24" t="s">
        <v>3</v>
      </c>
      <c r="K24" t="s">
        <v>484</v>
      </c>
      <c r="L24">
        <v>1344</v>
      </c>
      <c r="N24">
        <v>1008</v>
      </c>
      <c r="O24" t="s">
        <v>470</v>
      </c>
      <c r="P24" t="s">
        <v>470</v>
      </c>
      <c r="Q24">
        <v>1</v>
      </c>
      <c r="X24">
        <v>61.6</v>
      </c>
      <c r="Y24">
        <v>1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3</v>
      </c>
      <c r="AG24">
        <v>61.6</v>
      </c>
      <c r="AH24">
        <v>3</v>
      </c>
      <c r="AI24">
        <v>-1</v>
      </c>
      <c r="AJ24" t="s">
        <v>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ROW(Source!A44)</f>
        <v>44</v>
      </c>
      <c r="B25">
        <v>56610516</v>
      </c>
      <c r="C25">
        <v>56610515</v>
      </c>
      <c r="D25">
        <v>47634407</v>
      </c>
      <c r="E25">
        <v>27786564</v>
      </c>
      <c r="F25">
        <v>1</v>
      </c>
      <c r="G25">
        <v>27786564</v>
      </c>
      <c r="H25">
        <v>1</v>
      </c>
      <c r="I25" t="s">
        <v>452</v>
      </c>
      <c r="J25" t="s">
        <v>3</v>
      </c>
      <c r="K25" t="s">
        <v>453</v>
      </c>
      <c r="L25">
        <v>1191</v>
      </c>
      <c r="N25">
        <v>1013</v>
      </c>
      <c r="O25" t="s">
        <v>454</v>
      </c>
      <c r="P25" t="s">
        <v>454</v>
      </c>
      <c r="Q25">
        <v>1</v>
      </c>
      <c r="X25">
        <v>147.85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 t="s">
        <v>22</v>
      </c>
      <c r="AG25">
        <v>155.24250000000001</v>
      </c>
      <c r="AH25">
        <v>3</v>
      </c>
      <c r="AI25">
        <v>-1</v>
      </c>
      <c r="AJ25" t="s">
        <v>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ROW(Source!A44)</f>
        <v>44</v>
      </c>
      <c r="B26">
        <v>56610517</v>
      </c>
      <c r="C26">
        <v>56610515</v>
      </c>
      <c r="D26">
        <v>47767124</v>
      </c>
      <c r="E26">
        <v>1</v>
      </c>
      <c r="F26">
        <v>1</v>
      </c>
      <c r="G26">
        <v>27786564</v>
      </c>
      <c r="H26">
        <v>2</v>
      </c>
      <c r="I26" t="s">
        <v>485</v>
      </c>
      <c r="J26" t="s">
        <v>486</v>
      </c>
      <c r="K26" t="s">
        <v>487</v>
      </c>
      <c r="L26">
        <v>1368</v>
      </c>
      <c r="N26">
        <v>1011</v>
      </c>
      <c r="O26" t="s">
        <v>458</v>
      </c>
      <c r="P26" t="s">
        <v>458</v>
      </c>
      <c r="Q26">
        <v>1</v>
      </c>
      <c r="X26">
        <v>0.73</v>
      </c>
      <c r="Y26">
        <v>0</v>
      </c>
      <c r="Z26">
        <v>15.54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22</v>
      </c>
      <c r="AG26">
        <v>0.76649999999999996</v>
      </c>
      <c r="AH26">
        <v>3</v>
      </c>
      <c r="AI26">
        <v>-1</v>
      </c>
      <c r="AJ26" t="s">
        <v>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ROW(Source!A44)</f>
        <v>44</v>
      </c>
      <c r="B27">
        <v>56610518</v>
      </c>
      <c r="C27">
        <v>56610515</v>
      </c>
      <c r="D27">
        <v>47767126</v>
      </c>
      <c r="E27">
        <v>1</v>
      </c>
      <c r="F27">
        <v>1</v>
      </c>
      <c r="G27">
        <v>27786564</v>
      </c>
      <c r="H27">
        <v>2</v>
      </c>
      <c r="I27" t="s">
        <v>488</v>
      </c>
      <c r="J27" t="s">
        <v>489</v>
      </c>
      <c r="K27" t="s">
        <v>490</v>
      </c>
      <c r="L27">
        <v>1368</v>
      </c>
      <c r="N27">
        <v>1011</v>
      </c>
      <c r="O27" t="s">
        <v>458</v>
      </c>
      <c r="P27" t="s">
        <v>458</v>
      </c>
      <c r="Q27">
        <v>1</v>
      </c>
      <c r="X27">
        <v>0.73</v>
      </c>
      <c r="Y27">
        <v>0</v>
      </c>
      <c r="Z27">
        <v>81.150000000000006</v>
      </c>
      <c r="AA27">
        <v>14.54</v>
      </c>
      <c r="AB27">
        <v>0</v>
      </c>
      <c r="AC27">
        <v>0</v>
      </c>
      <c r="AD27">
        <v>1</v>
      </c>
      <c r="AE27">
        <v>0</v>
      </c>
      <c r="AF27" t="s">
        <v>22</v>
      </c>
      <c r="AG27">
        <v>0.76649999999999996</v>
      </c>
      <c r="AH27">
        <v>3</v>
      </c>
      <c r="AI27">
        <v>-1</v>
      </c>
      <c r="AJ27" t="s">
        <v>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ROW(Source!A44)</f>
        <v>44</v>
      </c>
      <c r="B28">
        <v>56610519</v>
      </c>
      <c r="C28">
        <v>56610515</v>
      </c>
      <c r="D28">
        <v>47766454</v>
      </c>
      <c r="E28">
        <v>1</v>
      </c>
      <c r="F28">
        <v>1</v>
      </c>
      <c r="G28">
        <v>27786564</v>
      </c>
      <c r="H28">
        <v>2</v>
      </c>
      <c r="I28" t="s">
        <v>491</v>
      </c>
      <c r="J28" t="s">
        <v>492</v>
      </c>
      <c r="K28" t="s">
        <v>493</v>
      </c>
      <c r="L28">
        <v>1368</v>
      </c>
      <c r="N28">
        <v>1011</v>
      </c>
      <c r="O28" t="s">
        <v>458</v>
      </c>
      <c r="P28" t="s">
        <v>458</v>
      </c>
      <c r="Q28">
        <v>1</v>
      </c>
      <c r="X28">
        <v>1.05</v>
      </c>
      <c r="Y28">
        <v>0</v>
      </c>
      <c r="Z28">
        <v>179.17</v>
      </c>
      <c r="AA28">
        <v>16.93</v>
      </c>
      <c r="AB28">
        <v>0</v>
      </c>
      <c r="AC28">
        <v>0</v>
      </c>
      <c r="AD28">
        <v>1</v>
      </c>
      <c r="AE28">
        <v>0</v>
      </c>
      <c r="AF28" t="s">
        <v>22</v>
      </c>
      <c r="AG28">
        <v>1.1025</v>
      </c>
      <c r="AH28">
        <v>3</v>
      </c>
      <c r="AI28">
        <v>-1</v>
      </c>
      <c r="AJ28" t="s">
        <v>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ROW(Source!A44)</f>
        <v>44</v>
      </c>
      <c r="B29">
        <v>56610520</v>
      </c>
      <c r="C29">
        <v>56610515</v>
      </c>
      <c r="D29">
        <v>30365725</v>
      </c>
      <c r="E29">
        <v>27786564</v>
      </c>
      <c r="F29">
        <v>1</v>
      </c>
      <c r="G29">
        <v>27786564</v>
      </c>
      <c r="H29">
        <v>3</v>
      </c>
      <c r="I29" t="s">
        <v>494</v>
      </c>
      <c r="J29" t="s">
        <v>3</v>
      </c>
      <c r="K29" t="s">
        <v>495</v>
      </c>
      <c r="L29">
        <v>1301</v>
      </c>
      <c r="N29">
        <v>1003</v>
      </c>
      <c r="O29" t="s">
        <v>57</v>
      </c>
      <c r="P29" t="s">
        <v>57</v>
      </c>
      <c r="Q29">
        <v>1</v>
      </c>
      <c r="X29">
        <v>1025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3</v>
      </c>
      <c r="AG29">
        <v>1025</v>
      </c>
      <c r="AH29">
        <v>3</v>
      </c>
      <c r="AI29">
        <v>-1</v>
      </c>
      <c r="AJ29" t="s">
        <v>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ROW(Source!A45)</f>
        <v>45</v>
      </c>
      <c r="B30">
        <v>56610516</v>
      </c>
      <c r="C30">
        <v>56610515</v>
      </c>
      <c r="D30">
        <v>47634407</v>
      </c>
      <c r="E30">
        <v>27786564</v>
      </c>
      <c r="F30">
        <v>1</v>
      </c>
      <c r="G30">
        <v>27786564</v>
      </c>
      <c r="H30">
        <v>1</v>
      </c>
      <c r="I30" t="s">
        <v>452</v>
      </c>
      <c r="J30" t="s">
        <v>3</v>
      </c>
      <c r="K30" t="s">
        <v>453</v>
      </c>
      <c r="L30">
        <v>1191</v>
      </c>
      <c r="N30">
        <v>1013</v>
      </c>
      <c r="O30" t="s">
        <v>454</v>
      </c>
      <c r="P30" t="s">
        <v>454</v>
      </c>
      <c r="Q30">
        <v>1</v>
      </c>
      <c r="X30">
        <v>147.85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1</v>
      </c>
      <c r="AF30" t="s">
        <v>22</v>
      </c>
      <c r="AG30">
        <v>155.24250000000001</v>
      </c>
      <c r="AH30">
        <v>3</v>
      </c>
      <c r="AI30">
        <v>-1</v>
      </c>
      <c r="AJ30" t="s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ROW(Source!A45)</f>
        <v>45</v>
      </c>
      <c r="B31">
        <v>56610517</v>
      </c>
      <c r="C31">
        <v>56610515</v>
      </c>
      <c r="D31">
        <v>47767124</v>
      </c>
      <c r="E31">
        <v>1</v>
      </c>
      <c r="F31">
        <v>1</v>
      </c>
      <c r="G31">
        <v>27786564</v>
      </c>
      <c r="H31">
        <v>2</v>
      </c>
      <c r="I31" t="s">
        <v>485</v>
      </c>
      <c r="J31" t="s">
        <v>486</v>
      </c>
      <c r="K31" t="s">
        <v>487</v>
      </c>
      <c r="L31">
        <v>1368</v>
      </c>
      <c r="N31">
        <v>1011</v>
      </c>
      <c r="O31" t="s">
        <v>458</v>
      </c>
      <c r="P31" t="s">
        <v>458</v>
      </c>
      <c r="Q31">
        <v>1</v>
      </c>
      <c r="X31">
        <v>0.73</v>
      </c>
      <c r="Y31">
        <v>0</v>
      </c>
      <c r="Z31">
        <v>15.54</v>
      </c>
      <c r="AA31">
        <v>0</v>
      </c>
      <c r="AB31">
        <v>0</v>
      </c>
      <c r="AC31">
        <v>0</v>
      </c>
      <c r="AD31">
        <v>1</v>
      </c>
      <c r="AE31">
        <v>0</v>
      </c>
      <c r="AF31" t="s">
        <v>22</v>
      </c>
      <c r="AG31">
        <v>0.76649999999999996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ROW(Source!A45)</f>
        <v>45</v>
      </c>
      <c r="B32">
        <v>56610518</v>
      </c>
      <c r="C32">
        <v>56610515</v>
      </c>
      <c r="D32">
        <v>47767126</v>
      </c>
      <c r="E32">
        <v>1</v>
      </c>
      <c r="F32">
        <v>1</v>
      </c>
      <c r="G32">
        <v>27786564</v>
      </c>
      <c r="H32">
        <v>2</v>
      </c>
      <c r="I32" t="s">
        <v>488</v>
      </c>
      <c r="J32" t="s">
        <v>489</v>
      </c>
      <c r="K32" t="s">
        <v>490</v>
      </c>
      <c r="L32">
        <v>1368</v>
      </c>
      <c r="N32">
        <v>1011</v>
      </c>
      <c r="O32" t="s">
        <v>458</v>
      </c>
      <c r="P32" t="s">
        <v>458</v>
      </c>
      <c r="Q32">
        <v>1</v>
      </c>
      <c r="X32">
        <v>0.73</v>
      </c>
      <c r="Y32">
        <v>0</v>
      </c>
      <c r="Z32">
        <v>81.150000000000006</v>
      </c>
      <c r="AA32">
        <v>14.54</v>
      </c>
      <c r="AB32">
        <v>0</v>
      </c>
      <c r="AC32">
        <v>0</v>
      </c>
      <c r="AD32">
        <v>1</v>
      </c>
      <c r="AE32">
        <v>0</v>
      </c>
      <c r="AF32" t="s">
        <v>22</v>
      </c>
      <c r="AG32">
        <v>0.76649999999999996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ROW(Source!A45)</f>
        <v>45</v>
      </c>
      <c r="B33">
        <v>56610519</v>
      </c>
      <c r="C33">
        <v>56610515</v>
      </c>
      <c r="D33">
        <v>47766454</v>
      </c>
      <c r="E33">
        <v>1</v>
      </c>
      <c r="F33">
        <v>1</v>
      </c>
      <c r="G33">
        <v>27786564</v>
      </c>
      <c r="H33">
        <v>2</v>
      </c>
      <c r="I33" t="s">
        <v>491</v>
      </c>
      <c r="J33" t="s">
        <v>492</v>
      </c>
      <c r="K33" t="s">
        <v>493</v>
      </c>
      <c r="L33">
        <v>1368</v>
      </c>
      <c r="N33">
        <v>1011</v>
      </c>
      <c r="O33" t="s">
        <v>458</v>
      </c>
      <c r="P33" t="s">
        <v>458</v>
      </c>
      <c r="Q33">
        <v>1</v>
      </c>
      <c r="X33">
        <v>1.05</v>
      </c>
      <c r="Y33">
        <v>0</v>
      </c>
      <c r="Z33">
        <v>179.17</v>
      </c>
      <c r="AA33">
        <v>16.93</v>
      </c>
      <c r="AB33">
        <v>0</v>
      </c>
      <c r="AC33">
        <v>0</v>
      </c>
      <c r="AD33">
        <v>1</v>
      </c>
      <c r="AE33">
        <v>0</v>
      </c>
      <c r="AF33" t="s">
        <v>22</v>
      </c>
      <c r="AG33">
        <v>1.1025</v>
      </c>
      <c r="AH33">
        <v>3</v>
      </c>
      <c r="AI33">
        <v>-1</v>
      </c>
      <c r="AJ33" t="s">
        <v>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ROW(Source!A45)</f>
        <v>45</v>
      </c>
      <c r="B34">
        <v>56610520</v>
      </c>
      <c r="C34">
        <v>56610515</v>
      </c>
      <c r="D34">
        <v>30365725</v>
      </c>
      <c r="E34">
        <v>27786564</v>
      </c>
      <c r="F34">
        <v>1</v>
      </c>
      <c r="G34">
        <v>27786564</v>
      </c>
      <c r="H34">
        <v>3</v>
      </c>
      <c r="I34" t="s">
        <v>494</v>
      </c>
      <c r="J34" t="s">
        <v>3</v>
      </c>
      <c r="K34" t="s">
        <v>495</v>
      </c>
      <c r="L34">
        <v>1301</v>
      </c>
      <c r="N34">
        <v>1003</v>
      </c>
      <c r="O34" t="s">
        <v>57</v>
      </c>
      <c r="P34" t="s">
        <v>57</v>
      </c>
      <c r="Q34">
        <v>1</v>
      </c>
      <c r="X34">
        <v>1025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3</v>
      </c>
      <c r="AG34">
        <v>1025</v>
      </c>
      <c r="AH34">
        <v>3</v>
      </c>
      <c r="AI34">
        <v>-1</v>
      </c>
      <c r="AJ34" t="s">
        <v>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ROW(Source!A46)</f>
        <v>46</v>
      </c>
      <c r="B35">
        <v>56610522</v>
      </c>
      <c r="C35">
        <v>56610521</v>
      </c>
      <c r="D35">
        <v>47634407</v>
      </c>
      <c r="E35">
        <v>27786564</v>
      </c>
      <c r="F35">
        <v>1</v>
      </c>
      <c r="G35">
        <v>27786564</v>
      </c>
      <c r="H35">
        <v>1</v>
      </c>
      <c r="I35" t="s">
        <v>452</v>
      </c>
      <c r="J35" t="s">
        <v>3</v>
      </c>
      <c r="K35" t="s">
        <v>453</v>
      </c>
      <c r="L35">
        <v>1191</v>
      </c>
      <c r="N35">
        <v>1013</v>
      </c>
      <c r="O35" t="s">
        <v>454</v>
      </c>
      <c r="P35" t="s">
        <v>454</v>
      </c>
      <c r="Q35">
        <v>1</v>
      </c>
      <c r="X35">
        <v>107.8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 t="s">
        <v>22</v>
      </c>
      <c r="AG35">
        <v>113.19</v>
      </c>
      <c r="AH35">
        <v>3</v>
      </c>
      <c r="AI35">
        <v>-1</v>
      </c>
      <c r="AJ35" t="s">
        <v>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ROW(Source!A46)</f>
        <v>46</v>
      </c>
      <c r="B36">
        <v>56610523</v>
      </c>
      <c r="C36">
        <v>56610521</v>
      </c>
      <c r="D36">
        <v>47767124</v>
      </c>
      <c r="E36">
        <v>1</v>
      </c>
      <c r="F36">
        <v>1</v>
      </c>
      <c r="G36">
        <v>27786564</v>
      </c>
      <c r="H36">
        <v>2</v>
      </c>
      <c r="I36" t="s">
        <v>485</v>
      </c>
      <c r="J36" t="s">
        <v>486</v>
      </c>
      <c r="K36" t="s">
        <v>487</v>
      </c>
      <c r="L36">
        <v>1368</v>
      </c>
      <c r="N36">
        <v>1011</v>
      </c>
      <c r="O36" t="s">
        <v>458</v>
      </c>
      <c r="P36" t="s">
        <v>458</v>
      </c>
      <c r="Q36">
        <v>1</v>
      </c>
      <c r="X36">
        <v>0.72</v>
      </c>
      <c r="Y36">
        <v>0</v>
      </c>
      <c r="Z36">
        <v>15.54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22</v>
      </c>
      <c r="AG36">
        <v>0.75600000000000001</v>
      </c>
      <c r="AH36">
        <v>3</v>
      </c>
      <c r="AI36">
        <v>-1</v>
      </c>
      <c r="AJ36" t="s">
        <v>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ROW(Source!A46)</f>
        <v>46</v>
      </c>
      <c r="B37">
        <v>56610524</v>
      </c>
      <c r="C37">
        <v>56610521</v>
      </c>
      <c r="D37">
        <v>47767126</v>
      </c>
      <c r="E37">
        <v>1</v>
      </c>
      <c r="F37">
        <v>1</v>
      </c>
      <c r="G37">
        <v>27786564</v>
      </c>
      <c r="H37">
        <v>2</v>
      </c>
      <c r="I37" t="s">
        <v>488</v>
      </c>
      <c r="J37" t="s">
        <v>489</v>
      </c>
      <c r="K37" t="s">
        <v>490</v>
      </c>
      <c r="L37">
        <v>1368</v>
      </c>
      <c r="N37">
        <v>1011</v>
      </c>
      <c r="O37" t="s">
        <v>458</v>
      </c>
      <c r="P37" t="s">
        <v>458</v>
      </c>
      <c r="Q37">
        <v>1</v>
      </c>
      <c r="X37">
        <v>0.72</v>
      </c>
      <c r="Y37">
        <v>0</v>
      </c>
      <c r="Z37">
        <v>81.150000000000006</v>
      </c>
      <c r="AA37">
        <v>14.54</v>
      </c>
      <c r="AB37">
        <v>0</v>
      </c>
      <c r="AC37">
        <v>0</v>
      </c>
      <c r="AD37">
        <v>1</v>
      </c>
      <c r="AE37">
        <v>0</v>
      </c>
      <c r="AF37" t="s">
        <v>22</v>
      </c>
      <c r="AG37">
        <v>0.75600000000000001</v>
      </c>
      <c r="AH37">
        <v>3</v>
      </c>
      <c r="AI37">
        <v>-1</v>
      </c>
      <c r="AJ37" t="s">
        <v>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ROW(Source!A46)</f>
        <v>46</v>
      </c>
      <c r="B38">
        <v>56610525</v>
      </c>
      <c r="C38">
        <v>56610521</v>
      </c>
      <c r="D38">
        <v>47766454</v>
      </c>
      <c r="E38">
        <v>1</v>
      </c>
      <c r="F38">
        <v>1</v>
      </c>
      <c r="G38">
        <v>27786564</v>
      </c>
      <c r="H38">
        <v>2</v>
      </c>
      <c r="I38" t="s">
        <v>491</v>
      </c>
      <c r="J38" t="s">
        <v>492</v>
      </c>
      <c r="K38" t="s">
        <v>493</v>
      </c>
      <c r="L38">
        <v>1368</v>
      </c>
      <c r="N38">
        <v>1011</v>
      </c>
      <c r="O38" t="s">
        <v>458</v>
      </c>
      <c r="P38" t="s">
        <v>458</v>
      </c>
      <c r="Q38">
        <v>1</v>
      </c>
      <c r="X38">
        <v>1.04</v>
      </c>
      <c r="Y38">
        <v>0</v>
      </c>
      <c r="Z38">
        <v>179.17</v>
      </c>
      <c r="AA38">
        <v>16.93</v>
      </c>
      <c r="AB38">
        <v>0</v>
      </c>
      <c r="AC38">
        <v>0</v>
      </c>
      <c r="AD38">
        <v>1</v>
      </c>
      <c r="AE38">
        <v>0</v>
      </c>
      <c r="AF38" t="s">
        <v>22</v>
      </c>
      <c r="AG38">
        <v>1.0920000000000001</v>
      </c>
      <c r="AH38">
        <v>3</v>
      </c>
      <c r="AI38">
        <v>-1</v>
      </c>
      <c r="AJ38" t="s">
        <v>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ROW(Source!A46)</f>
        <v>46</v>
      </c>
      <c r="B39">
        <v>56610526</v>
      </c>
      <c r="C39">
        <v>56610521</v>
      </c>
      <c r="D39">
        <v>47634960</v>
      </c>
      <c r="E39">
        <v>27786564</v>
      </c>
      <c r="F39">
        <v>1</v>
      </c>
      <c r="G39">
        <v>27786564</v>
      </c>
      <c r="H39">
        <v>2</v>
      </c>
      <c r="I39" t="s">
        <v>468</v>
      </c>
      <c r="J39" t="s">
        <v>3</v>
      </c>
      <c r="K39" t="s">
        <v>469</v>
      </c>
      <c r="L39">
        <v>1344</v>
      </c>
      <c r="N39">
        <v>1008</v>
      </c>
      <c r="O39" t="s">
        <v>470</v>
      </c>
      <c r="P39" t="s">
        <v>470</v>
      </c>
      <c r="Q39">
        <v>1</v>
      </c>
      <c r="X39">
        <v>0.02</v>
      </c>
      <c r="Y39">
        <v>0</v>
      </c>
      <c r="Z39">
        <v>1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22</v>
      </c>
      <c r="AG39">
        <v>2.1000000000000001E-2</v>
      </c>
      <c r="AH39">
        <v>3</v>
      </c>
      <c r="AI39">
        <v>-1</v>
      </c>
      <c r="AJ39" t="s">
        <v>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ROW(Source!A46)</f>
        <v>46</v>
      </c>
      <c r="B40">
        <v>56610527</v>
      </c>
      <c r="C40">
        <v>56610521</v>
      </c>
      <c r="D40">
        <v>30365725</v>
      </c>
      <c r="E40">
        <v>27786564</v>
      </c>
      <c r="F40">
        <v>1</v>
      </c>
      <c r="G40">
        <v>27786564</v>
      </c>
      <c r="H40">
        <v>3</v>
      </c>
      <c r="I40" t="s">
        <v>494</v>
      </c>
      <c r="J40" t="s">
        <v>3</v>
      </c>
      <c r="K40" t="s">
        <v>495</v>
      </c>
      <c r="L40">
        <v>1301</v>
      </c>
      <c r="N40">
        <v>1003</v>
      </c>
      <c r="O40" t="s">
        <v>57</v>
      </c>
      <c r="P40" t="s">
        <v>57</v>
      </c>
      <c r="Q40">
        <v>1</v>
      </c>
      <c r="X40">
        <v>1025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3</v>
      </c>
      <c r="AG40">
        <v>1025</v>
      </c>
      <c r="AH40">
        <v>3</v>
      </c>
      <c r="AI40">
        <v>-1</v>
      </c>
      <c r="AJ40" t="s">
        <v>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ROW(Source!A47)</f>
        <v>47</v>
      </c>
      <c r="B41">
        <v>56610522</v>
      </c>
      <c r="C41">
        <v>56610521</v>
      </c>
      <c r="D41">
        <v>47634407</v>
      </c>
      <c r="E41">
        <v>27786564</v>
      </c>
      <c r="F41">
        <v>1</v>
      </c>
      <c r="G41">
        <v>27786564</v>
      </c>
      <c r="H41">
        <v>1</v>
      </c>
      <c r="I41" t="s">
        <v>452</v>
      </c>
      <c r="J41" t="s">
        <v>3</v>
      </c>
      <c r="K41" t="s">
        <v>453</v>
      </c>
      <c r="L41">
        <v>1191</v>
      </c>
      <c r="N41">
        <v>1013</v>
      </c>
      <c r="O41" t="s">
        <v>454</v>
      </c>
      <c r="P41" t="s">
        <v>454</v>
      </c>
      <c r="Q41">
        <v>1</v>
      </c>
      <c r="X41">
        <v>107.8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1</v>
      </c>
      <c r="AF41" t="s">
        <v>22</v>
      </c>
      <c r="AG41">
        <v>113.19</v>
      </c>
      <c r="AH41">
        <v>3</v>
      </c>
      <c r="AI41">
        <v>-1</v>
      </c>
      <c r="AJ41" t="s">
        <v>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ROW(Source!A47)</f>
        <v>47</v>
      </c>
      <c r="B42">
        <v>56610523</v>
      </c>
      <c r="C42">
        <v>56610521</v>
      </c>
      <c r="D42">
        <v>47767124</v>
      </c>
      <c r="E42">
        <v>1</v>
      </c>
      <c r="F42">
        <v>1</v>
      </c>
      <c r="G42">
        <v>27786564</v>
      </c>
      <c r="H42">
        <v>2</v>
      </c>
      <c r="I42" t="s">
        <v>485</v>
      </c>
      <c r="J42" t="s">
        <v>486</v>
      </c>
      <c r="K42" t="s">
        <v>487</v>
      </c>
      <c r="L42">
        <v>1368</v>
      </c>
      <c r="N42">
        <v>1011</v>
      </c>
      <c r="O42" t="s">
        <v>458</v>
      </c>
      <c r="P42" t="s">
        <v>458</v>
      </c>
      <c r="Q42">
        <v>1</v>
      </c>
      <c r="X42">
        <v>0.72</v>
      </c>
      <c r="Y42">
        <v>0</v>
      </c>
      <c r="Z42">
        <v>15.54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22</v>
      </c>
      <c r="AG42">
        <v>0.75600000000000001</v>
      </c>
      <c r="AH42">
        <v>3</v>
      </c>
      <c r="AI42">
        <v>-1</v>
      </c>
      <c r="AJ42" t="s">
        <v>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ROW(Source!A47)</f>
        <v>47</v>
      </c>
      <c r="B43">
        <v>56610524</v>
      </c>
      <c r="C43">
        <v>56610521</v>
      </c>
      <c r="D43">
        <v>47767126</v>
      </c>
      <c r="E43">
        <v>1</v>
      </c>
      <c r="F43">
        <v>1</v>
      </c>
      <c r="G43">
        <v>27786564</v>
      </c>
      <c r="H43">
        <v>2</v>
      </c>
      <c r="I43" t="s">
        <v>488</v>
      </c>
      <c r="J43" t="s">
        <v>489</v>
      </c>
      <c r="K43" t="s">
        <v>490</v>
      </c>
      <c r="L43">
        <v>1368</v>
      </c>
      <c r="N43">
        <v>1011</v>
      </c>
      <c r="O43" t="s">
        <v>458</v>
      </c>
      <c r="P43" t="s">
        <v>458</v>
      </c>
      <c r="Q43">
        <v>1</v>
      </c>
      <c r="X43">
        <v>0.72</v>
      </c>
      <c r="Y43">
        <v>0</v>
      </c>
      <c r="Z43">
        <v>81.150000000000006</v>
      </c>
      <c r="AA43">
        <v>14.54</v>
      </c>
      <c r="AB43">
        <v>0</v>
      </c>
      <c r="AC43">
        <v>0</v>
      </c>
      <c r="AD43">
        <v>1</v>
      </c>
      <c r="AE43">
        <v>0</v>
      </c>
      <c r="AF43" t="s">
        <v>22</v>
      </c>
      <c r="AG43">
        <v>0.75600000000000001</v>
      </c>
      <c r="AH43">
        <v>3</v>
      </c>
      <c r="AI43">
        <v>-1</v>
      </c>
      <c r="AJ43" t="s">
        <v>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ROW(Source!A47)</f>
        <v>47</v>
      </c>
      <c r="B44">
        <v>56610525</v>
      </c>
      <c r="C44">
        <v>56610521</v>
      </c>
      <c r="D44">
        <v>47766454</v>
      </c>
      <c r="E44">
        <v>1</v>
      </c>
      <c r="F44">
        <v>1</v>
      </c>
      <c r="G44">
        <v>27786564</v>
      </c>
      <c r="H44">
        <v>2</v>
      </c>
      <c r="I44" t="s">
        <v>491</v>
      </c>
      <c r="J44" t="s">
        <v>492</v>
      </c>
      <c r="K44" t="s">
        <v>493</v>
      </c>
      <c r="L44">
        <v>1368</v>
      </c>
      <c r="N44">
        <v>1011</v>
      </c>
      <c r="O44" t="s">
        <v>458</v>
      </c>
      <c r="P44" t="s">
        <v>458</v>
      </c>
      <c r="Q44">
        <v>1</v>
      </c>
      <c r="X44">
        <v>1.04</v>
      </c>
      <c r="Y44">
        <v>0</v>
      </c>
      <c r="Z44">
        <v>179.17</v>
      </c>
      <c r="AA44">
        <v>16.93</v>
      </c>
      <c r="AB44">
        <v>0</v>
      </c>
      <c r="AC44">
        <v>0</v>
      </c>
      <c r="AD44">
        <v>1</v>
      </c>
      <c r="AE44">
        <v>0</v>
      </c>
      <c r="AF44" t="s">
        <v>22</v>
      </c>
      <c r="AG44">
        <v>1.0920000000000001</v>
      </c>
      <c r="AH44">
        <v>3</v>
      </c>
      <c r="AI44">
        <v>-1</v>
      </c>
      <c r="AJ44" t="s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ROW(Source!A47)</f>
        <v>47</v>
      </c>
      <c r="B45">
        <v>56610526</v>
      </c>
      <c r="C45">
        <v>56610521</v>
      </c>
      <c r="D45">
        <v>47634960</v>
      </c>
      <c r="E45">
        <v>27786564</v>
      </c>
      <c r="F45">
        <v>1</v>
      </c>
      <c r="G45">
        <v>27786564</v>
      </c>
      <c r="H45">
        <v>2</v>
      </c>
      <c r="I45" t="s">
        <v>468</v>
      </c>
      <c r="J45" t="s">
        <v>3</v>
      </c>
      <c r="K45" t="s">
        <v>469</v>
      </c>
      <c r="L45">
        <v>1344</v>
      </c>
      <c r="N45">
        <v>1008</v>
      </c>
      <c r="O45" t="s">
        <v>470</v>
      </c>
      <c r="P45" t="s">
        <v>470</v>
      </c>
      <c r="Q45">
        <v>1</v>
      </c>
      <c r="X45">
        <v>0.02</v>
      </c>
      <c r="Y45">
        <v>0</v>
      </c>
      <c r="Z45">
        <v>1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22</v>
      </c>
      <c r="AG45">
        <v>2.1000000000000001E-2</v>
      </c>
      <c r="AH45">
        <v>3</v>
      </c>
      <c r="AI45">
        <v>-1</v>
      </c>
      <c r="AJ45" t="s">
        <v>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ROW(Source!A47)</f>
        <v>47</v>
      </c>
      <c r="B46">
        <v>56610527</v>
      </c>
      <c r="C46">
        <v>56610521</v>
      </c>
      <c r="D46">
        <v>30365725</v>
      </c>
      <c r="E46">
        <v>27786564</v>
      </c>
      <c r="F46">
        <v>1</v>
      </c>
      <c r="G46">
        <v>27786564</v>
      </c>
      <c r="H46">
        <v>3</v>
      </c>
      <c r="I46" t="s">
        <v>494</v>
      </c>
      <c r="J46" t="s">
        <v>3</v>
      </c>
      <c r="K46" t="s">
        <v>495</v>
      </c>
      <c r="L46">
        <v>1301</v>
      </c>
      <c r="N46">
        <v>1003</v>
      </c>
      <c r="O46" t="s">
        <v>57</v>
      </c>
      <c r="P46" t="s">
        <v>57</v>
      </c>
      <c r="Q46">
        <v>1</v>
      </c>
      <c r="X46">
        <v>1025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3</v>
      </c>
      <c r="AG46">
        <v>1025</v>
      </c>
      <c r="AH46">
        <v>3</v>
      </c>
      <c r="AI46">
        <v>-1</v>
      </c>
      <c r="AJ46" t="s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ROW(Source!A54)</f>
        <v>54</v>
      </c>
      <c r="B47">
        <v>56610532</v>
      </c>
      <c r="C47">
        <v>56610531</v>
      </c>
      <c r="D47">
        <v>47634407</v>
      </c>
      <c r="E47">
        <v>27786564</v>
      </c>
      <c r="F47">
        <v>1</v>
      </c>
      <c r="G47">
        <v>27786564</v>
      </c>
      <c r="H47">
        <v>1</v>
      </c>
      <c r="I47" t="s">
        <v>452</v>
      </c>
      <c r="J47" t="s">
        <v>3</v>
      </c>
      <c r="K47" t="s">
        <v>453</v>
      </c>
      <c r="L47">
        <v>1191</v>
      </c>
      <c r="N47">
        <v>1013</v>
      </c>
      <c r="O47" t="s">
        <v>454</v>
      </c>
      <c r="P47" t="s">
        <v>454</v>
      </c>
      <c r="Q47">
        <v>1</v>
      </c>
      <c r="X47">
        <v>135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 t="s">
        <v>22</v>
      </c>
      <c r="AG47">
        <v>141.75</v>
      </c>
      <c r="AH47">
        <v>3</v>
      </c>
      <c r="AI47">
        <v>-1</v>
      </c>
      <c r="AJ47" t="s">
        <v>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ROW(Source!A54)</f>
        <v>54</v>
      </c>
      <c r="B48">
        <v>56610533</v>
      </c>
      <c r="C48">
        <v>56610531</v>
      </c>
      <c r="D48">
        <v>47766844</v>
      </c>
      <c r="E48">
        <v>1</v>
      </c>
      <c r="F48">
        <v>1</v>
      </c>
      <c r="G48">
        <v>27786564</v>
      </c>
      <c r="H48">
        <v>2</v>
      </c>
      <c r="I48" t="s">
        <v>496</v>
      </c>
      <c r="J48" t="s">
        <v>497</v>
      </c>
      <c r="K48" t="s">
        <v>498</v>
      </c>
      <c r="L48">
        <v>1368</v>
      </c>
      <c r="N48">
        <v>1011</v>
      </c>
      <c r="O48" t="s">
        <v>458</v>
      </c>
      <c r="P48" t="s">
        <v>458</v>
      </c>
      <c r="Q48">
        <v>1</v>
      </c>
      <c r="X48">
        <v>8</v>
      </c>
      <c r="Y48">
        <v>0</v>
      </c>
      <c r="Z48">
        <v>24.95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22</v>
      </c>
      <c r="AG48">
        <v>8.4</v>
      </c>
      <c r="AH48">
        <v>3</v>
      </c>
      <c r="AI48">
        <v>-1</v>
      </c>
      <c r="AJ48" t="s">
        <v>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ROW(Source!A54)</f>
        <v>54</v>
      </c>
      <c r="B49">
        <v>56610534</v>
      </c>
      <c r="C49">
        <v>56610531</v>
      </c>
      <c r="D49">
        <v>47766894</v>
      </c>
      <c r="E49">
        <v>1</v>
      </c>
      <c r="F49">
        <v>1</v>
      </c>
      <c r="G49">
        <v>27786564</v>
      </c>
      <c r="H49">
        <v>2</v>
      </c>
      <c r="I49" t="s">
        <v>499</v>
      </c>
      <c r="J49" t="s">
        <v>500</v>
      </c>
      <c r="K49" t="s">
        <v>501</v>
      </c>
      <c r="L49">
        <v>1368</v>
      </c>
      <c r="N49">
        <v>1011</v>
      </c>
      <c r="O49" t="s">
        <v>458</v>
      </c>
      <c r="P49" t="s">
        <v>458</v>
      </c>
      <c r="Q49">
        <v>1</v>
      </c>
      <c r="X49">
        <v>2</v>
      </c>
      <c r="Y49">
        <v>0</v>
      </c>
      <c r="Z49">
        <v>4.6900000000000004</v>
      </c>
      <c r="AA49">
        <v>0</v>
      </c>
      <c r="AB49">
        <v>0</v>
      </c>
      <c r="AC49">
        <v>0</v>
      </c>
      <c r="AD49">
        <v>1</v>
      </c>
      <c r="AE49">
        <v>0</v>
      </c>
      <c r="AF49" t="s">
        <v>22</v>
      </c>
      <c r="AG49">
        <v>2.1</v>
      </c>
      <c r="AH49">
        <v>3</v>
      </c>
      <c r="AI49">
        <v>-1</v>
      </c>
      <c r="AJ49" t="s">
        <v>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ROW(Source!A54)</f>
        <v>54</v>
      </c>
      <c r="B50">
        <v>56610535</v>
      </c>
      <c r="C50">
        <v>56610531</v>
      </c>
      <c r="D50">
        <v>50545312</v>
      </c>
      <c r="E50">
        <v>1</v>
      </c>
      <c r="F50">
        <v>1</v>
      </c>
      <c r="G50">
        <v>27786564</v>
      </c>
      <c r="H50">
        <v>2</v>
      </c>
      <c r="I50" t="s">
        <v>502</v>
      </c>
      <c r="J50" t="s">
        <v>503</v>
      </c>
      <c r="K50" t="s">
        <v>504</v>
      </c>
      <c r="L50">
        <v>1368</v>
      </c>
      <c r="N50">
        <v>1011</v>
      </c>
      <c r="O50" t="s">
        <v>458</v>
      </c>
      <c r="P50" t="s">
        <v>458</v>
      </c>
      <c r="Q50">
        <v>1</v>
      </c>
      <c r="X50">
        <v>30</v>
      </c>
      <c r="Y50">
        <v>0</v>
      </c>
      <c r="Z50">
        <v>6.1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22</v>
      </c>
      <c r="AG50">
        <v>31.5</v>
      </c>
      <c r="AH50">
        <v>3</v>
      </c>
      <c r="AI50">
        <v>-1</v>
      </c>
      <c r="AJ50" t="s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ROW(Source!A54)</f>
        <v>54</v>
      </c>
      <c r="B51">
        <v>56610536</v>
      </c>
      <c r="C51">
        <v>56610531</v>
      </c>
      <c r="D51">
        <v>47767106</v>
      </c>
      <c r="E51">
        <v>1</v>
      </c>
      <c r="F51">
        <v>1</v>
      </c>
      <c r="G51">
        <v>27786564</v>
      </c>
      <c r="H51">
        <v>2</v>
      </c>
      <c r="I51" t="s">
        <v>455</v>
      </c>
      <c r="J51" t="s">
        <v>456</v>
      </c>
      <c r="K51" t="s">
        <v>457</v>
      </c>
      <c r="L51">
        <v>1368</v>
      </c>
      <c r="N51">
        <v>1011</v>
      </c>
      <c r="O51" t="s">
        <v>458</v>
      </c>
      <c r="P51" t="s">
        <v>458</v>
      </c>
      <c r="Q51">
        <v>1</v>
      </c>
      <c r="X51">
        <v>0.02</v>
      </c>
      <c r="Y51">
        <v>0</v>
      </c>
      <c r="Z51">
        <v>83.1</v>
      </c>
      <c r="AA51">
        <v>12.62</v>
      </c>
      <c r="AB51">
        <v>0</v>
      </c>
      <c r="AC51">
        <v>0</v>
      </c>
      <c r="AD51">
        <v>1</v>
      </c>
      <c r="AE51">
        <v>0</v>
      </c>
      <c r="AF51" t="s">
        <v>22</v>
      </c>
      <c r="AG51">
        <v>2.1000000000000001E-2</v>
      </c>
      <c r="AH51">
        <v>3</v>
      </c>
      <c r="AI51">
        <v>-1</v>
      </c>
      <c r="AJ51" t="s">
        <v>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ROW(Source!A54)</f>
        <v>54</v>
      </c>
      <c r="B52">
        <v>56610538</v>
      </c>
      <c r="C52">
        <v>56610531</v>
      </c>
      <c r="D52">
        <v>47767216</v>
      </c>
      <c r="E52">
        <v>1</v>
      </c>
      <c r="F52">
        <v>1</v>
      </c>
      <c r="G52">
        <v>27786564</v>
      </c>
      <c r="H52">
        <v>2</v>
      </c>
      <c r="I52" t="s">
        <v>505</v>
      </c>
      <c r="J52" t="s">
        <v>506</v>
      </c>
      <c r="K52" t="s">
        <v>507</v>
      </c>
      <c r="L52">
        <v>1368</v>
      </c>
      <c r="N52">
        <v>1011</v>
      </c>
      <c r="O52" t="s">
        <v>458</v>
      </c>
      <c r="P52" t="s">
        <v>458</v>
      </c>
      <c r="Q52">
        <v>1</v>
      </c>
      <c r="X52">
        <v>3</v>
      </c>
      <c r="Y52">
        <v>0</v>
      </c>
      <c r="Z52">
        <v>0.8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22</v>
      </c>
      <c r="AG52">
        <v>3.1500000000000004</v>
      </c>
      <c r="AH52">
        <v>3</v>
      </c>
      <c r="AI52">
        <v>-1</v>
      </c>
      <c r="AJ52" t="s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ROW(Source!A54)</f>
        <v>54</v>
      </c>
      <c r="B53">
        <v>56610537</v>
      </c>
      <c r="C53">
        <v>56610531</v>
      </c>
      <c r="D53">
        <v>47766454</v>
      </c>
      <c r="E53">
        <v>1</v>
      </c>
      <c r="F53">
        <v>1</v>
      </c>
      <c r="G53">
        <v>27786564</v>
      </c>
      <c r="H53">
        <v>2</v>
      </c>
      <c r="I53" t="s">
        <v>491</v>
      </c>
      <c r="J53" t="s">
        <v>492</v>
      </c>
      <c r="K53" t="s">
        <v>493</v>
      </c>
      <c r="L53">
        <v>1368</v>
      </c>
      <c r="N53">
        <v>1011</v>
      </c>
      <c r="O53" t="s">
        <v>458</v>
      </c>
      <c r="P53" t="s">
        <v>458</v>
      </c>
      <c r="Q53">
        <v>1</v>
      </c>
      <c r="X53">
        <v>0.02</v>
      </c>
      <c r="Y53">
        <v>0</v>
      </c>
      <c r="Z53">
        <v>179.17</v>
      </c>
      <c r="AA53">
        <v>16.93</v>
      </c>
      <c r="AB53">
        <v>0</v>
      </c>
      <c r="AC53">
        <v>0</v>
      </c>
      <c r="AD53">
        <v>1</v>
      </c>
      <c r="AE53">
        <v>0</v>
      </c>
      <c r="AF53" t="s">
        <v>22</v>
      </c>
      <c r="AG53">
        <v>2.1000000000000001E-2</v>
      </c>
      <c r="AH53">
        <v>3</v>
      </c>
      <c r="AI53">
        <v>-1</v>
      </c>
      <c r="AJ53" t="s">
        <v>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ROW(Source!A54)</f>
        <v>54</v>
      </c>
      <c r="B54">
        <v>56610539</v>
      </c>
      <c r="C54">
        <v>56610531</v>
      </c>
      <c r="D54">
        <v>30390462</v>
      </c>
      <c r="E54">
        <v>1</v>
      </c>
      <c r="F54">
        <v>1</v>
      </c>
      <c r="G54">
        <v>27786564</v>
      </c>
      <c r="H54">
        <v>3</v>
      </c>
      <c r="I54" t="s">
        <v>508</v>
      </c>
      <c r="J54" t="s">
        <v>509</v>
      </c>
      <c r="K54" t="s">
        <v>510</v>
      </c>
      <c r="L54">
        <v>1346</v>
      </c>
      <c r="N54">
        <v>1009</v>
      </c>
      <c r="O54" t="s">
        <v>101</v>
      </c>
      <c r="P54" t="s">
        <v>101</v>
      </c>
      <c r="Q54">
        <v>1</v>
      </c>
      <c r="X54">
        <v>0.8</v>
      </c>
      <c r="Y54">
        <v>1.61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3</v>
      </c>
      <c r="AG54">
        <v>0.8</v>
      </c>
      <c r="AH54">
        <v>3</v>
      </c>
      <c r="AI54">
        <v>-1</v>
      </c>
      <c r="AJ54" t="s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ROW(Source!A54)</f>
        <v>54</v>
      </c>
      <c r="B55">
        <v>56610540</v>
      </c>
      <c r="C55">
        <v>56610531</v>
      </c>
      <c r="D55">
        <v>46723638</v>
      </c>
      <c r="E55">
        <v>1</v>
      </c>
      <c r="F55">
        <v>1</v>
      </c>
      <c r="G55">
        <v>27786564</v>
      </c>
      <c r="H55">
        <v>3</v>
      </c>
      <c r="I55" t="s">
        <v>511</v>
      </c>
      <c r="J55" t="s">
        <v>512</v>
      </c>
      <c r="K55" t="s">
        <v>513</v>
      </c>
      <c r="L55">
        <v>1327</v>
      </c>
      <c r="N55">
        <v>1005</v>
      </c>
      <c r="O55" t="s">
        <v>514</v>
      </c>
      <c r="P55" t="s">
        <v>514</v>
      </c>
      <c r="Q55">
        <v>1</v>
      </c>
      <c r="X55">
        <v>140</v>
      </c>
      <c r="Y55">
        <v>3.66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3</v>
      </c>
      <c r="AG55">
        <v>140</v>
      </c>
      <c r="AH55">
        <v>3</v>
      </c>
      <c r="AI55">
        <v>-1</v>
      </c>
      <c r="AJ55" t="s">
        <v>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ROW(Source!A54)</f>
        <v>54</v>
      </c>
      <c r="B56">
        <v>56610541</v>
      </c>
      <c r="C56">
        <v>56610531</v>
      </c>
      <c r="D56">
        <v>46723721</v>
      </c>
      <c r="E56">
        <v>1</v>
      </c>
      <c r="F56">
        <v>1</v>
      </c>
      <c r="G56">
        <v>27786564</v>
      </c>
      <c r="H56">
        <v>3</v>
      </c>
      <c r="I56" t="s">
        <v>515</v>
      </c>
      <c r="J56" t="s">
        <v>516</v>
      </c>
      <c r="K56" t="s">
        <v>517</v>
      </c>
      <c r="L56">
        <v>1348</v>
      </c>
      <c r="N56">
        <v>1009</v>
      </c>
      <c r="O56" t="s">
        <v>318</v>
      </c>
      <c r="P56" t="s">
        <v>318</v>
      </c>
      <c r="Q56">
        <v>1000</v>
      </c>
      <c r="X56">
        <v>2.0000000000000001E-4</v>
      </c>
      <c r="Y56">
        <v>13609.41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3</v>
      </c>
      <c r="AG56">
        <v>2.0000000000000001E-4</v>
      </c>
      <c r="AH56">
        <v>3</v>
      </c>
      <c r="AI56">
        <v>-1</v>
      </c>
      <c r="AJ56" t="s">
        <v>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ROW(Source!A54)</f>
        <v>54</v>
      </c>
      <c r="B57">
        <v>56610542</v>
      </c>
      <c r="C57">
        <v>56610531</v>
      </c>
      <c r="D57">
        <v>30386407</v>
      </c>
      <c r="E57">
        <v>27786564</v>
      </c>
      <c r="F57">
        <v>1</v>
      </c>
      <c r="G57">
        <v>27786564</v>
      </c>
      <c r="H57">
        <v>3</v>
      </c>
      <c r="I57" t="s">
        <v>518</v>
      </c>
      <c r="J57" t="s">
        <v>3</v>
      </c>
      <c r="K57" t="s">
        <v>519</v>
      </c>
      <c r="L57">
        <v>1348</v>
      </c>
      <c r="N57">
        <v>1009</v>
      </c>
      <c r="O57" t="s">
        <v>318</v>
      </c>
      <c r="P57" t="s">
        <v>318</v>
      </c>
      <c r="Q57">
        <v>1000</v>
      </c>
      <c r="X57">
        <v>0.1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t="s">
        <v>3</v>
      </c>
      <c r="AG57">
        <v>0.1</v>
      </c>
      <c r="AH57">
        <v>3</v>
      </c>
      <c r="AI57">
        <v>-1</v>
      </c>
      <c r="AJ57" t="s">
        <v>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ROW(Source!A55)</f>
        <v>55</v>
      </c>
      <c r="B58">
        <v>56610532</v>
      </c>
      <c r="C58">
        <v>56610531</v>
      </c>
      <c r="D58">
        <v>47634407</v>
      </c>
      <c r="E58">
        <v>27786564</v>
      </c>
      <c r="F58">
        <v>1</v>
      </c>
      <c r="G58">
        <v>27786564</v>
      </c>
      <c r="H58">
        <v>1</v>
      </c>
      <c r="I58" t="s">
        <v>452</v>
      </c>
      <c r="J58" t="s">
        <v>3</v>
      </c>
      <c r="K58" t="s">
        <v>453</v>
      </c>
      <c r="L58">
        <v>1191</v>
      </c>
      <c r="N58">
        <v>1013</v>
      </c>
      <c r="O58" t="s">
        <v>454</v>
      </c>
      <c r="P58" t="s">
        <v>454</v>
      </c>
      <c r="Q58">
        <v>1</v>
      </c>
      <c r="X58">
        <v>135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1</v>
      </c>
      <c r="AF58" t="s">
        <v>22</v>
      </c>
      <c r="AG58">
        <v>141.75</v>
      </c>
      <c r="AH58">
        <v>3</v>
      </c>
      <c r="AI58">
        <v>-1</v>
      </c>
      <c r="AJ58" t="s">
        <v>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ROW(Source!A55)</f>
        <v>55</v>
      </c>
      <c r="B59">
        <v>56610533</v>
      </c>
      <c r="C59">
        <v>56610531</v>
      </c>
      <c r="D59">
        <v>47766844</v>
      </c>
      <c r="E59">
        <v>1</v>
      </c>
      <c r="F59">
        <v>1</v>
      </c>
      <c r="G59">
        <v>27786564</v>
      </c>
      <c r="H59">
        <v>2</v>
      </c>
      <c r="I59" t="s">
        <v>496</v>
      </c>
      <c r="J59" t="s">
        <v>497</v>
      </c>
      <c r="K59" t="s">
        <v>498</v>
      </c>
      <c r="L59">
        <v>1368</v>
      </c>
      <c r="N59">
        <v>1011</v>
      </c>
      <c r="O59" t="s">
        <v>458</v>
      </c>
      <c r="P59" t="s">
        <v>458</v>
      </c>
      <c r="Q59">
        <v>1</v>
      </c>
      <c r="X59">
        <v>8</v>
      </c>
      <c r="Y59">
        <v>0</v>
      </c>
      <c r="Z59">
        <v>24.95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22</v>
      </c>
      <c r="AG59">
        <v>8.4</v>
      </c>
      <c r="AH59">
        <v>3</v>
      </c>
      <c r="AI59">
        <v>-1</v>
      </c>
      <c r="AJ59" t="s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ROW(Source!A55)</f>
        <v>55</v>
      </c>
      <c r="B60">
        <v>56610534</v>
      </c>
      <c r="C60">
        <v>56610531</v>
      </c>
      <c r="D60">
        <v>47766894</v>
      </c>
      <c r="E60">
        <v>1</v>
      </c>
      <c r="F60">
        <v>1</v>
      </c>
      <c r="G60">
        <v>27786564</v>
      </c>
      <c r="H60">
        <v>2</v>
      </c>
      <c r="I60" t="s">
        <v>499</v>
      </c>
      <c r="J60" t="s">
        <v>500</v>
      </c>
      <c r="K60" t="s">
        <v>501</v>
      </c>
      <c r="L60">
        <v>1368</v>
      </c>
      <c r="N60">
        <v>1011</v>
      </c>
      <c r="O60" t="s">
        <v>458</v>
      </c>
      <c r="P60" t="s">
        <v>458</v>
      </c>
      <c r="Q60">
        <v>1</v>
      </c>
      <c r="X60">
        <v>2</v>
      </c>
      <c r="Y60">
        <v>0</v>
      </c>
      <c r="Z60">
        <v>4.6900000000000004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22</v>
      </c>
      <c r="AG60">
        <v>2.1</v>
      </c>
      <c r="AH60">
        <v>3</v>
      </c>
      <c r="AI60">
        <v>-1</v>
      </c>
      <c r="AJ60" t="s">
        <v>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ROW(Source!A55)</f>
        <v>55</v>
      </c>
      <c r="B61">
        <v>56610535</v>
      </c>
      <c r="C61">
        <v>56610531</v>
      </c>
      <c r="D61">
        <v>50545312</v>
      </c>
      <c r="E61">
        <v>1</v>
      </c>
      <c r="F61">
        <v>1</v>
      </c>
      <c r="G61">
        <v>27786564</v>
      </c>
      <c r="H61">
        <v>2</v>
      </c>
      <c r="I61" t="s">
        <v>502</v>
      </c>
      <c r="J61" t="s">
        <v>503</v>
      </c>
      <c r="K61" t="s">
        <v>504</v>
      </c>
      <c r="L61">
        <v>1368</v>
      </c>
      <c r="N61">
        <v>1011</v>
      </c>
      <c r="O61" t="s">
        <v>458</v>
      </c>
      <c r="P61" t="s">
        <v>458</v>
      </c>
      <c r="Q61">
        <v>1</v>
      </c>
      <c r="X61">
        <v>30</v>
      </c>
      <c r="Y61">
        <v>0</v>
      </c>
      <c r="Z61">
        <v>6.1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22</v>
      </c>
      <c r="AG61">
        <v>31.5</v>
      </c>
      <c r="AH61">
        <v>3</v>
      </c>
      <c r="AI61">
        <v>-1</v>
      </c>
      <c r="AJ61" t="s">
        <v>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ROW(Source!A55)</f>
        <v>55</v>
      </c>
      <c r="B62">
        <v>56610536</v>
      </c>
      <c r="C62">
        <v>56610531</v>
      </c>
      <c r="D62">
        <v>47767106</v>
      </c>
      <c r="E62">
        <v>1</v>
      </c>
      <c r="F62">
        <v>1</v>
      </c>
      <c r="G62">
        <v>27786564</v>
      </c>
      <c r="H62">
        <v>2</v>
      </c>
      <c r="I62" t="s">
        <v>455</v>
      </c>
      <c r="J62" t="s">
        <v>456</v>
      </c>
      <c r="K62" t="s">
        <v>457</v>
      </c>
      <c r="L62">
        <v>1368</v>
      </c>
      <c r="N62">
        <v>1011</v>
      </c>
      <c r="O62" t="s">
        <v>458</v>
      </c>
      <c r="P62" t="s">
        <v>458</v>
      </c>
      <c r="Q62">
        <v>1</v>
      </c>
      <c r="X62">
        <v>0.02</v>
      </c>
      <c r="Y62">
        <v>0</v>
      </c>
      <c r="Z62">
        <v>83.1</v>
      </c>
      <c r="AA62">
        <v>12.62</v>
      </c>
      <c r="AB62">
        <v>0</v>
      </c>
      <c r="AC62">
        <v>0</v>
      </c>
      <c r="AD62">
        <v>1</v>
      </c>
      <c r="AE62">
        <v>0</v>
      </c>
      <c r="AF62" t="s">
        <v>22</v>
      </c>
      <c r="AG62">
        <v>2.1000000000000001E-2</v>
      </c>
      <c r="AH62">
        <v>3</v>
      </c>
      <c r="AI62">
        <v>-1</v>
      </c>
      <c r="AJ62" t="s">
        <v>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ROW(Source!A55)</f>
        <v>55</v>
      </c>
      <c r="B63">
        <v>56610538</v>
      </c>
      <c r="C63">
        <v>56610531</v>
      </c>
      <c r="D63">
        <v>47767216</v>
      </c>
      <c r="E63">
        <v>1</v>
      </c>
      <c r="F63">
        <v>1</v>
      </c>
      <c r="G63">
        <v>27786564</v>
      </c>
      <c r="H63">
        <v>2</v>
      </c>
      <c r="I63" t="s">
        <v>505</v>
      </c>
      <c r="J63" t="s">
        <v>506</v>
      </c>
      <c r="K63" t="s">
        <v>507</v>
      </c>
      <c r="L63">
        <v>1368</v>
      </c>
      <c r="N63">
        <v>1011</v>
      </c>
      <c r="O63" t="s">
        <v>458</v>
      </c>
      <c r="P63" t="s">
        <v>458</v>
      </c>
      <c r="Q63">
        <v>1</v>
      </c>
      <c r="X63">
        <v>3</v>
      </c>
      <c r="Y63">
        <v>0</v>
      </c>
      <c r="Z63">
        <v>0.8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22</v>
      </c>
      <c r="AG63">
        <v>3.1500000000000004</v>
      </c>
      <c r="AH63">
        <v>3</v>
      </c>
      <c r="AI63">
        <v>-1</v>
      </c>
      <c r="AJ63" t="s">
        <v>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ROW(Source!A55)</f>
        <v>55</v>
      </c>
      <c r="B64">
        <v>56610537</v>
      </c>
      <c r="C64">
        <v>56610531</v>
      </c>
      <c r="D64">
        <v>47766454</v>
      </c>
      <c r="E64">
        <v>1</v>
      </c>
      <c r="F64">
        <v>1</v>
      </c>
      <c r="G64">
        <v>27786564</v>
      </c>
      <c r="H64">
        <v>2</v>
      </c>
      <c r="I64" t="s">
        <v>491</v>
      </c>
      <c r="J64" t="s">
        <v>492</v>
      </c>
      <c r="K64" t="s">
        <v>493</v>
      </c>
      <c r="L64">
        <v>1368</v>
      </c>
      <c r="N64">
        <v>1011</v>
      </c>
      <c r="O64" t="s">
        <v>458</v>
      </c>
      <c r="P64" t="s">
        <v>458</v>
      </c>
      <c r="Q64">
        <v>1</v>
      </c>
      <c r="X64">
        <v>0.02</v>
      </c>
      <c r="Y64">
        <v>0</v>
      </c>
      <c r="Z64">
        <v>179.17</v>
      </c>
      <c r="AA64">
        <v>16.93</v>
      </c>
      <c r="AB64">
        <v>0</v>
      </c>
      <c r="AC64">
        <v>0</v>
      </c>
      <c r="AD64">
        <v>1</v>
      </c>
      <c r="AE64">
        <v>0</v>
      </c>
      <c r="AF64" t="s">
        <v>22</v>
      </c>
      <c r="AG64">
        <v>2.1000000000000001E-2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ROW(Source!A55)</f>
        <v>55</v>
      </c>
      <c r="B65">
        <v>56610539</v>
      </c>
      <c r="C65">
        <v>56610531</v>
      </c>
      <c r="D65">
        <v>30390462</v>
      </c>
      <c r="E65">
        <v>1</v>
      </c>
      <c r="F65">
        <v>1</v>
      </c>
      <c r="G65">
        <v>27786564</v>
      </c>
      <c r="H65">
        <v>3</v>
      </c>
      <c r="I65" t="s">
        <v>508</v>
      </c>
      <c r="J65" t="s">
        <v>509</v>
      </c>
      <c r="K65" t="s">
        <v>510</v>
      </c>
      <c r="L65">
        <v>1346</v>
      </c>
      <c r="N65">
        <v>1009</v>
      </c>
      <c r="O65" t="s">
        <v>101</v>
      </c>
      <c r="P65" t="s">
        <v>101</v>
      </c>
      <c r="Q65">
        <v>1</v>
      </c>
      <c r="X65">
        <v>0.8</v>
      </c>
      <c r="Y65">
        <v>1.61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 t="s">
        <v>3</v>
      </c>
      <c r="AG65">
        <v>0.8</v>
      </c>
      <c r="AH65">
        <v>3</v>
      </c>
      <c r="AI65">
        <v>-1</v>
      </c>
      <c r="AJ65" t="s">
        <v>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ROW(Source!A55)</f>
        <v>55</v>
      </c>
      <c r="B66">
        <v>56610540</v>
      </c>
      <c r="C66">
        <v>56610531</v>
      </c>
      <c r="D66">
        <v>46723638</v>
      </c>
      <c r="E66">
        <v>1</v>
      </c>
      <c r="F66">
        <v>1</v>
      </c>
      <c r="G66">
        <v>27786564</v>
      </c>
      <c r="H66">
        <v>3</v>
      </c>
      <c r="I66" t="s">
        <v>511</v>
      </c>
      <c r="J66" t="s">
        <v>512</v>
      </c>
      <c r="K66" t="s">
        <v>513</v>
      </c>
      <c r="L66">
        <v>1327</v>
      </c>
      <c r="N66">
        <v>1005</v>
      </c>
      <c r="O66" t="s">
        <v>514</v>
      </c>
      <c r="P66" t="s">
        <v>514</v>
      </c>
      <c r="Q66">
        <v>1</v>
      </c>
      <c r="X66">
        <v>140</v>
      </c>
      <c r="Y66">
        <v>3.66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3</v>
      </c>
      <c r="AG66">
        <v>140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ROW(Source!A55)</f>
        <v>55</v>
      </c>
      <c r="B67">
        <v>56610541</v>
      </c>
      <c r="C67">
        <v>56610531</v>
      </c>
      <c r="D67">
        <v>46723721</v>
      </c>
      <c r="E67">
        <v>1</v>
      </c>
      <c r="F67">
        <v>1</v>
      </c>
      <c r="G67">
        <v>27786564</v>
      </c>
      <c r="H67">
        <v>3</v>
      </c>
      <c r="I67" t="s">
        <v>515</v>
      </c>
      <c r="J67" t="s">
        <v>516</v>
      </c>
      <c r="K67" t="s">
        <v>517</v>
      </c>
      <c r="L67">
        <v>1348</v>
      </c>
      <c r="N67">
        <v>1009</v>
      </c>
      <c r="O67" t="s">
        <v>318</v>
      </c>
      <c r="P67" t="s">
        <v>318</v>
      </c>
      <c r="Q67">
        <v>1000</v>
      </c>
      <c r="X67">
        <v>2.0000000000000001E-4</v>
      </c>
      <c r="Y67">
        <v>13609.41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3</v>
      </c>
      <c r="AG67">
        <v>2.0000000000000001E-4</v>
      </c>
      <c r="AH67">
        <v>3</v>
      </c>
      <c r="AI67">
        <v>-1</v>
      </c>
      <c r="AJ67" t="s">
        <v>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ROW(Source!A55)</f>
        <v>55</v>
      </c>
      <c r="B68">
        <v>56610542</v>
      </c>
      <c r="C68">
        <v>56610531</v>
      </c>
      <c r="D68">
        <v>30386407</v>
      </c>
      <c r="E68">
        <v>27786564</v>
      </c>
      <c r="F68">
        <v>1</v>
      </c>
      <c r="G68">
        <v>27786564</v>
      </c>
      <c r="H68">
        <v>3</v>
      </c>
      <c r="I68" t="s">
        <v>518</v>
      </c>
      <c r="J68" t="s">
        <v>3</v>
      </c>
      <c r="K68" t="s">
        <v>519</v>
      </c>
      <c r="L68">
        <v>1348</v>
      </c>
      <c r="N68">
        <v>1009</v>
      </c>
      <c r="O68" t="s">
        <v>318</v>
      </c>
      <c r="P68" t="s">
        <v>318</v>
      </c>
      <c r="Q68">
        <v>1000</v>
      </c>
      <c r="X68">
        <v>0.1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3</v>
      </c>
      <c r="AG68">
        <v>0.1</v>
      </c>
      <c r="AH68">
        <v>3</v>
      </c>
      <c r="AI68">
        <v>-1</v>
      </c>
      <c r="AJ68" t="s">
        <v>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ROW(Source!A93)</f>
        <v>93</v>
      </c>
      <c r="B69">
        <v>56610545</v>
      </c>
      <c r="C69">
        <v>56610544</v>
      </c>
      <c r="D69">
        <v>47634407</v>
      </c>
      <c r="E69">
        <v>27786564</v>
      </c>
      <c r="F69">
        <v>1</v>
      </c>
      <c r="G69">
        <v>27786564</v>
      </c>
      <c r="H69">
        <v>1</v>
      </c>
      <c r="I69" t="s">
        <v>452</v>
      </c>
      <c r="J69" t="s">
        <v>3</v>
      </c>
      <c r="K69" t="s">
        <v>453</v>
      </c>
      <c r="L69">
        <v>1191</v>
      </c>
      <c r="N69">
        <v>1013</v>
      </c>
      <c r="O69" t="s">
        <v>454</v>
      </c>
      <c r="P69" t="s">
        <v>454</v>
      </c>
      <c r="Q69">
        <v>1</v>
      </c>
      <c r="X69">
        <v>6.08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 t="s">
        <v>164</v>
      </c>
      <c r="AG69">
        <v>7.6608000000000001</v>
      </c>
      <c r="AH69">
        <v>3</v>
      </c>
      <c r="AI69">
        <v>-1</v>
      </c>
      <c r="AJ69" t="s">
        <v>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ROW(Source!A93)</f>
        <v>93</v>
      </c>
      <c r="B70">
        <v>56610546</v>
      </c>
      <c r="C70">
        <v>56610544</v>
      </c>
      <c r="D70">
        <v>47767106</v>
      </c>
      <c r="E70">
        <v>1</v>
      </c>
      <c r="F70">
        <v>1</v>
      </c>
      <c r="G70">
        <v>27786564</v>
      </c>
      <c r="H70">
        <v>2</v>
      </c>
      <c r="I70" t="s">
        <v>455</v>
      </c>
      <c r="J70" t="s">
        <v>456</v>
      </c>
      <c r="K70" t="s">
        <v>457</v>
      </c>
      <c r="L70">
        <v>1368</v>
      </c>
      <c r="N70">
        <v>1011</v>
      </c>
      <c r="O70" t="s">
        <v>458</v>
      </c>
      <c r="P70" t="s">
        <v>458</v>
      </c>
      <c r="Q70">
        <v>1</v>
      </c>
      <c r="X70">
        <v>4.57</v>
      </c>
      <c r="Y70">
        <v>0</v>
      </c>
      <c r="Z70">
        <v>83.1</v>
      </c>
      <c r="AA70">
        <v>12.62</v>
      </c>
      <c r="AB70">
        <v>0</v>
      </c>
      <c r="AC70">
        <v>0</v>
      </c>
      <c r="AD70">
        <v>1</v>
      </c>
      <c r="AE70">
        <v>0</v>
      </c>
      <c r="AF70" t="s">
        <v>164</v>
      </c>
      <c r="AG70">
        <v>5.7582000000000004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ROW(Source!A93)</f>
        <v>93</v>
      </c>
      <c r="B71">
        <v>56610547</v>
      </c>
      <c r="C71">
        <v>56610544</v>
      </c>
      <c r="D71">
        <v>30384156</v>
      </c>
      <c r="E71">
        <v>27786564</v>
      </c>
      <c r="F71">
        <v>1</v>
      </c>
      <c r="G71">
        <v>27786564</v>
      </c>
      <c r="H71">
        <v>3</v>
      </c>
      <c r="I71" t="s">
        <v>520</v>
      </c>
      <c r="J71" t="s">
        <v>3</v>
      </c>
      <c r="K71" t="s">
        <v>521</v>
      </c>
      <c r="L71">
        <v>1339</v>
      </c>
      <c r="N71">
        <v>1007</v>
      </c>
      <c r="O71" t="s">
        <v>85</v>
      </c>
      <c r="P71" t="s">
        <v>85</v>
      </c>
      <c r="Q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163</v>
      </c>
      <c r="AG71">
        <v>0</v>
      </c>
      <c r="AH71">
        <v>3</v>
      </c>
      <c r="AI71">
        <v>-1</v>
      </c>
      <c r="AJ71" t="s">
        <v>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ROW(Source!A94)</f>
        <v>94</v>
      </c>
      <c r="B72">
        <v>56610545</v>
      </c>
      <c r="C72">
        <v>56610544</v>
      </c>
      <c r="D72">
        <v>47634407</v>
      </c>
      <c r="E72">
        <v>27786564</v>
      </c>
      <c r="F72">
        <v>1</v>
      </c>
      <c r="G72">
        <v>27786564</v>
      </c>
      <c r="H72">
        <v>1</v>
      </c>
      <c r="I72" t="s">
        <v>452</v>
      </c>
      <c r="J72" t="s">
        <v>3</v>
      </c>
      <c r="K72" t="s">
        <v>453</v>
      </c>
      <c r="L72">
        <v>1191</v>
      </c>
      <c r="N72">
        <v>1013</v>
      </c>
      <c r="O72" t="s">
        <v>454</v>
      </c>
      <c r="P72" t="s">
        <v>454</v>
      </c>
      <c r="Q72">
        <v>1</v>
      </c>
      <c r="X72">
        <v>6.08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 t="s">
        <v>164</v>
      </c>
      <c r="AG72">
        <v>7.6608000000000001</v>
      </c>
      <c r="AH72">
        <v>3</v>
      </c>
      <c r="AI72">
        <v>-1</v>
      </c>
      <c r="AJ72" t="s">
        <v>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ROW(Source!A94)</f>
        <v>94</v>
      </c>
      <c r="B73">
        <v>56610546</v>
      </c>
      <c r="C73">
        <v>56610544</v>
      </c>
      <c r="D73">
        <v>47767106</v>
      </c>
      <c r="E73">
        <v>1</v>
      </c>
      <c r="F73">
        <v>1</v>
      </c>
      <c r="G73">
        <v>27786564</v>
      </c>
      <c r="H73">
        <v>2</v>
      </c>
      <c r="I73" t="s">
        <v>455</v>
      </c>
      <c r="J73" t="s">
        <v>456</v>
      </c>
      <c r="K73" t="s">
        <v>457</v>
      </c>
      <c r="L73">
        <v>1368</v>
      </c>
      <c r="N73">
        <v>1011</v>
      </c>
      <c r="O73" t="s">
        <v>458</v>
      </c>
      <c r="P73" t="s">
        <v>458</v>
      </c>
      <c r="Q73">
        <v>1</v>
      </c>
      <c r="X73">
        <v>4.57</v>
      </c>
      <c r="Y73">
        <v>0</v>
      </c>
      <c r="Z73">
        <v>83.1</v>
      </c>
      <c r="AA73">
        <v>12.62</v>
      </c>
      <c r="AB73">
        <v>0</v>
      </c>
      <c r="AC73">
        <v>0</v>
      </c>
      <c r="AD73">
        <v>1</v>
      </c>
      <c r="AE73">
        <v>0</v>
      </c>
      <c r="AF73" t="s">
        <v>164</v>
      </c>
      <c r="AG73">
        <v>5.7582000000000004</v>
      </c>
      <c r="AH73">
        <v>3</v>
      </c>
      <c r="AI73">
        <v>-1</v>
      </c>
      <c r="AJ73" t="s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ROW(Source!A94)</f>
        <v>94</v>
      </c>
      <c r="B74">
        <v>56610547</v>
      </c>
      <c r="C74">
        <v>56610544</v>
      </c>
      <c r="D74">
        <v>30384156</v>
      </c>
      <c r="E74">
        <v>27786564</v>
      </c>
      <c r="F74">
        <v>1</v>
      </c>
      <c r="G74">
        <v>27786564</v>
      </c>
      <c r="H74">
        <v>3</v>
      </c>
      <c r="I74" t="s">
        <v>520</v>
      </c>
      <c r="J74" t="s">
        <v>3</v>
      </c>
      <c r="K74" t="s">
        <v>521</v>
      </c>
      <c r="L74">
        <v>1339</v>
      </c>
      <c r="N74">
        <v>1007</v>
      </c>
      <c r="O74" t="s">
        <v>85</v>
      </c>
      <c r="P74" t="s">
        <v>85</v>
      </c>
      <c r="Q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163</v>
      </c>
      <c r="AG74">
        <v>0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ROW(Source!A95)</f>
        <v>95</v>
      </c>
      <c r="B75">
        <v>56610549</v>
      </c>
      <c r="C75">
        <v>56610548</v>
      </c>
      <c r="D75">
        <v>47634407</v>
      </c>
      <c r="E75">
        <v>27786564</v>
      </c>
      <c r="F75">
        <v>1</v>
      </c>
      <c r="G75">
        <v>27786564</v>
      </c>
      <c r="H75">
        <v>1</v>
      </c>
      <c r="I75" t="s">
        <v>452</v>
      </c>
      <c r="J75" t="s">
        <v>3</v>
      </c>
      <c r="K75" t="s">
        <v>453</v>
      </c>
      <c r="L75">
        <v>1191</v>
      </c>
      <c r="N75">
        <v>1013</v>
      </c>
      <c r="O75" t="s">
        <v>454</v>
      </c>
      <c r="P75" t="s">
        <v>454</v>
      </c>
      <c r="Q75">
        <v>1</v>
      </c>
      <c r="X75">
        <v>6.08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 t="s">
        <v>22</v>
      </c>
      <c r="AG75">
        <v>6.3840000000000003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ROW(Source!A95)</f>
        <v>95</v>
      </c>
      <c r="B76">
        <v>56610550</v>
      </c>
      <c r="C76">
        <v>56610548</v>
      </c>
      <c r="D76">
        <v>47767106</v>
      </c>
      <c r="E76">
        <v>1</v>
      </c>
      <c r="F76">
        <v>1</v>
      </c>
      <c r="G76">
        <v>27786564</v>
      </c>
      <c r="H76">
        <v>2</v>
      </c>
      <c r="I76" t="s">
        <v>455</v>
      </c>
      <c r="J76" t="s">
        <v>456</v>
      </c>
      <c r="K76" t="s">
        <v>457</v>
      </c>
      <c r="L76">
        <v>1368</v>
      </c>
      <c r="N76">
        <v>1011</v>
      </c>
      <c r="O76" t="s">
        <v>458</v>
      </c>
      <c r="P76" t="s">
        <v>458</v>
      </c>
      <c r="Q76">
        <v>1</v>
      </c>
      <c r="X76">
        <v>4.57</v>
      </c>
      <c r="Y76">
        <v>0</v>
      </c>
      <c r="Z76">
        <v>83.1</v>
      </c>
      <c r="AA76">
        <v>12.62</v>
      </c>
      <c r="AB76">
        <v>0</v>
      </c>
      <c r="AC76">
        <v>0</v>
      </c>
      <c r="AD76">
        <v>1</v>
      </c>
      <c r="AE76">
        <v>0</v>
      </c>
      <c r="AF76" t="s">
        <v>22</v>
      </c>
      <c r="AG76">
        <v>4.7985000000000007</v>
      </c>
      <c r="AH76">
        <v>3</v>
      </c>
      <c r="AI76">
        <v>-1</v>
      </c>
      <c r="AJ76" t="s">
        <v>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ROW(Source!A95)</f>
        <v>95</v>
      </c>
      <c r="B77">
        <v>56610551</v>
      </c>
      <c r="C77">
        <v>56610548</v>
      </c>
      <c r="D77">
        <v>30384156</v>
      </c>
      <c r="E77">
        <v>27786564</v>
      </c>
      <c r="F77">
        <v>1</v>
      </c>
      <c r="G77">
        <v>27786564</v>
      </c>
      <c r="H77">
        <v>3</v>
      </c>
      <c r="I77" t="s">
        <v>520</v>
      </c>
      <c r="J77" t="s">
        <v>3</v>
      </c>
      <c r="K77" t="s">
        <v>521</v>
      </c>
      <c r="L77">
        <v>1339</v>
      </c>
      <c r="N77">
        <v>1007</v>
      </c>
      <c r="O77" t="s">
        <v>85</v>
      </c>
      <c r="P77" t="s">
        <v>85</v>
      </c>
      <c r="Q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3</v>
      </c>
      <c r="AG77">
        <v>0</v>
      </c>
      <c r="AH77">
        <v>3</v>
      </c>
      <c r="AI77">
        <v>-1</v>
      </c>
      <c r="AJ77" t="s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ROW(Source!A96)</f>
        <v>96</v>
      </c>
      <c r="B78">
        <v>56610549</v>
      </c>
      <c r="C78">
        <v>56610548</v>
      </c>
      <c r="D78">
        <v>47634407</v>
      </c>
      <c r="E78">
        <v>27786564</v>
      </c>
      <c r="F78">
        <v>1</v>
      </c>
      <c r="G78">
        <v>27786564</v>
      </c>
      <c r="H78">
        <v>1</v>
      </c>
      <c r="I78" t="s">
        <v>452</v>
      </c>
      <c r="J78" t="s">
        <v>3</v>
      </c>
      <c r="K78" t="s">
        <v>453</v>
      </c>
      <c r="L78">
        <v>1191</v>
      </c>
      <c r="N78">
        <v>1013</v>
      </c>
      <c r="O78" t="s">
        <v>454</v>
      </c>
      <c r="P78" t="s">
        <v>454</v>
      </c>
      <c r="Q78">
        <v>1</v>
      </c>
      <c r="X78">
        <v>6.08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</v>
      </c>
      <c r="AF78" t="s">
        <v>22</v>
      </c>
      <c r="AG78">
        <v>6.3840000000000003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ROW(Source!A96)</f>
        <v>96</v>
      </c>
      <c r="B79">
        <v>56610550</v>
      </c>
      <c r="C79">
        <v>56610548</v>
      </c>
      <c r="D79">
        <v>47767106</v>
      </c>
      <c r="E79">
        <v>1</v>
      </c>
      <c r="F79">
        <v>1</v>
      </c>
      <c r="G79">
        <v>27786564</v>
      </c>
      <c r="H79">
        <v>2</v>
      </c>
      <c r="I79" t="s">
        <v>455</v>
      </c>
      <c r="J79" t="s">
        <v>456</v>
      </c>
      <c r="K79" t="s">
        <v>457</v>
      </c>
      <c r="L79">
        <v>1368</v>
      </c>
      <c r="N79">
        <v>1011</v>
      </c>
      <c r="O79" t="s">
        <v>458</v>
      </c>
      <c r="P79" t="s">
        <v>458</v>
      </c>
      <c r="Q79">
        <v>1</v>
      </c>
      <c r="X79">
        <v>4.57</v>
      </c>
      <c r="Y79">
        <v>0</v>
      </c>
      <c r="Z79">
        <v>83.1</v>
      </c>
      <c r="AA79">
        <v>12.62</v>
      </c>
      <c r="AB79">
        <v>0</v>
      </c>
      <c r="AC79">
        <v>0</v>
      </c>
      <c r="AD79">
        <v>1</v>
      </c>
      <c r="AE79">
        <v>0</v>
      </c>
      <c r="AF79" t="s">
        <v>22</v>
      </c>
      <c r="AG79">
        <v>4.7985000000000007</v>
      </c>
      <c r="AH79">
        <v>3</v>
      </c>
      <c r="AI79">
        <v>-1</v>
      </c>
      <c r="AJ79" t="s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ROW(Source!A96)</f>
        <v>96</v>
      </c>
      <c r="B80">
        <v>56610551</v>
      </c>
      <c r="C80">
        <v>56610548</v>
      </c>
      <c r="D80">
        <v>30384156</v>
      </c>
      <c r="E80">
        <v>27786564</v>
      </c>
      <c r="F80">
        <v>1</v>
      </c>
      <c r="G80">
        <v>27786564</v>
      </c>
      <c r="H80">
        <v>3</v>
      </c>
      <c r="I80" t="s">
        <v>520</v>
      </c>
      <c r="J80" t="s">
        <v>3</v>
      </c>
      <c r="K80" t="s">
        <v>521</v>
      </c>
      <c r="L80">
        <v>1339</v>
      </c>
      <c r="N80">
        <v>1007</v>
      </c>
      <c r="O80" t="s">
        <v>85</v>
      </c>
      <c r="P80" t="s">
        <v>85</v>
      </c>
      <c r="Q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3</v>
      </c>
      <c r="AG80">
        <v>0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ROW(Source!A97)</f>
        <v>97</v>
      </c>
      <c r="B81">
        <v>56610553</v>
      </c>
      <c r="C81">
        <v>56610552</v>
      </c>
      <c r="D81">
        <v>47634407</v>
      </c>
      <c r="E81">
        <v>27786564</v>
      </c>
      <c r="F81">
        <v>1</v>
      </c>
      <c r="G81">
        <v>27786564</v>
      </c>
      <c r="H81">
        <v>1</v>
      </c>
      <c r="I81" t="s">
        <v>452</v>
      </c>
      <c r="J81" t="s">
        <v>3</v>
      </c>
      <c r="K81" t="s">
        <v>453</v>
      </c>
      <c r="L81">
        <v>1191</v>
      </c>
      <c r="N81">
        <v>1013</v>
      </c>
      <c r="O81" t="s">
        <v>454</v>
      </c>
      <c r="P81" t="s">
        <v>454</v>
      </c>
      <c r="Q81">
        <v>1</v>
      </c>
      <c r="X81">
        <v>2.2799999999999998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 t="s">
        <v>164</v>
      </c>
      <c r="AG81">
        <v>2.8727999999999994</v>
      </c>
      <c r="AH81">
        <v>3</v>
      </c>
      <c r="AI81">
        <v>-1</v>
      </c>
      <c r="AJ81" t="s">
        <v>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ROW(Source!A97)</f>
        <v>97</v>
      </c>
      <c r="B82">
        <v>56610554</v>
      </c>
      <c r="C82">
        <v>56610552</v>
      </c>
      <c r="D82">
        <v>47767106</v>
      </c>
      <c r="E82">
        <v>1</v>
      </c>
      <c r="F82">
        <v>1</v>
      </c>
      <c r="G82">
        <v>27786564</v>
      </c>
      <c r="H82">
        <v>2</v>
      </c>
      <c r="I82" t="s">
        <v>455</v>
      </c>
      <c r="J82" t="s">
        <v>456</v>
      </c>
      <c r="K82" t="s">
        <v>457</v>
      </c>
      <c r="L82">
        <v>1368</v>
      </c>
      <c r="N82">
        <v>1011</v>
      </c>
      <c r="O82" t="s">
        <v>458</v>
      </c>
      <c r="P82" t="s">
        <v>458</v>
      </c>
      <c r="Q82">
        <v>1</v>
      </c>
      <c r="X82">
        <v>1.31</v>
      </c>
      <c r="Y82">
        <v>0</v>
      </c>
      <c r="Z82">
        <v>83.1</v>
      </c>
      <c r="AA82">
        <v>12.62</v>
      </c>
      <c r="AB82">
        <v>0</v>
      </c>
      <c r="AC82">
        <v>0</v>
      </c>
      <c r="AD82">
        <v>1</v>
      </c>
      <c r="AE82">
        <v>0</v>
      </c>
      <c r="AF82" t="s">
        <v>164</v>
      </c>
      <c r="AG82">
        <v>1.6506000000000001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ROW(Source!A97)</f>
        <v>97</v>
      </c>
      <c r="B83">
        <v>56610555</v>
      </c>
      <c r="C83">
        <v>56610552</v>
      </c>
      <c r="D83">
        <v>30384156</v>
      </c>
      <c r="E83">
        <v>27786564</v>
      </c>
      <c r="F83">
        <v>1</v>
      </c>
      <c r="G83">
        <v>27786564</v>
      </c>
      <c r="H83">
        <v>3</v>
      </c>
      <c r="I83" t="s">
        <v>520</v>
      </c>
      <c r="J83" t="s">
        <v>3</v>
      </c>
      <c r="K83" t="s">
        <v>521</v>
      </c>
      <c r="L83">
        <v>1339</v>
      </c>
      <c r="N83">
        <v>1007</v>
      </c>
      <c r="O83" t="s">
        <v>85</v>
      </c>
      <c r="P83" t="s">
        <v>85</v>
      </c>
      <c r="Q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 t="s">
        <v>3</v>
      </c>
      <c r="AG83">
        <v>0</v>
      </c>
      <c r="AH83">
        <v>3</v>
      </c>
      <c r="AI83">
        <v>-1</v>
      </c>
      <c r="AJ83" t="s">
        <v>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ROW(Source!A98)</f>
        <v>98</v>
      </c>
      <c r="B84">
        <v>56610553</v>
      </c>
      <c r="C84">
        <v>56610552</v>
      </c>
      <c r="D84">
        <v>47634407</v>
      </c>
      <c r="E84">
        <v>27786564</v>
      </c>
      <c r="F84">
        <v>1</v>
      </c>
      <c r="G84">
        <v>27786564</v>
      </c>
      <c r="H84">
        <v>1</v>
      </c>
      <c r="I84" t="s">
        <v>452</v>
      </c>
      <c r="J84" t="s">
        <v>3</v>
      </c>
      <c r="K84" t="s">
        <v>453</v>
      </c>
      <c r="L84">
        <v>1191</v>
      </c>
      <c r="N84">
        <v>1013</v>
      </c>
      <c r="O84" t="s">
        <v>454</v>
      </c>
      <c r="P84" t="s">
        <v>454</v>
      </c>
      <c r="Q84">
        <v>1</v>
      </c>
      <c r="X84">
        <v>2.2799999999999998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 t="s">
        <v>164</v>
      </c>
      <c r="AG84">
        <v>2.8727999999999994</v>
      </c>
      <c r="AH84">
        <v>3</v>
      </c>
      <c r="AI84">
        <v>-1</v>
      </c>
      <c r="AJ84" t="s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ROW(Source!A98)</f>
        <v>98</v>
      </c>
      <c r="B85">
        <v>56610554</v>
      </c>
      <c r="C85">
        <v>56610552</v>
      </c>
      <c r="D85">
        <v>47767106</v>
      </c>
      <c r="E85">
        <v>1</v>
      </c>
      <c r="F85">
        <v>1</v>
      </c>
      <c r="G85">
        <v>27786564</v>
      </c>
      <c r="H85">
        <v>2</v>
      </c>
      <c r="I85" t="s">
        <v>455</v>
      </c>
      <c r="J85" t="s">
        <v>456</v>
      </c>
      <c r="K85" t="s">
        <v>457</v>
      </c>
      <c r="L85">
        <v>1368</v>
      </c>
      <c r="N85">
        <v>1011</v>
      </c>
      <c r="O85" t="s">
        <v>458</v>
      </c>
      <c r="P85" t="s">
        <v>458</v>
      </c>
      <c r="Q85">
        <v>1</v>
      </c>
      <c r="X85">
        <v>1.31</v>
      </c>
      <c r="Y85">
        <v>0</v>
      </c>
      <c r="Z85">
        <v>83.1</v>
      </c>
      <c r="AA85">
        <v>12.62</v>
      </c>
      <c r="AB85">
        <v>0</v>
      </c>
      <c r="AC85">
        <v>0</v>
      </c>
      <c r="AD85">
        <v>1</v>
      </c>
      <c r="AE85">
        <v>0</v>
      </c>
      <c r="AF85" t="s">
        <v>164</v>
      </c>
      <c r="AG85">
        <v>1.6506000000000001</v>
      </c>
      <c r="AH85">
        <v>3</v>
      </c>
      <c r="AI85">
        <v>-1</v>
      </c>
      <c r="AJ85" t="s">
        <v>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ROW(Source!A98)</f>
        <v>98</v>
      </c>
      <c r="B86">
        <v>56610555</v>
      </c>
      <c r="C86">
        <v>56610552</v>
      </c>
      <c r="D86">
        <v>30384156</v>
      </c>
      <c r="E86">
        <v>27786564</v>
      </c>
      <c r="F86">
        <v>1</v>
      </c>
      <c r="G86">
        <v>27786564</v>
      </c>
      <c r="H86">
        <v>3</v>
      </c>
      <c r="I86" t="s">
        <v>520</v>
      </c>
      <c r="J86" t="s">
        <v>3</v>
      </c>
      <c r="K86" t="s">
        <v>521</v>
      </c>
      <c r="L86">
        <v>1339</v>
      </c>
      <c r="N86">
        <v>1007</v>
      </c>
      <c r="O86" t="s">
        <v>85</v>
      </c>
      <c r="P86" t="s">
        <v>85</v>
      </c>
      <c r="Q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 t="s">
        <v>3</v>
      </c>
      <c r="AG86">
        <v>0</v>
      </c>
      <c r="AH86">
        <v>3</v>
      </c>
      <c r="AI86">
        <v>-1</v>
      </c>
      <c r="AJ86" t="s">
        <v>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ROW(Source!A99)</f>
        <v>99</v>
      </c>
      <c r="B87">
        <v>56610557</v>
      </c>
      <c r="C87">
        <v>56610556</v>
      </c>
      <c r="D87">
        <v>47634407</v>
      </c>
      <c r="E87">
        <v>27786564</v>
      </c>
      <c r="F87">
        <v>1</v>
      </c>
      <c r="G87">
        <v>27786564</v>
      </c>
      <c r="H87">
        <v>1</v>
      </c>
      <c r="I87" t="s">
        <v>452</v>
      </c>
      <c r="J87" t="s">
        <v>3</v>
      </c>
      <c r="K87" t="s">
        <v>453</v>
      </c>
      <c r="L87">
        <v>1191</v>
      </c>
      <c r="N87">
        <v>1013</v>
      </c>
      <c r="O87" t="s">
        <v>454</v>
      </c>
      <c r="P87" t="s">
        <v>454</v>
      </c>
      <c r="Q87">
        <v>1</v>
      </c>
      <c r="X87">
        <v>2.2799999999999998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 t="s">
        <v>22</v>
      </c>
      <c r="AG87">
        <v>2.3939999999999997</v>
      </c>
      <c r="AH87">
        <v>3</v>
      </c>
      <c r="AI87">
        <v>-1</v>
      </c>
      <c r="AJ87" t="s">
        <v>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ROW(Source!A99)</f>
        <v>99</v>
      </c>
      <c r="B88">
        <v>56610558</v>
      </c>
      <c r="C88">
        <v>56610556</v>
      </c>
      <c r="D88">
        <v>47767106</v>
      </c>
      <c r="E88">
        <v>1</v>
      </c>
      <c r="F88">
        <v>1</v>
      </c>
      <c r="G88">
        <v>27786564</v>
      </c>
      <c r="H88">
        <v>2</v>
      </c>
      <c r="I88" t="s">
        <v>455</v>
      </c>
      <c r="J88" t="s">
        <v>456</v>
      </c>
      <c r="K88" t="s">
        <v>457</v>
      </c>
      <c r="L88">
        <v>1368</v>
      </c>
      <c r="N88">
        <v>1011</v>
      </c>
      <c r="O88" t="s">
        <v>458</v>
      </c>
      <c r="P88" t="s">
        <v>458</v>
      </c>
      <c r="Q88">
        <v>1</v>
      </c>
      <c r="X88">
        <v>1.31</v>
      </c>
      <c r="Y88">
        <v>0</v>
      </c>
      <c r="Z88">
        <v>83.1</v>
      </c>
      <c r="AA88">
        <v>12.62</v>
      </c>
      <c r="AB88">
        <v>0</v>
      </c>
      <c r="AC88">
        <v>0</v>
      </c>
      <c r="AD88">
        <v>1</v>
      </c>
      <c r="AE88">
        <v>0</v>
      </c>
      <c r="AF88" t="s">
        <v>22</v>
      </c>
      <c r="AG88">
        <v>1.3755000000000002</v>
      </c>
      <c r="AH88">
        <v>3</v>
      </c>
      <c r="AI88">
        <v>-1</v>
      </c>
      <c r="AJ88" t="s">
        <v>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ROW(Source!A99)</f>
        <v>99</v>
      </c>
      <c r="B89">
        <v>56610559</v>
      </c>
      <c r="C89">
        <v>56610556</v>
      </c>
      <c r="D89">
        <v>30384156</v>
      </c>
      <c r="E89">
        <v>27786564</v>
      </c>
      <c r="F89">
        <v>1</v>
      </c>
      <c r="G89">
        <v>27786564</v>
      </c>
      <c r="H89">
        <v>3</v>
      </c>
      <c r="I89" t="s">
        <v>520</v>
      </c>
      <c r="J89" t="s">
        <v>3</v>
      </c>
      <c r="K89" t="s">
        <v>521</v>
      </c>
      <c r="L89">
        <v>1339</v>
      </c>
      <c r="N89">
        <v>1007</v>
      </c>
      <c r="O89" t="s">
        <v>85</v>
      </c>
      <c r="P89" t="s">
        <v>85</v>
      </c>
      <c r="Q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3</v>
      </c>
      <c r="AG89">
        <v>0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ROW(Source!A100)</f>
        <v>100</v>
      </c>
      <c r="B90">
        <v>56610557</v>
      </c>
      <c r="C90">
        <v>56610556</v>
      </c>
      <c r="D90">
        <v>47634407</v>
      </c>
      <c r="E90">
        <v>27786564</v>
      </c>
      <c r="F90">
        <v>1</v>
      </c>
      <c r="G90">
        <v>27786564</v>
      </c>
      <c r="H90">
        <v>1</v>
      </c>
      <c r="I90" t="s">
        <v>452</v>
      </c>
      <c r="J90" t="s">
        <v>3</v>
      </c>
      <c r="K90" t="s">
        <v>453</v>
      </c>
      <c r="L90">
        <v>1191</v>
      </c>
      <c r="N90">
        <v>1013</v>
      </c>
      <c r="O90" t="s">
        <v>454</v>
      </c>
      <c r="P90" t="s">
        <v>454</v>
      </c>
      <c r="Q90">
        <v>1</v>
      </c>
      <c r="X90">
        <v>2.2799999999999998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1</v>
      </c>
      <c r="AF90" t="s">
        <v>22</v>
      </c>
      <c r="AG90">
        <v>2.3939999999999997</v>
      </c>
      <c r="AH90">
        <v>3</v>
      </c>
      <c r="AI90">
        <v>-1</v>
      </c>
      <c r="AJ90" t="s">
        <v>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ROW(Source!A100)</f>
        <v>100</v>
      </c>
      <c r="B91">
        <v>56610558</v>
      </c>
      <c r="C91">
        <v>56610556</v>
      </c>
      <c r="D91">
        <v>47767106</v>
      </c>
      <c r="E91">
        <v>1</v>
      </c>
      <c r="F91">
        <v>1</v>
      </c>
      <c r="G91">
        <v>27786564</v>
      </c>
      <c r="H91">
        <v>2</v>
      </c>
      <c r="I91" t="s">
        <v>455</v>
      </c>
      <c r="J91" t="s">
        <v>456</v>
      </c>
      <c r="K91" t="s">
        <v>457</v>
      </c>
      <c r="L91">
        <v>1368</v>
      </c>
      <c r="N91">
        <v>1011</v>
      </c>
      <c r="O91" t="s">
        <v>458</v>
      </c>
      <c r="P91" t="s">
        <v>458</v>
      </c>
      <c r="Q91">
        <v>1</v>
      </c>
      <c r="X91">
        <v>1.31</v>
      </c>
      <c r="Y91">
        <v>0</v>
      </c>
      <c r="Z91">
        <v>83.1</v>
      </c>
      <c r="AA91">
        <v>12.62</v>
      </c>
      <c r="AB91">
        <v>0</v>
      </c>
      <c r="AC91">
        <v>0</v>
      </c>
      <c r="AD91">
        <v>1</v>
      </c>
      <c r="AE91">
        <v>0</v>
      </c>
      <c r="AF91" t="s">
        <v>22</v>
      </c>
      <c r="AG91">
        <v>1.3755000000000002</v>
      </c>
      <c r="AH91">
        <v>3</v>
      </c>
      <c r="AI91">
        <v>-1</v>
      </c>
      <c r="AJ91" t="s">
        <v>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ROW(Source!A100)</f>
        <v>100</v>
      </c>
      <c r="B92">
        <v>56610559</v>
      </c>
      <c r="C92">
        <v>56610556</v>
      </c>
      <c r="D92">
        <v>30384156</v>
      </c>
      <c r="E92">
        <v>27786564</v>
      </c>
      <c r="F92">
        <v>1</v>
      </c>
      <c r="G92">
        <v>27786564</v>
      </c>
      <c r="H92">
        <v>3</v>
      </c>
      <c r="I92" t="s">
        <v>520</v>
      </c>
      <c r="J92" t="s">
        <v>3</v>
      </c>
      <c r="K92" t="s">
        <v>521</v>
      </c>
      <c r="L92">
        <v>1339</v>
      </c>
      <c r="N92">
        <v>1007</v>
      </c>
      <c r="O92" t="s">
        <v>85</v>
      </c>
      <c r="P92" t="s">
        <v>85</v>
      </c>
      <c r="Q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3</v>
      </c>
      <c r="AG92">
        <v>0</v>
      </c>
      <c r="AH92">
        <v>3</v>
      </c>
      <c r="AI92">
        <v>-1</v>
      </c>
      <c r="AJ92" t="s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ROW(Source!A103)</f>
        <v>103</v>
      </c>
      <c r="B93">
        <v>56610562</v>
      </c>
      <c r="C93">
        <v>56610561</v>
      </c>
      <c r="D93">
        <v>47634407</v>
      </c>
      <c r="E93">
        <v>27786564</v>
      </c>
      <c r="F93">
        <v>1</v>
      </c>
      <c r="G93">
        <v>27786564</v>
      </c>
      <c r="H93">
        <v>1</v>
      </c>
      <c r="I93" t="s">
        <v>452</v>
      </c>
      <c r="J93" t="s">
        <v>3</v>
      </c>
      <c r="K93" t="s">
        <v>453</v>
      </c>
      <c r="L93">
        <v>1191</v>
      </c>
      <c r="N93">
        <v>1013</v>
      </c>
      <c r="O93" t="s">
        <v>454</v>
      </c>
      <c r="P93" t="s">
        <v>454</v>
      </c>
      <c r="Q93">
        <v>1</v>
      </c>
      <c r="X93">
        <v>11.8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 t="s">
        <v>164</v>
      </c>
      <c r="AG93">
        <v>14.868</v>
      </c>
      <c r="AH93">
        <v>3</v>
      </c>
      <c r="AI93">
        <v>-1</v>
      </c>
      <c r="AJ93" t="s">
        <v>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ROW(Source!A103)</f>
        <v>103</v>
      </c>
      <c r="B94">
        <v>56610563</v>
      </c>
      <c r="C94">
        <v>56610561</v>
      </c>
      <c r="D94">
        <v>47767106</v>
      </c>
      <c r="E94">
        <v>1</v>
      </c>
      <c r="F94">
        <v>1</v>
      </c>
      <c r="G94">
        <v>27786564</v>
      </c>
      <c r="H94">
        <v>2</v>
      </c>
      <c r="I94" t="s">
        <v>455</v>
      </c>
      <c r="J94" t="s">
        <v>456</v>
      </c>
      <c r="K94" t="s">
        <v>457</v>
      </c>
      <c r="L94">
        <v>1368</v>
      </c>
      <c r="N94">
        <v>1011</v>
      </c>
      <c r="O94" t="s">
        <v>458</v>
      </c>
      <c r="P94" t="s">
        <v>458</v>
      </c>
      <c r="Q94">
        <v>1</v>
      </c>
      <c r="X94">
        <v>0.51</v>
      </c>
      <c r="Y94">
        <v>0</v>
      </c>
      <c r="Z94">
        <v>83.1</v>
      </c>
      <c r="AA94">
        <v>12.62</v>
      </c>
      <c r="AB94">
        <v>0</v>
      </c>
      <c r="AC94">
        <v>0</v>
      </c>
      <c r="AD94">
        <v>1</v>
      </c>
      <c r="AE94">
        <v>0</v>
      </c>
      <c r="AF94" t="s">
        <v>164</v>
      </c>
      <c r="AG94">
        <v>0.64260000000000006</v>
      </c>
      <c r="AH94">
        <v>3</v>
      </c>
      <c r="AI94">
        <v>-1</v>
      </c>
      <c r="AJ94" t="s">
        <v>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ROW(Source!A103)</f>
        <v>103</v>
      </c>
      <c r="B95">
        <v>56610564</v>
      </c>
      <c r="C95">
        <v>56610561</v>
      </c>
      <c r="D95">
        <v>47766535</v>
      </c>
      <c r="E95">
        <v>1</v>
      </c>
      <c r="F95">
        <v>1</v>
      </c>
      <c r="G95">
        <v>27786564</v>
      </c>
      <c r="H95">
        <v>2</v>
      </c>
      <c r="I95" t="s">
        <v>522</v>
      </c>
      <c r="J95" t="s">
        <v>523</v>
      </c>
      <c r="K95" t="s">
        <v>524</v>
      </c>
      <c r="L95">
        <v>1368</v>
      </c>
      <c r="N95">
        <v>1011</v>
      </c>
      <c r="O95" t="s">
        <v>458</v>
      </c>
      <c r="P95" t="s">
        <v>458</v>
      </c>
      <c r="Q95">
        <v>1</v>
      </c>
      <c r="X95">
        <v>2.77</v>
      </c>
      <c r="Y95">
        <v>0</v>
      </c>
      <c r="Z95">
        <v>2.27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164</v>
      </c>
      <c r="AG95">
        <v>3.4902000000000002</v>
      </c>
      <c r="AH95">
        <v>3</v>
      </c>
      <c r="AI95">
        <v>-1</v>
      </c>
      <c r="AJ95" t="s">
        <v>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ROW(Source!A103)</f>
        <v>103</v>
      </c>
      <c r="B96">
        <v>56610565</v>
      </c>
      <c r="C96">
        <v>56610561</v>
      </c>
      <c r="D96">
        <v>47766545</v>
      </c>
      <c r="E96">
        <v>1</v>
      </c>
      <c r="F96">
        <v>1</v>
      </c>
      <c r="G96">
        <v>27786564</v>
      </c>
      <c r="H96">
        <v>2</v>
      </c>
      <c r="I96" t="s">
        <v>525</v>
      </c>
      <c r="J96" t="s">
        <v>526</v>
      </c>
      <c r="K96" t="s">
        <v>527</v>
      </c>
      <c r="L96">
        <v>1368</v>
      </c>
      <c r="N96">
        <v>1011</v>
      </c>
      <c r="O96" t="s">
        <v>458</v>
      </c>
      <c r="P96" t="s">
        <v>458</v>
      </c>
      <c r="Q96">
        <v>1</v>
      </c>
      <c r="X96">
        <v>2.77</v>
      </c>
      <c r="Y96">
        <v>0</v>
      </c>
      <c r="Z96">
        <v>0.73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164</v>
      </c>
      <c r="AG96">
        <v>3.4902000000000002</v>
      </c>
      <c r="AH96">
        <v>3</v>
      </c>
      <c r="AI96">
        <v>-1</v>
      </c>
      <c r="AJ96" t="s">
        <v>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ROW(Source!A103)</f>
        <v>103</v>
      </c>
      <c r="B97">
        <v>56610566</v>
      </c>
      <c r="C97">
        <v>56610561</v>
      </c>
      <c r="D97">
        <v>32913309</v>
      </c>
      <c r="E97">
        <v>1</v>
      </c>
      <c r="F97">
        <v>1</v>
      </c>
      <c r="G97">
        <v>27786564</v>
      </c>
      <c r="H97">
        <v>3</v>
      </c>
      <c r="I97" t="s">
        <v>528</v>
      </c>
      <c r="J97" t="s">
        <v>529</v>
      </c>
      <c r="K97" t="s">
        <v>530</v>
      </c>
      <c r="L97">
        <v>1348</v>
      </c>
      <c r="N97">
        <v>1009</v>
      </c>
      <c r="O97" t="s">
        <v>318</v>
      </c>
      <c r="P97" t="s">
        <v>318</v>
      </c>
      <c r="Q97">
        <v>1000</v>
      </c>
      <c r="X97">
        <v>1E-3</v>
      </c>
      <c r="Y97">
        <v>7254.88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 t="s">
        <v>163</v>
      </c>
      <c r="AG97">
        <v>1E-3</v>
      </c>
      <c r="AH97">
        <v>3</v>
      </c>
      <c r="AI97">
        <v>-1</v>
      </c>
      <c r="AJ97" t="s">
        <v>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ROW(Source!A103)</f>
        <v>103</v>
      </c>
      <c r="B98">
        <v>56610567</v>
      </c>
      <c r="C98">
        <v>56610561</v>
      </c>
      <c r="D98">
        <v>32913337</v>
      </c>
      <c r="E98">
        <v>1</v>
      </c>
      <c r="F98">
        <v>1</v>
      </c>
      <c r="G98">
        <v>27786564</v>
      </c>
      <c r="H98">
        <v>3</v>
      </c>
      <c r="I98" t="s">
        <v>531</v>
      </c>
      <c r="J98" t="s">
        <v>532</v>
      </c>
      <c r="K98" t="s">
        <v>533</v>
      </c>
      <c r="L98">
        <v>1348</v>
      </c>
      <c r="N98">
        <v>1009</v>
      </c>
      <c r="O98" t="s">
        <v>318</v>
      </c>
      <c r="P98" t="s">
        <v>318</v>
      </c>
      <c r="Q98">
        <v>1000</v>
      </c>
      <c r="X98">
        <v>0.01</v>
      </c>
      <c r="Y98">
        <v>9853.14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163</v>
      </c>
      <c r="AG98">
        <v>0.01</v>
      </c>
      <c r="AH98">
        <v>3</v>
      </c>
      <c r="AI98">
        <v>-1</v>
      </c>
      <c r="AJ98" t="s">
        <v>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ROW(Source!A103)</f>
        <v>103</v>
      </c>
      <c r="B99">
        <v>56610568</v>
      </c>
      <c r="C99">
        <v>56610561</v>
      </c>
      <c r="D99">
        <v>46723495</v>
      </c>
      <c r="E99">
        <v>1</v>
      </c>
      <c r="F99">
        <v>1</v>
      </c>
      <c r="G99">
        <v>27786564</v>
      </c>
      <c r="H99">
        <v>3</v>
      </c>
      <c r="I99" t="s">
        <v>534</v>
      </c>
      <c r="J99" t="s">
        <v>535</v>
      </c>
      <c r="K99" t="s">
        <v>536</v>
      </c>
      <c r="L99">
        <v>1348</v>
      </c>
      <c r="N99">
        <v>1009</v>
      </c>
      <c r="O99" t="s">
        <v>318</v>
      </c>
      <c r="P99" t="s">
        <v>318</v>
      </c>
      <c r="Q99">
        <v>1000</v>
      </c>
      <c r="X99">
        <v>2.5000000000000001E-4</v>
      </c>
      <c r="Y99">
        <v>16222.39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163</v>
      </c>
      <c r="AG99">
        <v>2.5000000000000001E-4</v>
      </c>
      <c r="AH99">
        <v>3</v>
      </c>
      <c r="AI99">
        <v>-1</v>
      </c>
      <c r="AJ99" t="s">
        <v>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ROW(Source!A103)</f>
        <v>103</v>
      </c>
      <c r="B100">
        <v>56610569</v>
      </c>
      <c r="C100">
        <v>56610561</v>
      </c>
      <c r="D100">
        <v>46723498</v>
      </c>
      <c r="E100">
        <v>1</v>
      </c>
      <c r="F100">
        <v>1</v>
      </c>
      <c r="G100">
        <v>27786564</v>
      </c>
      <c r="H100">
        <v>3</v>
      </c>
      <c r="I100" t="s">
        <v>537</v>
      </c>
      <c r="J100" t="s">
        <v>538</v>
      </c>
      <c r="K100" t="s">
        <v>539</v>
      </c>
      <c r="L100">
        <v>1348</v>
      </c>
      <c r="N100">
        <v>1009</v>
      </c>
      <c r="O100" t="s">
        <v>318</v>
      </c>
      <c r="P100" t="s">
        <v>318</v>
      </c>
      <c r="Q100">
        <v>1000</v>
      </c>
      <c r="X100">
        <v>6.0000000000000002E-5</v>
      </c>
      <c r="Y100">
        <v>11242.42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163</v>
      </c>
      <c r="AG100">
        <v>6.0000000000000002E-5</v>
      </c>
      <c r="AH100">
        <v>3</v>
      </c>
      <c r="AI100">
        <v>-1</v>
      </c>
      <c r="AJ100" t="s">
        <v>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ROW(Source!A103)</f>
        <v>103</v>
      </c>
      <c r="B101">
        <v>56610570</v>
      </c>
      <c r="C101">
        <v>56610561</v>
      </c>
      <c r="D101">
        <v>45796980</v>
      </c>
      <c r="E101">
        <v>1</v>
      </c>
      <c r="F101">
        <v>1</v>
      </c>
      <c r="G101">
        <v>27786564</v>
      </c>
      <c r="H101">
        <v>3</v>
      </c>
      <c r="I101" t="s">
        <v>540</v>
      </c>
      <c r="J101" t="s">
        <v>541</v>
      </c>
      <c r="K101" t="s">
        <v>542</v>
      </c>
      <c r="L101">
        <v>1346</v>
      </c>
      <c r="N101">
        <v>1009</v>
      </c>
      <c r="O101" t="s">
        <v>101</v>
      </c>
      <c r="P101" t="s">
        <v>101</v>
      </c>
      <c r="Q101">
        <v>1</v>
      </c>
      <c r="X101">
        <v>0.8</v>
      </c>
      <c r="Y101">
        <v>25.8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163</v>
      </c>
      <c r="AG101">
        <v>0.8</v>
      </c>
      <c r="AH101">
        <v>3</v>
      </c>
      <c r="AI101">
        <v>-1</v>
      </c>
      <c r="AJ101" t="s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ROW(Source!A103)</f>
        <v>103</v>
      </c>
      <c r="B102">
        <v>56610571</v>
      </c>
      <c r="C102">
        <v>56610561</v>
      </c>
      <c r="D102">
        <v>46723704</v>
      </c>
      <c r="E102">
        <v>1</v>
      </c>
      <c r="F102">
        <v>1</v>
      </c>
      <c r="G102">
        <v>27786564</v>
      </c>
      <c r="H102">
        <v>3</v>
      </c>
      <c r="I102" t="s">
        <v>543</v>
      </c>
      <c r="J102" t="s">
        <v>544</v>
      </c>
      <c r="K102" t="s">
        <v>545</v>
      </c>
      <c r="L102">
        <v>1348</v>
      </c>
      <c r="N102">
        <v>1009</v>
      </c>
      <c r="O102" t="s">
        <v>318</v>
      </c>
      <c r="P102" t="s">
        <v>318</v>
      </c>
      <c r="Q102">
        <v>1000</v>
      </c>
      <c r="X102">
        <v>4.0000000000000003E-5</v>
      </c>
      <c r="Y102">
        <v>7982.5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163</v>
      </c>
      <c r="AG102">
        <v>4.0000000000000003E-5</v>
      </c>
      <c r="AH102">
        <v>3</v>
      </c>
      <c r="AI102">
        <v>-1</v>
      </c>
      <c r="AJ102" t="s">
        <v>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ROW(Source!A103)</f>
        <v>103</v>
      </c>
      <c r="B103">
        <v>56610572</v>
      </c>
      <c r="C103">
        <v>56610561</v>
      </c>
      <c r="D103">
        <v>46735845</v>
      </c>
      <c r="E103">
        <v>1</v>
      </c>
      <c r="F103">
        <v>1</v>
      </c>
      <c r="G103">
        <v>27786564</v>
      </c>
      <c r="H103">
        <v>3</v>
      </c>
      <c r="I103" t="s">
        <v>546</v>
      </c>
      <c r="J103" t="s">
        <v>547</v>
      </c>
      <c r="K103" t="s">
        <v>548</v>
      </c>
      <c r="L103">
        <v>1356</v>
      </c>
      <c r="N103">
        <v>1010</v>
      </c>
      <c r="O103" t="s">
        <v>549</v>
      </c>
      <c r="P103" t="s">
        <v>549</v>
      </c>
      <c r="Q103">
        <v>1000</v>
      </c>
      <c r="X103">
        <v>4.1000000000000003E-3</v>
      </c>
      <c r="Y103">
        <v>226.68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163</v>
      </c>
      <c r="AG103">
        <v>4.1000000000000003E-3</v>
      </c>
      <c r="AH103">
        <v>3</v>
      </c>
      <c r="AI103">
        <v>-1</v>
      </c>
      <c r="AJ103" t="s">
        <v>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ROW(Source!A103)</f>
        <v>103</v>
      </c>
      <c r="B104">
        <v>56610573</v>
      </c>
      <c r="C104">
        <v>56610561</v>
      </c>
      <c r="D104">
        <v>46735506</v>
      </c>
      <c r="E104">
        <v>1</v>
      </c>
      <c r="F104">
        <v>1</v>
      </c>
      <c r="G104">
        <v>27786564</v>
      </c>
      <c r="H104">
        <v>3</v>
      </c>
      <c r="I104" t="s">
        <v>550</v>
      </c>
      <c r="J104" t="s">
        <v>551</v>
      </c>
      <c r="K104" t="s">
        <v>552</v>
      </c>
      <c r="L104">
        <v>1301</v>
      </c>
      <c r="N104">
        <v>1003</v>
      </c>
      <c r="O104" t="s">
        <v>57</v>
      </c>
      <c r="P104" t="s">
        <v>57</v>
      </c>
      <c r="Q104">
        <v>1</v>
      </c>
      <c r="X104">
        <v>0.96</v>
      </c>
      <c r="Y104">
        <v>0.7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163</v>
      </c>
      <c r="AG104">
        <v>0.96</v>
      </c>
      <c r="AH104">
        <v>3</v>
      </c>
      <c r="AI104">
        <v>-1</v>
      </c>
      <c r="AJ104" t="s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ROW(Source!A103)</f>
        <v>103</v>
      </c>
      <c r="B105">
        <v>56610574</v>
      </c>
      <c r="C105">
        <v>56610561</v>
      </c>
      <c r="D105">
        <v>46735508</v>
      </c>
      <c r="E105">
        <v>1</v>
      </c>
      <c r="F105">
        <v>1</v>
      </c>
      <c r="G105">
        <v>27786564</v>
      </c>
      <c r="H105">
        <v>3</v>
      </c>
      <c r="I105" t="s">
        <v>553</v>
      </c>
      <c r="J105" t="s">
        <v>554</v>
      </c>
      <c r="K105" t="s">
        <v>555</v>
      </c>
      <c r="L105">
        <v>1356</v>
      </c>
      <c r="N105">
        <v>1010</v>
      </c>
      <c r="O105" t="s">
        <v>549</v>
      </c>
      <c r="P105" t="s">
        <v>549</v>
      </c>
      <c r="Q105">
        <v>1000</v>
      </c>
      <c r="X105">
        <v>8.3199999999999993E-3</v>
      </c>
      <c r="Y105">
        <v>6.44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 t="s">
        <v>163</v>
      </c>
      <c r="AG105">
        <v>8.3199999999999993E-3</v>
      </c>
      <c r="AH105">
        <v>3</v>
      </c>
      <c r="AI105">
        <v>-1</v>
      </c>
      <c r="AJ105" t="s">
        <v>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ROW(Source!A103)</f>
        <v>103</v>
      </c>
      <c r="B106">
        <v>56610575</v>
      </c>
      <c r="C106">
        <v>56610561</v>
      </c>
      <c r="D106">
        <v>49717618</v>
      </c>
      <c r="E106">
        <v>27786564</v>
      </c>
      <c r="F106">
        <v>1</v>
      </c>
      <c r="G106">
        <v>27786564</v>
      </c>
      <c r="H106">
        <v>3</v>
      </c>
      <c r="I106" t="s">
        <v>556</v>
      </c>
      <c r="J106" t="s">
        <v>3</v>
      </c>
      <c r="K106" t="s">
        <v>557</v>
      </c>
      <c r="L106">
        <v>1303</v>
      </c>
      <c r="N106">
        <v>1003</v>
      </c>
      <c r="O106" t="s">
        <v>194</v>
      </c>
      <c r="P106" t="s">
        <v>194</v>
      </c>
      <c r="Q106">
        <v>1000</v>
      </c>
      <c r="X106">
        <v>0.10199999999999999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163</v>
      </c>
      <c r="AG106">
        <v>0.10199999999999999</v>
      </c>
      <c r="AH106">
        <v>3</v>
      </c>
      <c r="AI106">
        <v>-1</v>
      </c>
      <c r="AJ106" t="s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ROW(Source!A104)</f>
        <v>104</v>
      </c>
      <c r="B107">
        <v>56610562</v>
      </c>
      <c r="C107">
        <v>56610561</v>
      </c>
      <c r="D107">
        <v>47634407</v>
      </c>
      <c r="E107">
        <v>27786564</v>
      </c>
      <c r="F107">
        <v>1</v>
      </c>
      <c r="G107">
        <v>27786564</v>
      </c>
      <c r="H107">
        <v>1</v>
      </c>
      <c r="I107" t="s">
        <v>452</v>
      </c>
      <c r="J107" t="s">
        <v>3</v>
      </c>
      <c r="K107" t="s">
        <v>453</v>
      </c>
      <c r="L107">
        <v>1191</v>
      </c>
      <c r="N107">
        <v>1013</v>
      </c>
      <c r="O107" t="s">
        <v>454</v>
      </c>
      <c r="P107" t="s">
        <v>454</v>
      </c>
      <c r="Q107">
        <v>1</v>
      </c>
      <c r="X107">
        <v>11.8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1</v>
      </c>
      <c r="AF107" t="s">
        <v>164</v>
      </c>
      <c r="AG107">
        <v>14.868</v>
      </c>
      <c r="AH107">
        <v>3</v>
      </c>
      <c r="AI107">
        <v>-1</v>
      </c>
      <c r="AJ107" t="s">
        <v>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ROW(Source!A104)</f>
        <v>104</v>
      </c>
      <c r="B108">
        <v>56610563</v>
      </c>
      <c r="C108">
        <v>56610561</v>
      </c>
      <c r="D108">
        <v>47767106</v>
      </c>
      <c r="E108">
        <v>1</v>
      </c>
      <c r="F108">
        <v>1</v>
      </c>
      <c r="G108">
        <v>27786564</v>
      </c>
      <c r="H108">
        <v>2</v>
      </c>
      <c r="I108" t="s">
        <v>455</v>
      </c>
      <c r="J108" t="s">
        <v>456</v>
      </c>
      <c r="K108" t="s">
        <v>457</v>
      </c>
      <c r="L108">
        <v>1368</v>
      </c>
      <c r="N108">
        <v>1011</v>
      </c>
      <c r="O108" t="s">
        <v>458</v>
      </c>
      <c r="P108" t="s">
        <v>458</v>
      </c>
      <c r="Q108">
        <v>1</v>
      </c>
      <c r="X108">
        <v>0.51</v>
      </c>
      <c r="Y108">
        <v>0</v>
      </c>
      <c r="Z108">
        <v>83.1</v>
      </c>
      <c r="AA108">
        <v>12.62</v>
      </c>
      <c r="AB108">
        <v>0</v>
      </c>
      <c r="AC108">
        <v>0</v>
      </c>
      <c r="AD108">
        <v>1</v>
      </c>
      <c r="AE108">
        <v>0</v>
      </c>
      <c r="AF108" t="s">
        <v>164</v>
      </c>
      <c r="AG108">
        <v>0.64260000000000006</v>
      </c>
      <c r="AH108">
        <v>3</v>
      </c>
      <c r="AI108">
        <v>-1</v>
      </c>
      <c r="AJ108" t="s">
        <v>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ROW(Source!A104)</f>
        <v>104</v>
      </c>
      <c r="B109">
        <v>56610564</v>
      </c>
      <c r="C109">
        <v>56610561</v>
      </c>
      <c r="D109">
        <v>47766535</v>
      </c>
      <c r="E109">
        <v>1</v>
      </c>
      <c r="F109">
        <v>1</v>
      </c>
      <c r="G109">
        <v>27786564</v>
      </c>
      <c r="H109">
        <v>2</v>
      </c>
      <c r="I109" t="s">
        <v>522</v>
      </c>
      <c r="J109" t="s">
        <v>523</v>
      </c>
      <c r="K109" t="s">
        <v>524</v>
      </c>
      <c r="L109">
        <v>1368</v>
      </c>
      <c r="N109">
        <v>1011</v>
      </c>
      <c r="O109" t="s">
        <v>458</v>
      </c>
      <c r="P109" t="s">
        <v>458</v>
      </c>
      <c r="Q109">
        <v>1</v>
      </c>
      <c r="X109">
        <v>2.77</v>
      </c>
      <c r="Y109">
        <v>0</v>
      </c>
      <c r="Z109">
        <v>2.27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164</v>
      </c>
      <c r="AG109">
        <v>3.4902000000000002</v>
      </c>
      <c r="AH109">
        <v>3</v>
      </c>
      <c r="AI109">
        <v>-1</v>
      </c>
      <c r="AJ109" t="s">
        <v>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ROW(Source!A104)</f>
        <v>104</v>
      </c>
      <c r="B110">
        <v>56610565</v>
      </c>
      <c r="C110">
        <v>56610561</v>
      </c>
      <c r="D110">
        <v>47766545</v>
      </c>
      <c r="E110">
        <v>1</v>
      </c>
      <c r="F110">
        <v>1</v>
      </c>
      <c r="G110">
        <v>27786564</v>
      </c>
      <c r="H110">
        <v>2</v>
      </c>
      <c r="I110" t="s">
        <v>525</v>
      </c>
      <c r="J110" t="s">
        <v>526</v>
      </c>
      <c r="K110" t="s">
        <v>527</v>
      </c>
      <c r="L110">
        <v>1368</v>
      </c>
      <c r="N110">
        <v>1011</v>
      </c>
      <c r="O110" t="s">
        <v>458</v>
      </c>
      <c r="P110" t="s">
        <v>458</v>
      </c>
      <c r="Q110">
        <v>1</v>
      </c>
      <c r="X110">
        <v>2.77</v>
      </c>
      <c r="Y110">
        <v>0</v>
      </c>
      <c r="Z110">
        <v>0.73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164</v>
      </c>
      <c r="AG110">
        <v>3.4902000000000002</v>
      </c>
      <c r="AH110">
        <v>3</v>
      </c>
      <c r="AI110">
        <v>-1</v>
      </c>
      <c r="AJ110" t="s">
        <v>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ROW(Source!A104)</f>
        <v>104</v>
      </c>
      <c r="B111">
        <v>56610566</v>
      </c>
      <c r="C111">
        <v>56610561</v>
      </c>
      <c r="D111">
        <v>32913309</v>
      </c>
      <c r="E111">
        <v>1</v>
      </c>
      <c r="F111">
        <v>1</v>
      </c>
      <c r="G111">
        <v>27786564</v>
      </c>
      <c r="H111">
        <v>3</v>
      </c>
      <c r="I111" t="s">
        <v>528</v>
      </c>
      <c r="J111" t="s">
        <v>529</v>
      </c>
      <c r="K111" t="s">
        <v>530</v>
      </c>
      <c r="L111">
        <v>1348</v>
      </c>
      <c r="N111">
        <v>1009</v>
      </c>
      <c r="O111" t="s">
        <v>318</v>
      </c>
      <c r="P111" t="s">
        <v>318</v>
      </c>
      <c r="Q111">
        <v>1000</v>
      </c>
      <c r="X111">
        <v>1E-3</v>
      </c>
      <c r="Y111">
        <v>7254.88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163</v>
      </c>
      <c r="AG111">
        <v>1E-3</v>
      </c>
      <c r="AH111">
        <v>3</v>
      </c>
      <c r="AI111">
        <v>-1</v>
      </c>
      <c r="AJ111" t="s">
        <v>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ROW(Source!A104)</f>
        <v>104</v>
      </c>
      <c r="B112">
        <v>56610567</v>
      </c>
      <c r="C112">
        <v>56610561</v>
      </c>
      <c r="D112">
        <v>32913337</v>
      </c>
      <c r="E112">
        <v>1</v>
      </c>
      <c r="F112">
        <v>1</v>
      </c>
      <c r="G112">
        <v>27786564</v>
      </c>
      <c r="H112">
        <v>3</v>
      </c>
      <c r="I112" t="s">
        <v>531</v>
      </c>
      <c r="J112" t="s">
        <v>532</v>
      </c>
      <c r="K112" t="s">
        <v>533</v>
      </c>
      <c r="L112">
        <v>1348</v>
      </c>
      <c r="N112">
        <v>1009</v>
      </c>
      <c r="O112" t="s">
        <v>318</v>
      </c>
      <c r="P112" t="s">
        <v>318</v>
      </c>
      <c r="Q112">
        <v>1000</v>
      </c>
      <c r="X112">
        <v>0.01</v>
      </c>
      <c r="Y112">
        <v>9853.14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163</v>
      </c>
      <c r="AG112">
        <v>0.01</v>
      </c>
      <c r="AH112">
        <v>3</v>
      </c>
      <c r="AI112">
        <v>-1</v>
      </c>
      <c r="AJ112" t="s">
        <v>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ROW(Source!A104)</f>
        <v>104</v>
      </c>
      <c r="B113">
        <v>56610568</v>
      </c>
      <c r="C113">
        <v>56610561</v>
      </c>
      <c r="D113">
        <v>46723495</v>
      </c>
      <c r="E113">
        <v>1</v>
      </c>
      <c r="F113">
        <v>1</v>
      </c>
      <c r="G113">
        <v>27786564</v>
      </c>
      <c r="H113">
        <v>3</v>
      </c>
      <c r="I113" t="s">
        <v>534</v>
      </c>
      <c r="J113" t="s">
        <v>535</v>
      </c>
      <c r="K113" t="s">
        <v>536</v>
      </c>
      <c r="L113">
        <v>1348</v>
      </c>
      <c r="N113">
        <v>1009</v>
      </c>
      <c r="O113" t="s">
        <v>318</v>
      </c>
      <c r="P113" t="s">
        <v>318</v>
      </c>
      <c r="Q113">
        <v>1000</v>
      </c>
      <c r="X113">
        <v>2.5000000000000001E-4</v>
      </c>
      <c r="Y113">
        <v>16222.39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163</v>
      </c>
      <c r="AG113">
        <v>2.5000000000000001E-4</v>
      </c>
      <c r="AH113">
        <v>3</v>
      </c>
      <c r="AI113">
        <v>-1</v>
      </c>
      <c r="AJ113" t="s">
        <v>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ROW(Source!A104)</f>
        <v>104</v>
      </c>
      <c r="B114">
        <v>56610569</v>
      </c>
      <c r="C114">
        <v>56610561</v>
      </c>
      <c r="D114">
        <v>46723498</v>
      </c>
      <c r="E114">
        <v>1</v>
      </c>
      <c r="F114">
        <v>1</v>
      </c>
      <c r="G114">
        <v>27786564</v>
      </c>
      <c r="H114">
        <v>3</v>
      </c>
      <c r="I114" t="s">
        <v>537</v>
      </c>
      <c r="J114" t="s">
        <v>538</v>
      </c>
      <c r="K114" t="s">
        <v>539</v>
      </c>
      <c r="L114">
        <v>1348</v>
      </c>
      <c r="N114">
        <v>1009</v>
      </c>
      <c r="O114" t="s">
        <v>318</v>
      </c>
      <c r="P114" t="s">
        <v>318</v>
      </c>
      <c r="Q114">
        <v>1000</v>
      </c>
      <c r="X114">
        <v>6.0000000000000002E-5</v>
      </c>
      <c r="Y114">
        <v>11242.42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163</v>
      </c>
      <c r="AG114">
        <v>6.0000000000000002E-5</v>
      </c>
      <c r="AH114">
        <v>3</v>
      </c>
      <c r="AI114">
        <v>-1</v>
      </c>
      <c r="AJ114" t="s">
        <v>3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ROW(Source!A104)</f>
        <v>104</v>
      </c>
      <c r="B115">
        <v>56610570</v>
      </c>
      <c r="C115">
        <v>56610561</v>
      </c>
      <c r="D115">
        <v>45796980</v>
      </c>
      <c r="E115">
        <v>1</v>
      </c>
      <c r="F115">
        <v>1</v>
      </c>
      <c r="G115">
        <v>27786564</v>
      </c>
      <c r="H115">
        <v>3</v>
      </c>
      <c r="I115" t="s">
        <v>540</v>
      </c>
      <c r="J115" t="s">
        <v>541</v>
      </c>
      <c r="K115" t="s">
        <v>542</v>
      </c>
      <c r="L115">
        <v>1346</v>
      </c>
      <c r="N115">
        <v>1009</v>
      </c>
      <c r="O115" t="s">
        <v>101</v>
      </c>
      <c r="P115" t="s">
        <v>101</v>
      </c>
      <c r="Q115">
        <v>1</v>
      </c>
      <c r="X115">
        <v>0.8</v>
      </c>
      <c r="Y115">
        <v>25.8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163</v>
      </c>
      <c r="AG115">
        <v>0.8</v>
      </c>
      <c r="AH115">
        <v>3</v>
      </c>
      <c r="AI115">
        <v>-1</v>
      </c>
      <c r="AJ115" t="s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ROW(Source!A104)</f>
        <v>104</v>
      </c>
      <c r="B116">
        <v>56610571</v>
      </c>
      <c r="C116">
        <v>56610561</v>
      </c>
      <c r="D116">
        <v>46723704</v>
      </c>
      <c r="E116">
        <v>1</v>
      </c>
      <c r="F116">
        <v>1</v>
      </c>
      <c r="G116">
        <v>27786564</v>
      </c>
      <c r="H116">
        <v>3</v>
      </c>
      <c r="I116" t="s">
        <v>543</v>
      </c>
      <c r="J116" t="s">
        <v>544</v>
      </c>
      <c r="K116" t="s">
        <v>545</v>
      </c>
      <c r="L116">
        <v>1348</v>
      </c>
      <c r="N116">
        <v>1009</v>
      </c>
      <c r="O116" t="s">
        <v>318</v>
      </c>
      <c r="P116" t="s">
        <v>318</v>
      </c>
      <c r="Q116">
        <v>1000</v>
      </c>
      <c r="X116">
        <v>4.0000000000000003E-5</v>
      </c>
      <c r="Y116">
        <v>7982.5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163</v>
      </c>
      <c r="AG116">
        <v>4.0000000000000003E-5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ROW(Source!A104)</f>
        <v>104</v>
      </c>
      <c r="B117">
        <v>56610572</v>
      </c>
      <c r="C117">
        <v>56610561</v>
      </c>
      <c r="D117">
        <v>46735845</v>
      </c>
      <c r="E117">
        <v>1</v>
      </c>
      <c r="F117">
        <v>1</v>
      </c>
      <c r="G117">
        <v>27786564</v>
      </c>
      <c r="H117">
        <v>3</v>
      </c>
      <c r="I117" t="s">
        <v>546</v>
      </c>
      <c r="J117" t="s">
        <v>547</v>
      </c>
      <c r="K117" t="s">
        <v>548</v>
      </c>
      <c r="L117">
        <v>1356</v>
      </c>
      <c r="N117">
        <v>1010</v>
      </c>
      <c r="O117" t="s">
        <v>549</v>
      </c>
      <c r="P117" t="s">
        <v>549</v>
      </c>
      <c r="Q117">
        <v>1000</v>
      </c>
      <c r="X117">
        <v>4.1000000000000003E-3</v>
      </c>
      <c r="Y117">
        <v>226.68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 t="s">
        <v>163</v>
      </c>
      <c r="AG117">
        <v>4.1000000000000003E-3</v>
      </c>
      <c r="AH117">
        <v>3</v>
      </c>
      <c r="AI117">
        <v>-1</v>
      </c>
      <c r="AJ117" t="s">
        <v>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ROW(Source!A104)</f>
        <v>104</v>
      </c>
      <c r="B118">
        <v>56610573</v>
      </c>
      <c r="C118">
        <v>56610561</v>
      </c>
      <c r="D118">
        <v>46735506</v>
      </c>
      <c r="E118">
        <v>1</v>
      </c>
      <c r="F118">
        <v>1</v>
      </c>
      <c r="G118">
        <v>27786564</v>
      </c>
      <c r="H118">
        <v>3</v>
      </c>
      <c r="I118" t="s">
        <v>550</v>
      </c>
      <c r="J118" t="s">
        <v>551</v>
      </c>
      <c r="K118" t="s">
        <v>552</v>
      </c>
      <c r="L118">
        <v>1301</v>
      </c>
      <c r="N118">
        <v>1003</v>
      </c>
      <c r="O118" t="s">
        <v>57</v>
      </c>
      <c r="P118" t="s">
        <v>57</v>
      </c>
      <c r="Q118">
        <v>1</v>
      </c>
      <c r="X118">
        <v>0.96</v>
      </c>
      <c r="Y118">
        <v>0.7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163</v>
      </c>
      <c r="AG118">
        <v>0.96</v>
      </c>
      <c r="AH118">
        <v>3</v>
      </c>
      <c r="AI118">
        <v>-1</v>
      </c>
      <c r="AJ118" t="s">
        <v>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ROW(Source!A104)</f>
        <v>104</v>
      </c>
      <c r="B119">
        <v>56610574</v>
      </c>
      <c r="C119">
        <v>56610561</v>
      </c>
      <c r="D119">
        <v>46735508</v>
      </c>
      <c r="E119">
        <v>1</v>
      </c>
      <c r="F119">
        <v>1</v>
      </c>
      <c r="G119">
        <v>27786564</v>
      </c>
      <c r="H119">
        <v>3</v>
      </c>
      <c r="I119" t="s">
        <v>553</v>
      </c>
      <c r="J119" t="s">
        <v>554</v>
      </c>
      <c r="K119" t="s">
        <v>555</v>
      </c>
      <c r="L119">
        <v>1356</v>
      </c>
      <c r="N119">
        <v>1010</v>
      </c>
      <c r="O119" t="s">
        <v>549</v>
      </c>
      <c r="P119" t="s">
        <v>549</v>
      </c>
      <c r="Q119">
        <v>1000</v>
      </c>
      <c r="X119">
        <v>8.3199999999999993E-3</v>
      </c>
      <c r="Y119">
        <v>6.44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163</v>
      </c>
      <c r="AG119">
        <v>8.3199999999999993E-3</v>
      </c>
      <c r="AH119">
        <v>3</v>
      </c>
      <c r="AI119">
        <v>-1</v>
      </c>
      <c r="AJ119" t="s">
        <v>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ROW(Source!A104)</f>
        <v>104</v>
      </c>
      <c r="B120">
        <v>56610575</v>
      </c>
      <c r="C120">
        <v>56610561</v>
      </c>
      <c r="D120">
        <v>49717618</v>
      </c>
      <c r="E120">
        <v>27786564</v>
      </c>
      <c r="F120">
        <v>1</v>
      </c>
      <c r="G120">
        <v>27786564</v>
      </c>
      <c r="H120">
        <v>3</v>
      </c>
      <c r="I120" t="s">
        <v>556</v>
      </c>
      <c r="J120" t="s">
        <v>3</v>
      </c>
      <c r="K120" t="s">
        <v>557</v>
      </c>
      <c r="L120">
        <v>1303</v>
      </c>
      <c r="N120">
        <v>1003</v>
      </c>
      <c r="O120" t="s">
        <v>194</v>
      </c>
      <c r="P120" t="s">
        <v>194</v>
      </c>
      <c r="Q120">
        <v>1000</v>
      </c>
      <c r="X120">
        <v>0.10199999999999999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163</v>
      </c>
      <c r="AG120">
        <v>0.10199999999999999</v>
      </c>
      <c r="AH120">
        <v>3</v>
      </c>
      <c r="AI120">
        <v>-1</v>
      </c>
      <c r="AJ120" t="s">
        <v>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ROW(Source!A105)</f>
        <v>105</v>
      </c>
      <c r="B121">
        <v>56610577</v>
      </c>
      <c r="C121">
        <v>56610576</v>
      </c>
      <c r="D121">
        <v>47634407</v>
      </c>
      <c r="E121">
        <v>27786564</v>
      </c>
      <c r="F121">
        <v>1</v>
      </c>
      <c r="G121">
        <v>27786564</v>
      </c>
      <c r="H121">
        <v>1</v>
      </c>
      <c r="I121" t="s">
        <v>452</v>
      </c>
      <c r="J121" t="s">
        <v>3</v>
      </c>
      <c r="K121" t="s">
        <v>453</v>
      </c>
      <c r="L121">
        <v>1191</v>
      </c>
      <c r="N121">
        <v>1013</v>
      </c>
      <c r="O121" t="s">
        <v>454</v>
      </c>
      <c r="P121" t="s">
        <v>454</v>
      </c>
      <c r="Q121">
        <v>1</v>
      </c>
      <c r="X121">
        <v>11.8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 t="s">
        <v>22</v>
      </c>
      <c r="AG121">
        <v>12.39</v>
      </c>
      <c r="AH121">
        <v>3</v>
      </c>
      <c r="AI121">
        <v>-1</v>
      </c>
      <c r="AJ121" t="s">
        <v>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ROW(Source!A105)</f>
        <v>105</v>
      </c>
      <c r="B122">
        <v>56610578</v>
      </c>
      <c r="C122">
        <v>56610576</v>
      </c>
      <c r="D122">
        <v>47767106</v>
      </c>
      <c r="E122">
        <v>1</v>
      </c>
      <c r="F122">
        <v>1</v>
      </c>
      <c r="G122">
        <v>27786564</v>
      </c>
      <c r="H122">
        <v>2</v>
      </c>
      <c r="I122" t="s">
        <v>455</v>
      </c>
      <c r="J122" t="s">
        <v>456</v>
      </c>
      <c r="K122" t="s">
        <v>457</v>
      </c>
      <c r="L122">
        <v>1368</v>
      </c>
      <c r="N122">
        <v>1011</v>
      </c>
      <c r="O122" t="s">
        <v>458</v>
      </c>
      <c r="P122" t="s">
        <v>458</v>
      </c>
      <c r="Q122">
        <v>1</v>
      </c>
      <c r="X122">
        <v>0.51</v>
      </c>
      <c r="Y122">
        <v>0</v>
      </c>
      <c r="Z122">
        <v>83.1</v>
      </c>
      <c r="AA122">
        <v>12.62</v>
      </c>
      <c r="AB122">
        <v>0</v>
      </c>
      <c r="AC122">
        <v>0</v>
      </c>
      <c r="AD122">
        <v>1</v>
      </c>
      <c r="AE122">
        <v>0</v>
      </c>
      <c r="AF122" t="s">
        <v>22</v>
      </c>
      <c r="AG122">
        <v>0.53550000000000009</v>
      </c>
      <c r="AH122">
        <v>3</v>
      </c>
      <c r="AI122">
        <v>-1</v>
      </c>
      <c r="AJ122" t="s">
        <v>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ROW(Source!A105)</f>
        <v>105</v>
      </c>
      <c r="B123">
        <v>56610579</v>
      </c>
      <c r="C123">
        <v>56610576</v>
      </c>
      <c r="D123">
        <v>47766535</v>
      </c>
      <c r="E123">
        <v>1</v>
      </c>
      <c r="F123">
        <v>1</v>
      </c>
      <c r="G123">
        <v>27786564</v>
      </c>
      <c r="H123">
        <v>2</v>
      </c>
      <c r="I123" t="s">
        <v>522</v>
      </c>
      <c r="J123" t="s">
        <v>523</v>
      </c>
      <c r="K123" t="s">
        <v>524</v>
      </c>
      <c r="L123">
        <v>1368</v>
      </c>
      <c r="N123">
        <v>1011</v>
      </c>
      <c r="O123" t="s">
        <v>458</v>
      </c>
      <c r="P123" t="s">
        <v>458</v>
      </c>
      <c r="Q123">
        <v>1</v>
      </c>
      <c r="X123">
        <v>2.77</v>
      </c>
      <c r="Y123">
        <v>0</v>
      </c>
      <c r="Z123">
        <v>2.27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22</v>
      </c>
      <c r="AG123">
        <v>2.9085000000000001</v>
      </c>
      <c r="AH123">
        <v>3</v>
      </c>
      <c r="AI123">
        <v>-1</v>
      </c>
      <c r="AJ123" t="s">
        <v>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ROW(Source!A105)</f>
        <v>105</v>
      </c>
      <c r="B124">
        <v>56610580</v>
      </c>
      <c r="C124">
        <v>56610576</v>
      </c>
      <c r="D124">
        <v>47766545</v>
      </c>
      <c r="E124">
        <v>1</v>
      </c>
      <c r="F124">
        <v>1</v>
      </c>
      <c r="G124">
        <v>27786564</v>
      </c>
      <c r="H124">
        <v>2</v>
      </c>
      <c r="I124" t="s">
        <v>525</v>
      </c>
      <c r="J124" t="s">
        <v>526</v>
      </c>
      <c r="K124" t="s">
        <v>527</v>
      </c>
      <c r="L124">
        <v>1368</v>
      </c>
      <c r="N124">
        <v>1011</v>
      </c>
      <c r="O124" t="s">
        <v>458</v>
      </c>
      <c r="P124" t="s">
        <v>458</v>
      </c>
      <c r="Q124">
        <v>1</v>
      </c>
      <c r="X124">
        <v>2.77</v>
      </c>
      <c r="Y124">
        <v>0</v>
      </c>
      <c r="Z124">
        <v>0.73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22</v>
      </c>
      <c r="AG124">
        <v>2.9085000000000001</v>
      </c>
      <c r="AH124">
        <v>3</v>
      </c>
      <c r="AI124">
        <v>-1</v>
      </c>
      <c r="AJ124" t="s">
        <v>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ROW(Source!A105)</f>
        <v>105</v>
      </c>
      <c r="B125">
        <v>56610581</v>
      </c>
      <c r="C125">
        <v>56610576</v>
      </c>
      <c r="D125">
        <v>32913309</v>
      </c>
      <c r="E125">
        <v>1</v>
      </c>
      <c r="F125">
        <v>1</v>
      </c>
      <c r="G125">
        <v>27786564</v>
      </c>
      <c r="H125">
        <v>3</v>
      </c>
      <c r="I125" t="s">
        <v>528</v>
      </c>
      <c r="J125" t="s">
        <v>529</v>
      </c>
      <c r="K125" t="s">
        <v>530</v>
      </c>
      <c r="L125">
        <v>1348</v>
      </c>
      <c r="N125">
        <v>1009</v>
      </c>
      <c r="O125" t="s">
        <v>318</v>
      </c>
      <c r="P125" t="s">
        <v>318</v>
      </c>
      <c r="Q125">
        <v>1000</v>
      </c>
      <c r="X125">
        <v>1E-3</v>
      </c>
      <c r="Y125">
        <v>7254.88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3</v>
      </c>
      <c r="AG125">
        <v>1E-3</v>
      </c>
      <c r="AH125">
        <v>3</v>
      </c>
      <c r="AI125">
        <v>-1</v>
      </c>
      <c r="AJ125" t="s">
        <v>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ROW(Source!A105)</f>
        <v>105</v>
      </c>
      <c r="B126">
        <v>56610582</v>
      </c>
      <c r="C126">
        <v>56610576</v>
      </c>
      <c r="D126">
        <v>32913337</v>
      </c>
      <c r="E126">
        <v>1</v>
      </c>
      <c r="F126">
        <v>1</v>
      </c>
      <c r="G126">
        <v>27786564</v>
      </c>
      <c r="H126">
        <v>3</v>
      </c>
      <c r="I126" t="s">
        <v>531</v>
      </c>
      <c r="J126" t="s">
        <v>532</v>
      </c>
      <c r="K126" t="s">
        <v>533</v>
      </c>
      <c r="L126">
        <v>1348</v>
      </c>
      <c r="N126">
        <v>1009</v>
      </c>
      <c r="O126" t="s">
        <v>318</v>
      </c>
      <c r="P126" t="s">
        <v>318</v>
      </c>
      <c r="Q126">
        <v>1000</v>
      </c>
      <c r="X126">
        <v>0.01</v>
      </c>
      <c r="Y126">
        <v>9853.14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3</v>
      </c>
      <c r="AG126">
        <v>0.01</v>
      </c>
      <c r="AH126">
        <v>3</v>
      </c>
      <c r="AI126">
        <v>-1</v>
      </c>
      <c r="AJ126" t="s">
        <v>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ROW(Source!A105)</f>
        <v>105</v>
      </c>
      <c r="B127">
        <v>56610583</v>
      </c>
      <c r="C127">
        <v>56610576</v>
      </c>
      <c r="D127">
        <v>46723495</v>
      </c>
      <c r="E127">
        <v>1</v>
      </c>
      <c r="F127">
        <v>1</v>
      </c>
      <c r="G127">
        <v>27786564</v>
      </c>
      <c r="H127">
        <v>3</v>
      </c>
      <c r="I127" t="s">
        <v>534</v>
      </c>
      <c r="J127" t="s">
        <v>535</v>
      </c>
      <c r="K127" t="s">
        <v>536</v>
      </c>
      <c r="L127">
        <v>1348</v>
      </c>
      <c r="N127">
        <v>1009</v>
      </c>
      <c r="O127" t="s">
        <v>318</v>
      </c>
      <c r="P127" t="s">
        <v>318</v>
      </c>
      <c r="Q127">
        <v>1000</v>
      </c>
      <c r="X127">
        <v>2.5000000000000001E-4</v>
      </c>
      <c r="Y127">
        <v>16222.39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3</v>
      </c>
      <c r="AG127">
        <v>2.5000000000000001E-4</v>
      </c>
      <c r="AH127">
        <v>3</v>
      </c>
      <c r="AI127">
        <v>-1</v>
      </c>
      <c r="AJ127" t="s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ROW(Source!A105)</f>
        <v>105</v>
      </c>
      <c r="B128">
        <v>56610584</v>
      </c>
      <c r="C128">
        <v>56610576</v>
      </c>
      <c r="D128">
        <v>46723498</v>
      </c>
      <c r="E128">
        <v>1</v>
      </c>
      <c r="F128">
        <v>1</v>
      </c>
      <c r="G128">
        <v>27786564</v>
      </c>
      <c r="H128">
        <v>3</v>
      </c>
      <c r="I128" t="s">
        <v>537</v>
      </c>
      <c r="J128" t="s">
        <v>538</v>
      </c>
      <c r="K128" t="s">
        <v>539</v>
      </c>
      <c r="L128">
        <v>1348</v>
      </c>
      <c r="N128">
        <v>1009</v>
      </c>
      <c r="O128" t="s">
        <v>318</v>
      </c>
      <c r="P128" t="s">
        <v>318</v>
      </c>
      <c r="Q128">
        <v>1000</v>
      </c>
      <c r="X128">
        <v>6.0000000000000002E-5</v>
      </c>
      <c r="Y128">
        <v>11242.42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3</v>
      </c>
      <c r="AG128">
        <v>6.0000000000000002E-5</v>
      </c>
      <c r="AH128">
        <v>3</v>
      </c>
      <c r="AI128">
        <v>-1</v>
      </c>
      <c r="AJ128" t="s">
        <v>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ROW(Source!A105)</f>
        <v>105</v>
      </c>
      <c r="B129">
        <v>56610585</v>
      </c>
      <c r="C129">
        <v>56610576</v>
      </c>
      <c r="D129">
        <v>45796980</v>
      </c>
      <c r="E129">
        <v>1</v>
      </c>
      <c r="F129">
        <v>1</v>
      </c>
      <c r="G129">
        <v>27786564</v>
      </c>
      <c r="H129">
        <v>3</v>
      </c>
      <c r="I129" t="s">
        <v>540</v>
      </c>
      <c r="J129" t="s">
        <v>541</v>
      </c>
      <c r="K129" t="s">
        <v>542</v>
      </c>
      <c r="L129">
        <v>1346</v>
      </c>
      <c r="N129">
        <v>1009</v>
      </c>
      <c r="O129" t="s">
        <v>101</v>
      </c>
      <c r="P129" t="s">
        <v>101</v>
      </c>
      <c r="Q129">
        <v>1</v>
      </c>
      <c r="X129">
        <v>0.8</v>
      </c>
      <c r="Y129">
        <v>25.8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3</v>
      </c>
      <c r="AG129">
        <v>0.8</v>
      </c>
      <c r="AH129">
        <v>3</v>
      </c>
      <c r="AI129">
        <v>-1</v>
      </c>
      <c r="AJ129" t="s">
        <v>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ROW(Source!A105)</f>
        <v>105</v>
      </c>
      <c r="B130">
        <v>56610586</v>
      </c>
      <c r="C130">
        <v>56610576</v>
      </c>
      <c r="D130">
        <v>46723704</v>
      </c>
      <c r="E130">
        <v>1</v>
      </c>
      <c r="F130">
        <v>1</v>
      </c>
      <c r="G130">
        <v>27786564</v>
      </c>
      <c r="H130">
        <v>3</v>
      </c>
      <c r="I130" t="s">
        <v>543</v>
      </c>
      <c r="J130" t="s">
        <v>544</v>
      </c>
      <c r="K130" t="s">
        <v>545</v>
      </c>
      <c r="L130">
        <v>1348</v>
      </c>
      <c r="N130">
        <v>1009</v>
      </c>
      <c r="O130" t="s">
        <v>318</v>
      </c>
      <c r="P130" t="s">
        <v>318</v>
      </c>
      <c r="Q130">
        <v>1000</v>
      </c>
      <c r="X130">
        <v>4.0000000000000003E-5</v>
      </c>
      <c r="Y130">
        <v>7982.5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3</v>
      </c>
      <c r="AG130">
        <v>4.0000000000000003E-5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ROW(Source!A105)</f>
        <v>105</v>
      </c>
      <c r="B131">
        <v>56610587</v>
      </c>
      <c r="C131">
        <v>56610576</v>
      </c>
      <c r="D131">
        <v>46735845</v>
      </c>
      <c r="E131">
        <v>1</v>
      </c>
      <c r="F131">
        <v>1</v>
      </c>
      <c r="G131">
        <v>27786564</v>
      </c>
      <c r="H131">
        <v>3</v>
      </c>
      <c r="I131" t="s">
        <v>546</v>
      </c>
      <c r="J131" t="s">
        <v>547</v>
      </c>
      <c r="K131" t="s">
        <v>548</v>
      </c>
      <c r="L131">
        <v>1356</v>
      </c>
      <c r="N131">
        <v>1010</v>
      </c>
      <c r="O131" t="s">
        <v>549</v>
      </c>
      <c r="P131" t="s">
        <v>549</v>
      </c>
      <c r="Q131">
        <v>1000</v>
      </c>
      <c r="X131">
        <v>4.1000000000000003E-3</v>
      </c>
      <c r="Y131">
        <v>226.68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3</v>
      </c>
      <c r="AG131">
        <v>4.1000000000000003E-3</v>
      </c>
      <c r="AH131">
        <v>3</v>
      </c>
      <c r="AI131">
        <v>-1</v>
      </c>
      <c r="AJ131" t="s">
        <v>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ROW(Source!A105)</f>
        <v>105</v>
      </c>
      <c r="B132">
        <v>56610588</v>
      </c>
      <c r="C132">
        <v>56610576</v>
      </c>
      <c r="D132">
        <v>46735506</v>
      </c>
      <c r="E132">
        <v>1</v>
      </c>
      <c r="F132">
        <v>1</v>
      </c>
      <c r="G132">
        <v>27786564</v>
      </c>
      <c r="H132">
        <v>3</v>
      </c>
      <c r="I132" t="s">
        <v>550</v>
      </c>
      <c r="J132" t="s">
        <v>551</v>
      </c>
      <c r="K132" t="s">
        <v>552</v>
      </c>
      <c r="L132">
        <v>1301</v>
      </c>
      <c r="N132">
        <v>1003</v>
      </c>
      <c r="O132" t="s">
        <v>57</v>
      </c>
      <c r="P132" t="s">
        <v>57</v>
      </c>
      <c r="Q132">
        <v>1</v>
      </c>
      <c r="X132">
        <v>0.96</v>
      </c>
      <c r="Y132">
        <v>0.7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3</v>
      </c>
      <c r="AG132">
        <v>0.96</v>
      </c>
      <c r="AH132">
        <v>3</v>
      </c>
      <c r="AI132">
        <v>-1</v>
      </c>
      <c r="AJ132" t="s">
        <v>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ROW(Source!A105)</f>
        <v>105</v>
      </c>
      <c r="B133">
        <v>56610589</v>
      </c>
      <c r="C133">
        <v>56610576</v>
      </c>
      <c r="D133">
        <v>46735508</v>
      </c>
      <c r="E133">
        <v>1</v>
      </c>
      <c r="F133">
        <v>1</v>
      </c>
      <c r="G133">
        <v>27786564</v>
      </c>
      <c r="H133">
        <v>3</v>
      </c>
      <c r="I133" t="s">
        <v>553</v>
      </c>
      <c r="J133" t="s">
        <v>554</v>
      </c>
      <c r="K133" t="s">
        <v>555</v>
      </c>
      <c r="L133">
        <v>1356</v>
      </c>
      <c r="N133">
        <v>1010</v>
      </c>
      <c r="O133" t="s">
        <v>549</v>
      </c>
      <c r="P133" t="s">
        <v>549</v>
      </c>
      <c r="Q133">
        <v>1000</v>
      </c>
      <c r="X133">
        <v>8.3199999999999993E-3</v>
      </c>
      <c r="Y133">
        <v>6.44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3</v>
      </c>
      <c r="AG133">
        <v>8.3199999999999993E-3</v>
      </c>
      <c r="AH133">
        <v>3</v>
      </c>
      <c r="AI133">
        <v>-1</v>
      </c>
      <c r="AJ133" t="s">
        <v>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ROW(Source!A105)</f>
        <v>105</v>
      </c>
      <c r="B134">
        <v>56610590</v>
      </c>
      <c r="C134">
        <v>56610576</v>
      </c>
      <c r="D134">
        <v>49717618</v>
      </c>
      <c r="E134">
        <v>27786564</v>
      </c>
      <c r="F134">
        <v>1</v>
      </c>
      <c r="G134">
        <v>27786564</v>
      </c>
      <c r="H134">
        <v>3</v>
      </c>
      <c r="I134" t="s">
        <v>556</v>
      </c>
      <c r="J134" t="s">
        <v>3</v>
      </c>
      <c r="K134" t="s">
        <v>557</v>
      </c>
      <c r="L134">
        <v>1303</v>
      </c>
      <c r="N134">
        <v>1003</v>
      </c>
      <c r="O134" t="s">
        <v>194</v>
      </c>
      <c r="P134" t="s">
        <v>194</v>
      </c>
      <c r="Q134">
        <v>1000</v>
      </c>
      <c r="X134">
        <v>0.10199999999999999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t="s">
        <v>3</v>
      </c>
      <c r="AG134">
        <v>0.10199999999999999</v>
      </c>
      <c r="AH134">
        <v>3</v>
      </c>
      <c r="AI134">
        <v>-1</v>
      </c>
      <c r="AJ134" t="s">
        <v>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ROW(Source!A106)</f>
        <v>106</v>
      </c>
      <c r="B135">
        <v>56610577</v>
      </c>
      <c r="C135">
        <v>56610576</v>
      </c>
      <c r="D135">
        <v>47634407</v>
      </c>
      <c r="E135">
        <v>27786564</v>
      </c>
      <c r="F135">
        <v>1</v>
      </c>
      <c r="G135">
        <v>27786564</v>
      </c>
      <c r="H135">
        <v>1</v>
      </c>
      <c r="I135" t="s">
        <v>452</v>
      </c>
      <c r="J135" t="s">
        <v>3</v>
      </c>
      <c r="K135" t="s">
        <v>453</v>
      </c>
      <c r="L135">
        <v>1191</v>
      </c>
      <c r="N135">
        <v>1013</v>
      </c>
      <c r="O135" t="s">
        <v>454</v>
      </c>
      <c r="P135" t="s">
        <v>454</v>
      </c>
      <c r="Q135">
        <v>1</v>
      </c>
      <c r="X135">
        <v>11.8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1</v>
      </c>
      <c r="AF135" t="s">
        <v>22</v>
      </c>
      <c r="AG135">
        <v>12.39</v>
      </c>
      <c r="AH135">
        <v>3</v>
      </c>
      <c r="AI135">
        <v>-1</v>
      </c>
      <c r="AJ135" t="s">
        <v>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ROW(Source!A106)</f>
        <v>106</v>
      </c>
      <c r="B136">
        <v>56610578</v>
      </c>
      <c r="C136">
        <v>56610576</v>
      </c>
      <c r="D136">
        <v>47767106</v>
      </c>
      <c r="E136">
        <v>1</v>
      </c>
      <c r="F136">
        <v>1</v>
      </c>
      <c r="G136">
        <v>27786564</v>
      </c>
      <c r="H136">
        <v>2</v>
      </c>
      <c r="I136" t="s">
        <v>455</v>
      </c>
      <c r="J136" t="s">
        <v>456</v>
      </c>
      <c r="K136" t="s">
        <v>457</v>
      </c>
      <c r="L136">
        <v>1368</v>
      </c>
      <c r="N136">
        <v>1011</v>
      </c>
      <c r="O136" t="s">
        <v>458</v>
      </c>
      <c r="P136" t="s">
        <v>458</v>
      </c>
      <c r="Q136">
        <v>1</v>
      </c>
      <c r="X136">
        <v>0.51</v>
      </c>
      <c r="Y136">
        <v>0</v>
      </c>
      <c r="Z136">
        <v>83.1</v>
      </c>
      <c r="AA136">
        <v>12.62</v>
      </c>
      <c r="AB136">
        <v>0</v>
      </c>
      <c r="AC136">
        <v>0</v>
      </c>
      <c r="AD136">
        <v>1</v>
      </c>
      <c r="AE136">
        <v>0</v>
      </c>
      <c r="AF136" t="s">
        <v>22</v>
      </c>
      <c r="AG136">
        <v>0.53550000000000009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ROW(Source!A106)</f>
        <v>106</v>
      </c>
      <c r="B137">
        <v>56610579</v>
      </c>
      <c r="C137">
        <v>56610576</v>
      </c>
      <c r="D137">
        <v>47766535</v>
      </c>
      <c r="E137">
        <v>1</v>
      </c>
      <c r="F137">
        <v>1</v>
      </c>
      <c r="G137">
        <v>27786564</v>
      </c>
      <c r="H137">
        <v>2</v>
      </c>
      <c r="I137" t="s">
        <v>522</v>
      </c>
      <c r="J137" t="s">
        <v>523</v>
      </c>
      <c r="K137" t="s">
        <v>524</v>
      </c>
      <c r="L137">
        <v>1368</v>
      </c>
      <c r="N137">
        <v>1011</v>
      </c>
      <c r="O137" t="s">
        <v>458</v>
      </c>
      <c r="P137" t="s">
        <v>458</v>
      </c>
      <c r="Q137">
        <v>1</v>
      </c>
      <c r="X137">
        <v>2.77</v>
      </c>
      <c r="Y137">
        <v>0</v>
      </c>
      <c r="Z137">
        <v>2.27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22</v>
      </c>
      <c r="AG137">
        <v>2.9085000000000001</v>
      </c>
      <c r="AH137">
        <v>3</v>
      </c>
      <c r="AI137">
        <v>-1</v>
      </c>
      <c r="AJ137" t="s">
        <v>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ROW(Source!A106)</f>
        <v>106</v>
      </c>
      <c r="B138">
        <v>56610580</v>
      </c>
      <c r="C138">
        <v>56610576</v>
      </c>
      <c r="D138">
        <v>47766545</v>
      </c>
      <c r="E138">
        <v>1</v>
      </c>
      <c r="F138">
        <v>1</v>
      </c>
      <c r="G138">
        <v>27786564</v>
      </c>
      <c r="H138">
        <v>2</v>
      </c>
      <c r="I138" t="s">
        <v>525</v>
      </c>
      <c r="J138" t="s">
        <v>526</v>
      </c>
      <c r="K138" t="s">
        <v>527</v>
      </c>
      <c r="L138">
        <v>1368</v>
      </c>
      <c r="N138">
        <v>1011</v>
      </c>
      <c r="O138" t="s">
        <v>458</v>
      </c>
      <c r="P138" t="s">
        <v>458</v>
      </c>
      <c r="Q138">
        <v>1</v>
      </c>
      <c r="X138">
        <v>2.77</v>
      </c>
      <c r="Y138">
        <v>0</v>
      </c>
      <c r="Z138">
        <v>0.73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22</v>
      </c>
      <c r="AG138">
        <v>2.9085000000000001</v>
      </c>
      <c r="AH138">
        <v>3</v>
      </c>
      <c r="AI138">
        <v>-1</v>
      </c>
      <c r="AJ138" t="s">
        <v>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ROW(Source!A106)</f>
        <v>106</v>
      </c>
      <c r="B139">
        <v>56610581</v>
      </c>
      <c r="C139">
        <v>56610576</v>
      </c>
      <c r="D139">
        <v>32913309</v>
      </c>
      <c r="E139">
        <v>1</v>
      </c>
      <c r="F139">
        <v>1</v>
      </c>
      <c r="G139">
        <v>27786564</v>
      </c>
      <c r="H139">
        <v>3</v>
      </c>
      <c r="I139" t="s">
        <v>528</v>
      </c>
      <c r="J139" t="s">
        <v>529</v>
      </c>
      <c r="K139" t="s">
        <v>530</v>
      </c>
      <c r="L139">
        <v>1348</v>
      </c>
      <c r="N139">
        <v>1009</v>
      </c>
      <c r="O139" t="s">
        <v>318</v>
      </c>
      <c r="P139" t="s">
        <v>318</v>
      </c>
      <c r="Q139">
        <v>1000</v>
      </c>
      <c r="X139">
        <v>1E-3</v>
      </c>
      <c r="Y139">
        <v>7254.88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3</v>
      </c>
      <c r="AG139">
        <v>1E-3</v>
      </c>
      <c r="AH139">
        <v>3</v>
      </c>
      <c r="AI139">
        <v>-1</v>
      </c>
      <c r="AJ139" t="s">
        <v>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ROW(Source!A106)</f>
        <v>106</v>
      </c>
      <c r="B140">
        <v>56610582</v>
      </c>
      <c r="C140">
        <v>56610576</v>
      </c>
      <c r="D140">
        <v>32913337</v>
      </c>
      <c r="E140">
        <v>1</v>
      </c>
      <c r="F140">
        <v>1</v>
      </c>
      <c r="G140">
        <v>27786564</v>
      </c>
      <c r="H140">
        <v>3</v>
      </c>
      <c r="I140" t="s">
        <v>531</v>
      </c>
      <c r="J140" t="s">
        <v>532</v>
      </c>
      <c r="K140" t="s">
        <v>533</v>
      </c>
      <c r="L140">
        <v>1348</v>
      </c>
      <c r="N140">
        <v>1009</v>
      </c>
      <c r="O140" t="s">
        <v>318</v>
      </c>
      <c r="P140" t="s">
        <v>318</v>
      </c>
      <c r="Q140">
        <v>1000</v>
      </c>
      <c r="X140">
        <v>0.01</v>
      </c>
      <c r="Y140">
        <v>9853.14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3</v>
      </c>
      <c r="AG140">
        <v>0.01</v>
      </c>
      <c r="AH140">
        <v>3</v>
      </c>
      <c r="AI140">
        <v>-1</v>
      </c>
      <c r="AJ140" t="s">
        <v>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ROW(Source!A106)</f>
        <v>106</v>
      </c>
      <c r="B141">
        <v>56610583</v>
      </c>
      <c r="C141">
        <v>56610576</v>
      </c>
      <c r="D141">
        <v>46723495</v>
      </c>
      <c r="E141">
        <v>1</v>
      </c>
      <c r="F141">
        <v>1</v>
      </c>
      <c r="G141">
        <v>27786564</v>
      </c>
      <c r="H141">
        <v>3</v>
      </c>
      <c r="I141" t="s">
        <v>534</v>
      </c>
      <c r="J141" t="s">
        <v>535</v>
      </c>
      <c r="K141" t="s">
        <v>536</v>
      </c>
      <c r="L141">
        <v>1348</v>
      </c>
      <c r="N141">
        <v>1009</v>
      </c>
      <c r="O141" t="s">
        <v>318</v>
      </c>
      <c r="P141" t="s">
        <v>318</v>
      </c>
      <c r="Q141">
        <v>1000</v>
      </c>
      <c r="X141">
        <v>2.5000000000000001E-4</v>
      </c>
      <c r="Y141">
        <v>16222.39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3</v>
      </c>
      <c r="AG141">
        <v>2.5000000000000001E-4</v>
      </c>
      <c r="AH141">
        <v>3</v>
      </c>
      <c r="AI141">
        <v>-1</v>
      </c>
      <c r="AJ141" t="s">
        <v>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ROW(Source!A106)</f>
        <v>106</v>
      </c>
      <c r="B142">
        <v>56610584</v>
      </c>
      <c r="C142">
        <v>56610576</v>
      </c>
      <c r="D142">
        <v>46723498</v>
      </c>
      <c r="E142">
        <v>1</v>
      </c>
      <c r="F142">
        <v>1</v>
      </c>
      <c r="G142">
        <v>27786564</v>
      </c>
      <c r="H142">
        <v>3</v>
      </c>
      <c r="I142" t="s">
        <v>537</v>
      </c>
      <c r="J142" t="s">
        <v>538</v>
      </c>
      <c r="K142" t="s">
        <v>539</v>
      </c>
      <c r="L142">
        <v>1348</v>
      </c>
      <c r="N142">
        <v>1009</v>
      </c>
      <c r="O142" t="s">
        <v>318</v>
      </c>
      <c r="P142" t="s">
        <v>318</v>
      </c>
      <c r="Q142">
        <v>1000</v>
      </c>
      <c r="X142">
        <v>6.0000000000000002E-5</v>
      </c>
      <c r="Y142">
        <v>11242.42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3</v>
      </c>
      <c r="AG142">
        <v>6.0000000000000002E-5</v>
      </c>
      <c r="AH142">
        <v>3</v>
      </c>
      <c r="AI142">
        <v>-1</v>
      </c>
      <c r="AJ142" t="s">
        <v>3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ROW(Source!A106)</f>
        <v>106</v>
      </c>
      <c r="B143">
        <v>56610585</v>
      </c>
      <c r="C143">
        <v>56610576</v>
      </c>
      <c r="D143">
        <v>45796980</v>
      </c>
      <c r="E143">
        <v>1</v>
      </c>
      <c r="F143">
        <v>1</v>
      </c>
      <c r="G143">
        <v>27786564</v>
      </c>
      <c r="H143">
        <v>3</v>
      </c>
      <c r="I143" t="s">
        <v>540</v>
      </c>
      <c r="J143" t="s">
        <v>541</v>
      </c>
      <c r="K143" t="s">
        <v>542</v>
      </c>
      <c r="L143">
        <v>1346</v>
      </c>
      <c r="N143">
        <v>1009</v>
      </c>
      <c r="O143" t="s">
        <v>101</v>
      </c>
      <c r="P143" t="s">
        <v>101</v>
      </c>
      <c r="Q143">
        <v>1</v>
      </c>
      <c r="X143">
        <v>0.8</v>
      </c>
      <c r="Y143">
        <v>25.8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3</v>
      </c>
      <c r="AG143">
        <v>0.8</v>
      </c>
      <c r="AH143">
        <v>3</v>
      </c>
      <c r="AI143">
        <v>-1</v>
      </c>
      <c r="AJ143" t="s">
        <v>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ROW(Source!A106)</f>
        <v>106</v>
      </c>
      <c r="B144">
        <v>56610586</v>
      </c>
      <c r="C144">
        <v>56610576</v>
      </c>
      <c r="D144">
        <v>46723704</v>
      </c>
      <c r="E144">
        <v>1</v>
      </c>
      <c r="F144">
        <v>1</v>
      </c>
      <c r="G144">
        <v>27786564</v>
      </c>
      <c r="H144">
        <v>3</v>
      </c>
      <c r="I144" t="s">
        <v>543</v>
      </c>
      <c r="J144" t="s">
        <v>544</v>
      </c>
      <c r="K144" t="s">
        <v>545</v>
      </c>
      <c r="L144">
        <v>1348</v>
      </c>
      <c r="N144">
        <v>1009</v>
      </c>
      <c r="O144" t="s">
        <v>318</v>
      </c>
      <c r="P144" t="s">
        <v>318</v>
      </c>
      <c r="Q144">
        <v>1000</v>
      </c>
      <c r="X144">
        <v>4.0000000000000003E-5</v>
      </c>
      <c r="Y144">
        <v>7982.5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3</v>
      </c>
      <c r="AG144">
        <v>4.0000000000000003E-5</v>
      </c>
      <c r="AH144">
        <v>3</v>
      </c>
      <c r="AI144">
        <v>-1</v>
      </c>
      <c r="AJ144" t="s">
        <v>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ROW(Source!A106)</f>
        <v>106</v>
      </c>
      <c r="B145">
        <v>56610587</v>
      </c>
      <c r="C145">
        <v>56610576</v>
      </c>
      <c r="D145">
        <v>46735845</v>
      </c>
      <c r="E145">
        <v>1</v>
      </c>
      <c r="F145">
        <v>1</v>
      </c>
      <c r="G145">
        <v>27786564</v>
      </c>
      <c r="H145">
        <v>3</v>
      </c>
      <c r="I145" t="s">
        <v>546</v>
      </c>
      <c r="J145" t="s">
        <v>547</v>
      </c>
      <c r="K145" t="s">
        <v>548</v>
      </c>
      <c r="L145">
        <v>1356</v>
      </c>
      <c r="N145">
        <v>1010</v>
      </c>
      <c r="O145" t="s">
        <v>549</v>
      </c>
      <c r="P145" t="s">
        <v>549</v>
      </c>
      <c r="Q145">
        <v>1000</v>
      </c>
      <c r="X145">
        <v>4.1000000000000003E-3</v>
      </c>
      <c r="Y145">
        <v>226.68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3</v>
      </c>
      <c r="AG145">
        <v>4.1000000000000003E-3</v>
      </c>
      <c r="AH145">
        <v>3</v>
      </c>
      <c r="AI145">
        <v>-1</v>
      </c>
      <c r="AJ145" t="s">
        <v>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ROW(Source!A106)</f>
        <v>106</v>
      </c>
      <c r="B146">
        <v>56610588</v>
      </c>
      <c r="C146">
        <v>56610576</v>
      </c>
      <c r="D146">
        <v>46735506</v>
      </c>
      <c r="E146">
        <v>1</v>
      </c>
      <c r="F146">
        <v>1</v>
      </c>
      <c r="G146">
        <v>27786564</v>
      </c>
      <c r="H146">
        <v>3</v>
      </c>
      <c r="I146" t="s">
        <v>550</v>
      </c>
      <c r="J146" t="s">
        <v>551</v>
      </c>
      <c r="K146" t="s">
        <v>552</v>
      </c>
      <c r="L146">
        <v>1301</v>
      </c>
      <c r="N146">
        <v>1003</v>
      </c>
      <c r="O146" t="s">
        <v>57</v>
      </c>
      <c r="P146" t="s">
        <v>57</v>
      </c>
      <c r="Q146">
        <v>1</v>
      </c>
      <c r="X146">
        <v>0.96</v>
      </c>
      <c r="Y146">
        <v>0.7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3</v>
      </c>
      <c r="AG146">
        <v>0.96</v>
      </c>
      <c r="AH146">
        <v>3</v>
      </c>
      <c r="AI146">
        <v>-1</v>
      </c>
      <c r="AJ146" t="s">
        <v>3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ROW(Source!A106)</f>
        <v>106</v>
      </c>
      <c r="B147">
        <v>56610589</v>
      </c>
      <c r="C147">
        <v>56610576</v>
      </c>
      <c r="D147">
        <v>46735508</v>
      </c>
      <c r="E147">
        <v>1</v>
      </c>
      <c r="F147">
        <v>1</v>
      </c>
      <c r="G147">
        <v>27786564</v>
      </c>
      <c r="H147">
        <v>3</v>
      </c>
      <c r="I147" t="s">
        <v>553</v>
      </c>
      <c r="J147" t="s">
        <v>554</v>
      </c>
      <c r="K147" t="s">
        <v>555</v>
      </c>
      <c r="L147">
        <v>1356</v>
      </c>
      <c r="N147">
        <v>1010</v>
      </c>
      <c r="O147" t="s">
        <v>549</v>
      </c>
      <c r="P147" t="s">
        <v>549</v>
      </c>
      <c r="Q147">
        <v>1000</v>
      </c>
      <c r="X147">
        <v>8.3199999999999993E-3</v>
      </c>
      <c r="Y147">
        <v>6.44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3</v>
      </c>
      <c r="AG147">
        <v>8.3199999999999993E-3</v>
      </c>
      <c r="AH147">
        <v>3</v>
      </c>
      <c r="AI147">
        <v>-1</v>
      </c>
      <c r="AJ147" t="s">
        <v>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ROW(Source!A106)</f>
        <v>106</v>
      </c>
      <c r="B148">
        <v>56610590</v>
      </c>
      <c r="C148">
        <v>56610576</v>
      </c>
      <c r="D148">
        <v>49717618</v>
      </c>
      <c r="E148">
        <v>27786564</v>
      </c>
      <c r="F148">
        <v>1</v>
      </c>
      <c r="G148">
        <v>27786564</v>
      </c>
      <c r="H148">
        <v>3</v>
      </c>
      <c r="I148" t="s">
        <v>556</v>
      </c>
      <c r="J148" t="s">
        <v>3</v>
      </c>
      <c r="K148" t="s">
        <v>557</v>
      </c>
      <c r="L148">
        <v>1303</v>
      </c>
      <c r="N148">
        <v>1003</v>
      </c>
      <c r="O148" t="s">
        <v>194</v>
      </c>
      <c r="P148" t="s">
        <v>194</v>
      </c>
      <c r="Q148">
        <v>1000</v>
      </c>
      <c r="X148">
        <v>0.10199999999999999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3</v>
      </c>
      <c r="AG148">
        <v>0.10199999999999999</v>
      </c>
      <c r="AH148">
        <v>3</v>
      </c>
      <c r="AI148">
        <v>-1</v>
      </c>
      <c r="AJ148" t="s">
        <v>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ROW(Source!A107)</f>
        <v>107</v>
      </c>
      <c r="B149">
        <v>56610592</v>
      </c>
      <c r="C149">
        <v>56610591</v>
      </c>
      <c r="D149">
        <v>47634407</v>
      </c>
      <c r="E149">
        <v>27786564</v>
      </c>
      <c r="F149">
        <v>1</v>
      </c>
      <c r="G149">
        <v>27786564</v>
      </c>
      <c r="H149">
        <v>1</v>
      </c>
      <c r="I149" t="s">
        <v>452</v>
      </c>
      <c r="J149" t="s">
        <v>3</v>
      </c>
      <c r="K149" t="s">
        <v>453</v>
      </c>
      <c r="L149">
        <v>1191</v>
      </c>
      <c r="N149">
        <v>1013</v>
      </c>
      <c r="O149" t="s">
        <v>454</v>
      </c>
      <c r="P149" t="s">
        <v>454</v>
      </c>
      <c r="Q149">
        <v>1</v>
      </c>
      <c r="X149">
        <v>15.8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1</v>
      </c>
      <c r="AF149" t="s">
        <v>22</v>
      </c>
      <c r="AG149">
        <v>16.59</v>
      </c>
      <c r="AH149">
        <v>3</v>
      </c>
      <c r="AI149">
        <v>-1</v>
      </c>
      <c r="AJ149" t="s">
        <v>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ROW(Source!A107)</f>
        <v>107</v>
      </c>
      <c r="B150">
        <v>56610593</v>
      </c>
      <c r="C150">
        <v>56610591</v>
      </c>
      <c r="D150">
        <v>47767106</v>
      </c>
      <c r="E150">
        <v>1</v>
      </c>
      <c r="F150">
        <v>1</v>
      </c>
      <c r="G150">
        <v>27786564</v>
      </c>
      <c r="H150">
        <v>2</v>
      </c>
      <c r="I150" t="s">
        <v>455</v>
      </c>
      <c r="J150" t="s">
        <v>456</v>
      </c>
      <c r="K150" t="s">
        <v>457</v>
      </c>
      <c r="L150">
        <v>1368</v>
      </c>
      <c r="N150">
        <v>1011</v>
      </c>
      <c r="O150" t="s">
        <v>458</v>
      </c>
      <c r="P150" t="s">
        <v>458</v>
      </c>
      <c r="Q150">
        <v>1</v>
      </c>
      <c r="X150">
        <v>0.51</v>
      </c>
      <c r="Y150">
        <v>0</v>
      </c>
      <c r="Z150">
        <v>83.1</v>
      </c>
      <c r="AA150">
        <v>12.62</v>
      </c>
      <c r="AB150">
        <v>0</v>
      </c>
      <c r="AC150">
        <v>0</v>
      </c>
      <c r="AD150">
        <v>1</v>
      </c>
      <c r="AE150">
        <v>0</v>
      </c>
      <c r="AF150" t="s">
        <v>22</v>
      </c>
      <c r="AG150">
        <v>0.53550000000000009</v>
      </c>
      <c r="AH150">
        <v>3</v>
      </c>
      <c r="AI150">
        <v>-1</v>
      </c>
      <c r="AJ150" t="s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ROW(Source!A107)</f>
        <v>107</v>
      </c>
      <c r="B151">
        <v>56610594</v>
      </c>
      <c r="C151">
        <v>56610591</v>
      </c>
      <c r="D151">
        <v>47766535</v>
      </c>
      <c r="E151">
        <v>1</v>
      </c>
      <c r="F151">
        <v>1</v>
      </c>
      <c r="G151">
        <v>27786564</v>
      </c>
      <c r="H151">
        <v>2</v>
      </c>
      <c r="I151" t="s">
        <v>522</v>
      </c>
      <c r="J151" t="s">
        <v>523</v>
      </c>
      <c r="K151" t="s">
        <v>524</v>
      </c>
      <c r="L151">
        <v>1368</v>
      </c>
      <c r="N151">
        <v>1011</v>
      </c>
      <c r="O151" t="s">
        <v>458</v>
      </c>
      <c r="P151" t="s">
        <v>458</v>
      </c>
      <c r="Q151">
        <v>1</v>
      </c>
      <c r="X151">
        <v>3.41</v>
      </c>
      <c r="Y151">
        <v>0</v>
      </c>
      <c r="Z151">
        <v>2.27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22</v>
      </c>
      <c r="AG151">
        <v>3.5805000000000002</v>
      </c>
      <c r="AH151">
        <v>3</v>
      </c>
      <c r="AI151">
        <v>-1</v>
      </c>
      <c r="AJ151" t="s">
        <v>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ROW(Source!A107)</f>
        <v>107</v>
      </c>
      <c r="B152">
        <v>56610595</v>
      </c>
      <c r="C152">
        <v>56610591</v>
      </c>
      <c r="D152">
        <v>47766545</v>
      </c>
      <c r="E152">
        <v>1</v>
      </c>
      <c r="F152">
        <v>1</v>
      </c>
      <c r="G152">
        <v>27786564</v>
      </c>
      <c r="H152">
        <v>2</v>
      </c>
      <c r="I152" t="s">
        <v>525</v>
      </c>
      <c r="J152" t="s">
        <v>526</v>
      </c>
      <c r="K152" t="s">
        <v>527</v>
      </c>
      <c r="L152">
        <v>1368</v>
      </c>
      <c r="N152">
        <v>1011</v>
      </c>
      <c r="O152" t="s">
        <v>458</v>
      </c>
      <c r="P152" t="s">
        <v>458</v>
      </c>
      <c r="Q152">
        <v>1</v>
      </c>
      <c r="X152">
        <v>3.67</v>
      </c>
      <c r="Y152">
        <v>0</v>
      </c>
      <c r="Z152">
        <v>0.73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22</v>
      </c>
      <c r="AG152">
        <v>3.8534999999999999</v>
      </c>
      <c r="AH152">
        <v>3</v>
      </c>
      <c r="AI152">
        <v>-1</v>
      </c>
      <c r="AJ152" t="s">
        <v>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ROW(Source!A107)</f>
        <v>107</v>
      </c>
      <c r="B153">
        <v>56610596</v>
      </c>
      <c r="C153">
        <v>56610591</v>
      </c>
      <c r="D153">
        <v>46723498</v>
      </c>
      <c r="E153">
        <v>1</v>
      </c>
      <c r="F153">
        <v>1</v>
      </c>
      <c r="G153">
        <v>27786564</v>
      </c>
      <c r="H153">
        <v>3</v>
      </c>
      <c r="I153" t="s">
        <v>537</v>
      </c>
      <c r="J153" t="s">
        <v>538</v>
      </c>
      <c r="K153" t="s">
        <v>539</v>
      </c>
      <c r="L153">
        <v>1348</v>
      </c>
      <c r="N153">
        <v>1009</v>
      </c>
      <c r="O153" t="s">
        <v>318</v>
      </c>
      <c r="P153" t="s">
        <v>318</v>
      </c>
      <c r="Q153">
        <v>1000</v>
      </c>
      <c r="X153">
        <v>6.0000000000000002E-5</v>
      </c>
      <c r="Y153">
        <v>11242.42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3</v>
      </c>
      <c r="AG153">
        <v>6.0000000000000002E-5</v>
      </c>
      <c r="AH153">
        <v>3</v>
      </c>
      <c r="AI153">
        <v>-1</v>
      </c>
      <c r="AJ153" t="s">
        <v>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ROW(Source!A107)</f>
        <v>107</v>
      </c>
      <c r="B154">
        <v>56610597</v>
      </c>
      <c r="C154">
        <v>56610591</v>
      </c>
      <c r="D154">
        <v>45796980</v>
      </c>
      <c r="E154">
        <v>1</v>
      </c>
      <c r="F154">
        <v>1</v>
      </c>
      <c r="G154">
        <v>27786564</v>
      </c>
      <c r="H154">
        <v>3</v>
      </c>
      <c r="I154" t="s">
        <v>540</v>
      </c>
      <c r="J154" t="s">
        <v>541</v>
      </c>
      <c r="K154" t="s">
        <v>542</v>
      </c>
      <c r="L154">
        <v>1346</v>
      </c>
      <c r="N154">
        <v>1009</v>
      </c>
      <c r="O154" t="s">
        <v>101</v>
      </c>
      <c r="P154" t="s">
        <v>101</v>
      </c>
      <c r="Q154">
        <v>1</v>
      </c>
      <c r="X154">
        <v>0.8</v>
      </c>
      <c r="Y154">
        <v>25.8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3</v>
      </c>
      <c r="AG154">
        <v>0.8</v>
      </c>
      <c r="AH154">
        <v>3</v>
      </c>
      <c r="AI154">
        <v>-1</v>
      </c>
      <c r="AJ154" t="s">
        <v>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ROW(Source!A107)</f>
        <v>107</v>
      </c>
      <c r="B155">
        <v>56610598</v>
      </c>
      <c r="C155">
        <v>56610591</v>
      </c>
      <c r="D155">
        <v>46723689</v>
      </c>
      <c r="E155">
        <v>1</v>
      </c>
      <c r="F155">
        <v>1</v>
      </c>
      <c r="G155">
        <v>27786564</v>
      </c>
      <c r="H155">
        <v>3</v>
      </c>
      <c r="I155" t="s">
        <v>558</v>
      </c>
      <c r="J155" t="s">
        <v>559</v>
      </c>
      <c r="K155" t="s">
        <v>560</v>
      </c>
      <c r="L155">
        <v>1348</v>
      </c>
      <c r="N155">
        <v>1009</v>
      </c>
      <c r="O155" t="s">
        <v>318</v>
      </c>
      <c r="P155" t="s">
        <v>318</v>
      </c>
      <c r="Q155">
        <v>1000</v>
      </c>
      <c r="X155">
        <v>5.0000000000000001E-4</v>
      </c>
      <c r="Y155">
        <v>60966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 t="s">
        <v>3</v>
      </c>
      <c r="AG155">
        <v>5.0000000000000001E-4</v>
      </c>
      <c r="AH155">
        <v>3</v>
      </c>
      <c r="AI155">
        <v>-1</v>
      </c>
      <c r="AJ155" t="s">
        <v>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ROW(Source!A107)</f>
        <v>107</v>
      </c>
      <c r="B156">
        <v>56610599</v>
      </c>
      <c r="C156">
        <v>56610591</v>
      </c>
      <c r="D156">
        <v>46723704</v>
      </c>
      <c r="E156">
        <v>1</v>
      </c>
      <c r="F156">
        <v>1</v>
      </c>
      <c r="G156">
        <v>27786564</v>
      </c>
      <c r="H156">
        <v>3</v>
      </c>
      <c r="I156" t="s">
        <v>543</v>
      </c>
      <c r="J156" t="s">
        <v>544</v>
      </c>
      <c r="K156" t="s">
        <v>545</v>
      </c>
      <c r="L156">
        <v>1348</v>
      </c>
      <c r="N156">
        <v>1009</v>
      </c>
      <c r="O156" t="s">
        <v>318</v>
      </c>
      <c r="P156" t="s">
        <v>318</v>
      </c>
      <c r="Q156">
        <v>1000</v>
      </c>
      <c r="X156">
        <v>4.0000000000000003E-5</v>
      </c>
      <c r="Y156">
        <v>7982.5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3</v>
      </c>
      <c r="AG156">
        <v>4.0000000000000003E-5</v>
      </c>
      <c r="AH156">
        <v>3</v>
      </c>
      <c r="AI156">
        <v>-1</v>
      </c>
      <c r="AJ156" t="s">
        <v>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ROW(Source!A107)</f>
        <v>107</v>
      </c>
      <c r="B157">
        <v>56610600</v>
      </c>
      <c r="C157">
        <v>56610591</v>
      </c>
      <c r="D157">
        <v>46735845</v>
      </c>
      <c r="E157">
        <v>1</v>
      </c>
      <c r="F157">
        <v>1</v>
      </c>
      <c r="G157">
        <v>27786564</v>
      </c>
      <c r="H157">
        <v>3</v>
      </c>
      <c r="I157" t="s">
        <v>546</v>
      </c>
      <c r="J157" t="s">
        <v>547</v>
      </c>
      <c r="K157" t="s">
        <v>548</v>
      </c>
      <c r="L157">
        <v>1356</v>
      </c>
      <c r="N157">
        <v>1010</v>
      </c>
      <c r="O157" t="s">
        <v>549</v>
      </c>
      <c r="P157" t="s">
        <v>549</v>
      </c>
      <c r="Q157">
        <v>1000</v>
      </c>
      <c r="X157">
        <v>4.0999999999999999E-4</v>
      </c>
      <c r="Y157">
        <v>226.68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3</v>
      </c>
      <c r="AG157">
        <v>4.0999999999999999E-4</v>
      </c>
      <c r="AH157">
        <v>3</v>
      </c>
      <c r="AI157">
        <v>-1</v>
      </c>
      <c r="AJ157" t="s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ROW(Source!A107)</f>
        <v>107</v>
      </c>
      <c r="B158">
        <v>56610601</v>
      </c>
      <c r="C158">
        <v>56610591</v>
      </c>
      <c r="D158">
        <v>46735506</v>
      </c>
      <c r="E158">
        <v>1</v>
      </c>
      <c r="F158">
        <v>1</v>
      </c>
      <c r="G158">
        <v>27786564</v>
      </c>
      <c r="H158">
        <v>3</v>
      </c>
      <c r="I158" t="s">
        <v>550</v>
      </c>
      <c r="J158" t="s">
        <v>551</v>
      </c>
      <c r="K158" t="s">
        <v>552</v>
      </c>
      <c r="L158">
        <v>1301</v>
      </c>
      <c r="N158">
        <v>1003</v>
      </c>
      <c r="O158" t="s">
        <v>57</v>
      </c>
      <c r="P158" t="s">
        <v>57</v>
      </c>
      <c r="Q158">
        <v>1</v>
      </c>
      <c r="X158">
        <v>0.96</v>
      </c>
      <c r="Y158">
        <v>0.7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3</v>
      </c>
      <c r="AG158">
        <v>0.96</v>
      </c>
      <c r="AH158">
        <v>3</v>
      </c>
      <c r="AI158">
        <v>-1</v>
      </c>
      <c r="AJ158" t="s">
        <v>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ROW(Source!A107)</f>
        <v>107</v>
      </c>
      <c r="B159">
        <v>56610602</v>
      </c>
      <c r="C159">
        <v>56610591</v>
      </c>
      <c r="D159">
        <v>46735508</v>
      </c>
      <c r="E159">
        <v>1</v>
      </c>
      <c r="F159">
        <v>1</v>
      </c>
      <c r="G159">
        <v>27786564</v>
      </c>
      <c r="H159">
        <v>3</v>
      </c>
      <c r="I159" t="s">
        <v>553</v>
      </c>
      <c r="J159" t="s">
        <v>554</v>
      </c>
      <c r="K159" t="s">
        <v>555</v>
      </c>
      <c r="L159">
        <v>1356</v>
      </c>
      <c r="N159">
        <v>1010</v>
      </c>
      <c r="O159" t="s">
        <v>549</v>
      </c>
      <c r="P159" t="s">
        <v>549</v>
      </c>
      <c r="Q159">
        <v>1000</v>
      </c>
      <c r="X159">
        <v>8.3199999999999993E-3</v>
      </c>
      <c r="Y159">
        <v>6.44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3</v>
      </c>
      <c r="AG159">
        <v>8.3199999999999993E-3</v>
      </c>
      <c r="AH159">
        <v>3</v>
      </c>
      <c r="AI159">
        <v>-1</v>
      </c>
      <c r="AJ159" t="s">
        <v>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ROW(Source!A107)</f>
        <v>107</v>
      </c>
      <c r="B160">
        <v>56610603</v>
      </c>
      <c r="C160">
        <v>56610591</v>
      </c>
      <c r="D160">
        <v>49717618</v>
      </c>
      <c r="E160">
        <v>27786564</v>
      </c>
      <c r="F160">
        <v>1</v>
      </c>
      <c r="G160">
        <v>27786564</v>
      </c>
      <c r="H160">
        <v>3</v>
      </c>
      <c r="I160" t="s">
        <v>556</v>
      </c>
      <c r="J160" t="s">
        <v>3</v>
      </c>
      <c r="K160" t="s">
        <v>557</v>
      </c>
      <c r="L160">
        <v>1303</v>
      </c>
      <c r="N160">
        <v>1003</v>
      </c>
      <c r="O160" t="s">
        <v>194</v>
      </c>
      <c r="P160" t="s">
        <v>194</v>
      </c>
      <c r="Q160">
        <v>1000</v>
      </c>
      <c r="X160">
        <v>0.10199999999999999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 t="s">
        <v>3</v>
      </c>
      <c r="AG160">
        <v>0.10199999999999999</v>
      </c>
      <c r="AH160">
        <v>3</v>
      </c>
      <c r="AI160">
        <v>-1</v>
      </c>
      <c r="AJ160" t="s">
        <v>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ROW(Source!A107)</f>
        <v>107</v>
      </c>
      <c r="B161">
        <v>56610604</v>
      </c>
      <c r="C161">
        <v>56610591</v>
      </c>
      <c r="D161">
        <v>46556476</v>
      </c>
      <c r="E161">
        <v>27786564</v>
      </c>
      <c r="F161">
        <v>1</v>
      </c>
      <c r="G161">
        <v>27786564</v>
      </c>
      <c r="H161">
        <v>3</v>
      </c>
      <c r="I161" t="s">
        <v>561</v>
      </c>
      <c r="J161" t="s">
        <v>3</v>
      </c>
      <c r="K161" t="s">
        <v>562</v>
      </c>
      <c r="L161">
        <v>1354</v>
      </c>
      <c r="N161">
        <v>1010</v>
      </c>
      <c r="O161" t="s">
        <v>90</v>
      </c>
      <c r="P161" t="s">
        <v>90</v>
      </c>
      <c r="Q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 t="s">
        <v>3</v>
      </c>
      <c r="AG161">
        <v>0</v>
      </c>
      <c r="AH161">
        <v>3</v>
      </c>
      <c r="AI161">
        <v>-1</v>
      </c>
      <c r="AJ161" t="s">
        <v>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ROW(Source!A108)</f>
        <v>108</v>
      </c>
      <c r="B162">
        <v>56610592</v>
      </c>
      <c r="C162">
        <v>56610591</v>
      </c>
      <c r="D162">
        <v>47634407</v>
      </c>
      <c r="E162">
        <v>27786564</v>
      </c>
      <c r="F162">
        <v>1</v>
      </c>
      <c r="G162">
        <v>27786564</v>
      </c>
      <c r="H162">
        <v>1</v>
      </c>
      <c r="I162" t="s">
        <v>452</v>
      </c>
      <c r="J162" t="s">
        <v>3</v>
      </c>
      <c r="K162" t="s">
        <v>453</v>
      </c>
      <c r="L162">
        <v>1191</v>
      </c>
      <c r="N162">
        <v>1013</v>
      </c>
      <c r="O162" t="s">
        <v>454</v>
      </c>
      <c r="P162" t="s">
        <v>454</v>
      </c>
      <c r="Q162">
        <v>1</v>
      </c>
      <c r="X162">
        <v>15.8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1</v>
      </c>
      <c r="AF162" t="s">
        <v>22</v>
      </c>
      <c r="AG162">
        <v>16.59</v>
      </c>
      <c r="AH162">
        <v>3</v>
      </c>
      <c r="AI162">
        <v>-1</v>
      </c>
      <c r="AJ162" t="s">
        <v>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ROW(Source!A108)</f>
        <v>108</v>
      </c>
      <c r="B163">
        <v>56610593</v>
      </c>
      <c r="C163">
        <v>56610591</v>
      </c>
      <c r="D163">
        <v>47767106</v>
      </c>
      <c r="E163">
        <v>1</v>
      </c>
      <c r="F163">
        <v>1</v>
      </c>
      <c r="G163">
        <v>27786564</v>
      </c>
      <c r="H163">
        <v>2</v>
      </c>
      <c r="I163" t="s">
        <v>455</v>
      </c>
      <c r="J163" t="s">
        <v>456</v>
      </c>
      <c r="K163" t="s">
        <v>457</v>
      </c>
      <c r="L163">
        <v>1368</v>
      </c>
      <c r="N163">
        <v>1011</v>
      </c>
      <c r="O163" t="s">
        <v>458</v>
      </c>
      <c r="P163" t="s">
        <v>458</v>
      </c>
      <c r="Q163">
        <v>1</v>
      </c>
      <c r="X163">
        <v>0.51</v>
      </c>
      <c r="Y163">
        <v>0</v>
      </c>
      <c r="Z163">
        <v>83.1</v>
      </c>
      <c r="AA163">
        <v>12.62</v>
      </c>
      <c r="AB163">
        <v>0</v>
      </c>
      <c r="AC163">
        <v>0</v>
      </c>
      <c r="AD163">
        <v>1</v>
      </c>
      <c r="AE163">
        <v>0</v>
      </c>
      <c r="AF163" t="s">
        <v>22</v>
      </c>
      <c r="AG163">
        <v>0.53550000000000009</v>
      </c>
      <c r="AH163">
        <v>3</v>
      </c>
      <c r="AI163">
        <v>-1</v>
      </c>
      <c r="AJ163" t="s">
        <v>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ROW(Source!A108)</f>
        <v>108</v>
      </c>
      <c r="B164">
        <v>56610594</v>
      </c>
      <c r="C164">
        <v>56610591</v>
      </c>
      <c r="D164">
        <v>47766535</v>
      </c>
      <c r="E164">
        <v>1</v>
      </c>
      <c r="F164">
        <v>1</v>
      </c>
      <c r="G164">
        <v>27786564</v>
      </c>
      <c r="H164">
        <v>2</v>
      </c>
      <c r="I164" t="s">
        <v>522</v>
      </c>
      <c r="J164" t="s">
        <v>523</v>
      </c>
      <c r="K164" t="s">
        <v>524</v>
      </c>
      <c r="L164">
        <v>1368</v>
      </c>
      <c r="N164">
        <v>1011</v>
      </c>
      <c r="O164" t="s">
        <v>458</v>
      </c>
      <c r="P164" t="s">
        <v>458</v>
      </c>
      <c r="Q164">
        <v>1</v>
      </c>
      <c r="X164">
        <v>3.41</v>
      </c>
      <c r="Y164">
        <v>0</v>
      </c>
      <c r="Z164">
        <v>2.27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22</v>
      </c>
      <c r="AG164">
        <v>3.5805000000000002</v>
      </c>
      <c r="AH164">
        <v>3</v>
      </c>
      <c r="AI164">
        <v>-1</v>
      </c>
      <c r="AJ164" t="s">
        <v>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ROW(Source!A108)</f>
        <v>108</v>
      </c>
      <c r="B165">
        <v>56610595</v>
      </c>
      <c r="C165">
        <v>56610591</v>
      </c>
      <c r="D165">
        <v>47766545</v>
      </c>
      <c r="E165">
        <v>1</v>
      </c>
      <c r="F165">
        <v>1</v>
      </c>
      <c r="G165">
        <v>27786564</v>
      </c>
      <c r="H165">
        <v>2</v>
      </c>
      <c r="I165" t="s">
        <v>525</v>
      </c>
      <c r="J165" t="s">
        <v>526</v>
      </c>
      <c r="K165" t="s">
        <v>527</v>
      </c>
      <c r="L165">
        <v>1368</v>
      </c>
      <c r="N165">
        <v>1011</v>
      </c>
      <c r="O165" t="s">
        <v>458</v>
      </c>
      <c r="P165" t="s">
        <v>458</v>
      </c>
      <c r="Q165">
        <v>1</v>
      </c>
      <c r="X165">
        <v>3.67</v>
      </c>
      <c r="Y165">
        <v>0</v>
      </c>
      <c r="Z165">
        <v>0.73</v>
      </c>
      <c r="AA165">
        <v>0</v>
      </c>
      <c r="AB165">
        <v>0</v>
      </c>
      <c r="AC165">
        <v>0</v>
      </c>
      <c r="AD165">
        <v>1</v>
      </c>
      <c r="AE165">
        <v>0</v>
      </c>
      <c r="AF165" t="s">
        <v>22</v>
      </c>
      <c r="AG165">
        <v>3.8534999999999999</v>
      </c>
      <c r="AH165">
        <v>3</v>
      </c>
      <c r="AI165">
        <v>-1</v>
      </c>
      <c r="AJ165" t="s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ROW(Source!A108)</f>
        <v>108</v>
      </c>
      <c r="B166">
        <v>56610596</v>
      </c>
      <c r="C166">
        <v>56610591</v>
      </c>
      <c r="D166">
        <v>46723498</v>
      </c>
      <c r="E166">
        <v>1</v>
      </c>
      <c r="F166">
        <v>1</v>
      </c>
      <c r="G166">
        <v>27786564</v>
      </c>
      <c r="H166">
        <v>3</v>
      </c>
      <c r="I166" t="s">
        <v>537</v>
      </c>
      <c r="J166" t="s">
        <v>538</v>
      </c>
      <c r="K166" t="s">
        <v>539</v>
      </c>
      <c r="L166">
        <v>1348</v>
      </c>
      <c r="N166">
        <v>1009</v>
      </c>
      <c r="O166" t="s">
        <v>318</v>
      </c>
      <c r="P166" t="s">
        <v>318</v>
      </c>
      <c r="Q166">
        <v>1000</v>
      </c>
      <c r="X166">
        <v>6.0000000000000002E-5</v>
      </c>
      <c r="Y166">
        <v>11242.42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 t="s">
        <v>3</v>
      </c>
      <c r="AG166">
        <v>6.0000000000000002E-5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ROW(Source!A108)</f>
        <v>108</v>
      </c>
      <c r="B167">
        <v>56610597</v>
      </c>
      <c r="C167">
        <v>56610591</v>
      </c>
      <c r="D167">
        <v>45796980</v>
      </c>
      <c r="E167">
        <v>1</v>
      </c>
      <c r="F167">
        <v>1</v>
      </c>
      <c r="G167">
        <v>27786564</v>
      </c>
      <c r="H167">
        <v>3</v>
      </c>
      <c r="I167" t="s">
        <v>540</v>
      </c>
      <c r="J167" t="s">
        <v>541</v>
      </c>
      <c r="K167" t="s">
        <v>542</v>
      </c>
      <c r="L167">
        <v>1346</v>
      </c>
      <c r="N167">
        <v>1009</v>
      </c>
      <c r="O167" t="s">
        <v>101</v>
      </c>
      <c r="P167" t="s">
        <v>101</v>
      </c>
      <c r="Q167">
        <v>1</v>
      </c>
      <c r="X167">
        <v>0.8</v>
      </c>
      <c r="Y167">
        <v>25.8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 t="s">
        <v>3</v>
      </c>
      <c r="AG167">
        <v>0.8</v>
      </c>
      <c r="AH167">
        <v>3</v>
      </c>
      <c r="AI167">
        <v>-1</v>
      </c>
      <c r="AJ167" t="s">
        <v>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ROW(Source!A108)</f>
        <v>108</v>
      </c>
      <c r="B168">
        <v>56610598</v>
      </c>
      <c r="C168">
        <v>56610591</v>
      </c>
      <c r="D168">
        <v>46723689</v>
      </c>
      <c r="E168">
        <v>1</v>
      </c>
      <c r="F168">
        <v>1</v>
      </c>
      <c r="G168">
        <v>27786564</v>
      </c>
      <c r="H168">
        <v>3</v>
      </c>
      <c r="I168" t="s">
        <v>558</v>
      </c>
      <c r="J168" t="s">
        <v>559</v>
      </c>
      <c r="K168" t="s">
        <v>560</v>
      </c>
      <c r="L168">
        <v>1348</v>
      </c>
      <c r="N168">
        <v>1009</v>
      </c>
      <c r="O168" t="s">
        <v>318</v>
      </c>
      <c r="P168" t="s">
        <v>318</v>
      </c>
      <c r="Q168">
        <v>1000</v>
      </c>
      <c r="X168">
        <v>5.0000000000000001E-4</v>
      </c>
      <c r="Y168">
        <v>60966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3</v>
      </c>
      <c r="AG168">
        <v>5.0000000000000001E-4</v>
      </c>
      <c r="AH168">
        <v>3</v>
      </c>
      <c r="AI168">
        <v>-1</v>
      </c>
      <c r="AJ168" t="s">
        <v>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ROW(Source!A108)</f>
        <v>108</v>
      </c>
      <c r="B169">
        <v>56610599</v>
      </c>
      <c r="C169">
        <v>56610591</v>
      </c>
      <c r="D169">
        <v>46723704</v>
      </c>
      <c r="E169">
        <v>1</v>
      </c>
      <c r="F169">
        <v>1</v>
      </c>
      <c r="G169">
        <v>27786564</v>
      </c>
      <c r="H169">
        <v>3</v>
      </c>
      <c r="I169" t="s">
        <v>543</v>
      </c>
      <c r="J169" t="s">
        <v>544</v>
      </c>
      <c r="K169" t="s">
        <v>545</v>
      </c>
      <c r="L169">
        <v>1348</v>
      </c>
      <c r="N169">
        <v>1009</v>
      </c>
      <c r="O169" t="s">
        <v>318</v>
      </c>
      <c r="P169" t="s">
        <v>318</v>
      </c>
      <c r="Q169">
        <v>1000</v>
      </c>
      <c r="X169">
        <v>4.0000000000000003E-5</v>
      </c>
      <c r="Y169">
        <v>7982.5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3</v>
      </c>
      <c r="AG169">
        <v>4.0000000000000003E-5</v>
      </c>
      <c r="AH169">
        <v>3</v>
      </c>
      <c r="AI169">
        <v>-1</v>
      </c>
      <c r="AJ169" t="s">
        <v>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ROW(Source!A108)</f>
        <v>108</v>
      </c>
      <c r="B170">
        <v>56610600</v>
      </c>
      <c r="C170">
        <v>56610591</v>
      </c>
      <c r="D170">
        <v>46735845</v>
      </c>
      <c r="E170">
        <v>1</v>
      </c>
      <c r="F170">
        <v>1</v>
      </c>
      <c r="G170">
        <v>27786564</v>
      </c>
      <c r="H170">
        <v>3</v>
      </c>
      <c r="I170" t="s">
        <v>546</v>
      </c>
      <c r="J170" t="s">
        <v>547</v>
      </c>
      <c r="K170" t="s">
        <v>548</v>
      </c>
      <c r="L170">
        <v>1356</v>
      </c>
      <c r="N170">
        <v>1010</v>
      </c>
      <c r="O170" t="s">
        <v>549</v>
      </c>
      <c r="P170" t="s">
        <v>549</v>
      </c>
      <c r="Q170">
        <v>1000</v>
      </c>
      <c r="X170">
        <v>4.0999999999999999E-4</v>
      </c>
      <c r="Y170">
        <v>226.68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3</v>
      </c>
      <c r="AG170">
        <v>4.0999999999999999E-4</v>
      </c>
      <c r="AH170">
        <v>3</v>
      </c>
      <c r="AI170">
        <v>-1</v>
      </c>
      <c r="AJ170" t="s">
        <v>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ROW(Source!A108)</f>
        <v>108</v>
      </c>
      <c r="B171">
        <v>56610601</v>
      </c>
      <c r="C171">
        <v>56610591</v>
      </c>
      <c r="D171">
        <v>46735506</v>
      </c>
      <c r="E171">
        <v>1</v>
      </c>
      <c r="F171">
        <v>1</v>
      </c>
      <c r="G171">
        <v>27786564</v>
      </c>
      <c r="H171">
        <v>3</v>
      </c>
      <c r="I171" t="s">
        <v>550</v>
      </c>
      <c r="J171" t="s">
        <v>551</v>
      </c>
      <c r="K171" t="s">
        <v>552</v>
      </c>
      <c r="L171">
        <v>1301</v>
      </c>
      <c r="N171">
        <v>1003</v>
      </c>
      <c r="O171" t="s">
        <v>57</v>
      </c>
      <c r="P171" t="s">
        <v>57</v>
      </c>
      <c r="Q171">
        <v>1</v>
      </c>
      <c r="X171">
        <v>0.96</v>
      </c>
      <c r="Y171">
        <v>0.7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3</v>
      </c>
      <c r="AG171">
        <v>0.96</v>
      </c>
      <c r="AH171">
        <v>3</v>
      </c>
      <c r="AI171">
        <v>-1</v>
      </c>
      <c r="AJ171" t="s">
        <v>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ROW(Source!A108)</f>
        <v>108</v>
      </c>
      <c r="B172">
        <v>56610602</v>
      </c>
      <c r="C172">
        <v>56610591</v>
      </c>
      <c r="D172">
        <v>46735508</v>
      </c>
      <c r="E172">
        <v>1</v>
      </c>
      <c r="F172">
        <v>1</v>
      </c>
      <c r="G172">
        <v>27786564</v>
      </c>
      <c r="H172">
        <v>3</v>
      </c>
      <c r="I172" t="s">
        <v>553</v>
      </c>
      <c r="J172" t="s">
        <v>554</v>
      </c>
      <c r="K172" t="s">
        <v>555</v>
      </c>
      <c r="L172">
        <v>1356</v>
      </c>
      <c r="N172">
        <v>1010</v>
      </c>
      <c r="O172" t="s">
        <v>549</v>
      </c>
      <c r="P172" t="s">
        <v>549</v>
      </c>
      <c r="Q172">
        <v>1000</v>
      </c>
      <c r="X172">
        <v>8.3199999999999993E-3</v>
      </c>
      <c r="Y172">
        <v>6.44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3</v>
      </c>
      <c r="AG172">
        <v>8.3199999999999993E-3</v>
      </c>
      <c r="AH172">
        <v>3</v>
      </c>
      <c r="AI172">
        <v>-1</v>
      </c>
      <c r="AJ172" t="s">
        <v>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ROW(Source!A108)</f>
        <v>108</v>
      </c>
      <c r="B173">
        <v>56610603</v>
      </c>
      <c r="C173">
        <v>56610591</v>
      </c>
      <c r="D173">
        <v>49717618</v>
      </c>
      <c r="E173">
        <v>27786564</v>
      </c>
      <c r="F173">
        <v>1</v>
      </c>
      <c r="G173">
        <v>27786564</v>
      </c>
      <c r="H173">
        <v>3</v>
      </c>
      <c r="I173" t="s">
        <v>556</v>
      </c>
      <c r="J173" t="s">
        <v>3</v>
      </c>
      <c r="K173" t="s">
        <v>557</v>
      </c>
      <c r="L173">
        <v>1303</v>
      </c>
      <c r="N173">
        <v>1003</v>
      </c>
      <c r="O173" t="s">
        <v>194</v>
      </c>
      <c r="P173" t="s">
        <v>194</v>
      </c>
      <c r="Q173">
        <v>1000</v>
      </c>
      <c r="X173">
        <v>0.10199999999999999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3</v>
      </c>
      <c r="AG173">
        <v>0.10199999999999999</v>
      </c>
      <c r="AH173">
        <v>3</v>
      </c>
      <c r="AI173">
        <v>-1</v>
      </c>
      <c r="AJ173" t="s">
        <v>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ROW(Source!A108)</f>
        <v>108</v>
      </c>
      <c r="B174">
        <v>56610604</v>
      </c>
      <c r="C174">
        <v>56610591</v>
      </c>
      <c r="D174">
        <v>46556476</v>
      </c>
      <c r="E174">
        <v>27786564</v>
      </c>
      <c r="F174">
        <v>1</v>
      </c>
      <c r="G174">
        <v>27786564</v>
      </c>
      <c r="H174">
        <v>3</v>
      </c>
      <c r="I174" t="s">
        <v>561</v>
      </c>
      <c r="J174" t="s">
        <v>3</v>
      </c>
      <c r="K174" t="s">
        <v>562</v>
      </c>
      <c r="L174">
        <v>1354</v>
      </c>
      <c r="N174">
        <v>1010</v>
      </c>
      <c r="O174" t="s">
        <v>90</v>
      </c>
      <c r="P174" t="s">
        <v>90</v>
      </c>
      <c r="Q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3</v>
      </c>
      <c r="AG174">
        <v>0</v>
      </c>
      <c r="AH174">
        <v>3</v>
      </c>
      <c r="AI174">
        <v>-1</v>
      </c>
      <c r="AJ174" t="s">
        <v>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ROW(Source!A109)</f>
        <v>109</v>
      </c>
      <c r="B175">
        <v>56610606</v>
      </c>
      <c r="C175">
        <v>56610605</v>
      </c>
      <c r="D175">
        <v>47634407</v>
      </c>
      <c r="E175">
        <v>27786564</v>
      </c>
      <c r="F175">
        <v>1</v>
      </c>
      <c r="G175">
        <v>27786564</v>
      </c>
      <c r="H175">
        <v>1</v>
      </c>
      <c r="I175" t="s">
        <v>452</v>
      </c>
      <c r="J175" t="s">
        <v>3</v>
      </c>
      <c r="K175" t="s">
        <v>453</v>
      </c>
      <c r="L175">
        <v>1191</v>
      </c>
      <c r="N175">
        <v>1013</v>
      </c>
      <c r="O175" t="s">
        <v>454</v>
      </c>
      <c r="P175" t="s">
        <v>454</v>
      </c>
      <c r="Q175">
        <v>1</v>
      </c>
      <c r="X175">
        <v>15.8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1</v>
      </c>
      <c r="AF175" t="s">
        <v>22</v>
      </c>
      <c r="AG175">
        <v>16.59</v>
      </c>
      <c r="AH175">
        <v>3</v>
      </c>
      <c r="AI175">
        <v>-1</v>
      </c>
      <c r="AJ175" t="s">
        <v>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ROW(Source!A109)</f>
        <v>109</v>
      </c>
      <c r="B176">
        <v>56610607</v>
      </c>
      <c r="C176">
        <v>56610605</v>
      </c>
      <c r="D176">
        <v>47767106</v>
      </c>
      <c r="E176">
        <v>1</v>
      </c>
      <c r="F176">
        <v>1</v>
      </c>
      <c r="G176">
        <v>27786564</v>
      </c>
      <c r="H176">
        <v>2</v>
      </c>
      <c r="I176" t="s">
        <v>455</v>
      </c>
      <c r="J176" t="s">
        <v>456</v>
      </c>
      <c r="K176" t="s">
        <v>457</v>
      </c>
      <c r="L176">
        <v>1368</v>
      </c>
      <c r="N176">
        <v>1011</v>
      </c>
      <c r="O176" t="s">
        <v>458</v>
      </c>
      <c r="P176" t="s">
        <v>458</v>
      </c>
      <c r="Q176">
        <v>1</v>
      </c>
      <c r="X176">
        <v>0.51</v>
      </c>
      <c r="Y176">
        <v>0</v>
      </c>
      <c r="Z176">
        <v>83.1</v>
      </c>
      <c r="AA176">
        <v>12.62</v>
      </c>
      <c r="AB176">
        <v>0</v>
      </c>
      <c r="AC176">
        <v>0</v>
      </c>
      <c r="AD176">
        <v>1</v>
      </c>
      <c r="AE176">
        <v>0</v>
      </c>
      <c r="AF176" t="s">
        <v>22</v>
      </c>
      <c r="AG176">
        <v>0.53550000000000009</v>
      </c>
      <c r="AH176">
        <v>3</v>
      </c>
      <c r="AI176">
        <v>-1</v>
      </c>
      <c r="AJ176" t="s">
        <v>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ROW(Source!A109)</f>
        <v>109</v>
      </c>
      <c r="B177">
        <v>56610608</v>
      </c>
      <c r="C177">
        <v>56610605</v>
      </c>
      <c r="D177">
        <v>47766535</v>
      </c>
      <c r="E177">
        <v>1</v>
      </c>
      <c r="F177">
        <v>1</v>
      </c>
      <c r="G177">
        <v>27786564</v>
      </c>
      <c r="H177">
        <v>2</v>
      </c>
      <c r="I177" t="s">
        <v>522</v>
      </c>
      <c r="J177" t="s">
        <v>523</v>
      </c>
      <c r="K177" t="s">
        <v>524</v>
      </c>
      <c r="L177">
        <v>1368</v>
      </c>
      <c r="N177">
        <v>1011</v>
      </c>
      <c r="O177" t="s">
        <v>458</v>
      </c>
      <c r="P177" t="s">
        <v>458</v>
      </c>
      <c r="Q177">
        <v>1</v>
      </c>
      <c r="X177">
        <v>3.41</v>
      </c>
      <c r="Y177">
        <v>0</v>
      </c>
      <c r="Z177">
        <v>2.27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22</v>
      </c>
      <c r="AG177">
        <v>3.5805000000000002</v>
      </c>
      <c r="AH177">
        <v>3</v>
      </c>
      <c r="AI177">
        <v>-1</v>
      </c>
      <c r="AJ177" t="s">
        <v>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ROW(Source!A109)</f>
        <v>109</v>
      </c>
      <c r="B178">
        <v>56610609</v>
      </c>
      <c r="C178">
        <v>56610605</v>
      </c>
      <c r="D178">
        <v>47766545</v>
      </c>
      <c r="E178">
        <v>1</v>
      </c>
      <c r="F178">
        <v>1</v>
      </c>
      <c r="G178">
        <v>27786564</v>
      </c>
      <c r="H178">
        <v>2</v>
      </c>
      <c r="I178" t="s">
        <v>525</v>
      </c>
      <c r="J178" t="s">
        <v>526</v>
      </c>
      <c r="K178" t="s">
        <v>527</v>
      </c>
      <c r="L178">
        <v>1368</v>
      </c>
      <c r="N178">
        <v>1011</v>
      </c>
      <c r="O178" t="s">
        <v>458</v>
      </c>
      <c r="P178" t="s">
        <v>458</v>
      </c>
      <c r="Q178">
        <v>1</v>
      </c>
      <c r="X178">
        <v>3.67</v>
      </c>
      <c r="Y178">
        <v>0</v>
      </c>
      <c r="Z178">
        <v>0.73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22</v>
      </c>
      <c r="AG178">
        <v>3.8534999999999999</v>
      </c>
      <c r="AH178">
        <v>3</v>
      </c>
      <c r="AI178">
        <v>-1</v>
      </c>
      <c r="AJ178" t="s">
        <v>3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ROW(Source!A109)</f>
        <v>109</v>
      </c>
      <c r="B179">
        <v>56610610</v>
      </c>
      <c r="C179">
        <v>56610605</v>
      </c>
      <c r="D179">
        <v>46723498</v>
      </c>
      <c r="E179">
        <v>1</v>
      </c>
      <c r="F179">
        <v>1</v>
      </c>
      <c r="G179">
        <v>27786564</v>
      </c>
      <c r="H179">
        <v>3</v>
      </c>
      <c r="I179" t="s">
        <v>537</v>
      </c>
      <c r="J179" t="s">
        <v>538</v>
      </c>
      <c r="K179" t="s">
        <v>539</v>
      </c>
      <c r="L179">
        <v>1348</v>
      </c>
      <c r="N179">
        <v>1009</v>
      </c>
      <c r="O179" t="s">
        <v>318</v>
      </c>
      <c r="P179" t="s">
        <v>318</v>
      </c>
      <c r="Q179">
        <v>1000</v>
      </c>
      <c r="X179">
        <v>6.0000000000000002E-5</v>
      </c>
      <c r="Y179">
        <v>11242.42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3</v>
      </c>
      <c r="AG179">
        <v>6.0000000000000002E-5</v>
      </c>
      <c r="AH179">
        <v>3</v>
      </c>
      <c r="AI179">
        <v>-1</v>
      </c>
      <c r="AJ179" t="s">
        <v>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ROW(Source!A109)</f>
        <v>109</v>
      </c>
      <c r="B180">
        <v>56610611</v>
      </c>
      <c r="C180">
        <v>56610605</v>
      </c>
      <c r="D180">
        <v>45796980</v>
      </c>
      <c r="E180">
        <v>1</v>
      </c>
      <c r="F180">
        <v>1</v>
      </c>
      <c r="G180">
        <v>27786564</v>
      </c>
      <c r="H180">
        <v>3</v>
      </c>
      <c r="I180" t="s">
        <v>540</v>
      </c>
      <c r="J180" t="s">
        <v>541</v>
      </c>
      <c r="K180" t="s">
        <v>542</v>
      </c>
      <c r="L180">
        <v>1346</v>
      </c>
      <c r="N180">
        <v>1009</v>
      </c>
      <c r="O180" t="s">
        <v>101</v>
      </c>
      <c r="P180" t="s">
        <v>101</v>
      </c>
      <c r="Q180">
        <v>1</v>
      </c>
      <c r="X180">
        <v>0.8</v>
      </c>
      <c r="Y180">
        <v>25.8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 t="s">
        <v>3</v>
      </c>
      <c r="AG180">
        <v>0.8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ROW(Source!A109)</f>
        <v>109</v>
      </c>
      <c r="B181">
        <v>56610612</v>
      </c>
      <c r="C181">
        <v>56610605</v>
      </c>
      <c r="D181">
        <v>46723689</v>
      </c>
      <c r="E181">
        <v>1</v>
      </c>
      <c r="F181">
        <v>1</v>
      </c>
      <c r="G181">
        <v>27786564</v>
      </c>
      <c r="H181">
        <v>3</v>
      </c>
      <c r="I181" t="s">
        <v>558</v>
      </c>
      <c r="J181" t="s">
        <v>559</v>
      </c>
      <c r="K181" t="s">
        <v>560</v>
      </c>
      <c r="L181">
        <v>1348</v>
      </c>
      <c r="N181">
        <v>1009</v>
      </c>
      <c r="O181" t="s">
        <v>318</v>
      </c>
      <c r="P181" t="s">
        <v>318</v>
      </c>
      <c r="Q181">
        <v>1000</v>
      </c>
      <c r="X181">
        <v>5.0000000000000001E-4</v>
      </c>
      <c r="Y181">
        <v>60966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 t="s">
        <v>3</v>
      </c>
      <c r="AG181">
        <v>5.0000000000000001E-4</v>
      </c>
      <c r="AH181">
        <v>3</v>
      </c>
      <c r="AI181">
        <v>-1</v>
      </c>
      <c r="AJ181" t="s">
        <v>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ROW(Source!A109)</f>
        <v>109</v>
      </c>
      <c r="B182">
        <v>56610613</v>
      </c>
      <c r="C182">
        <v>56610605</v>
      </c>
      <c r="D182">
        <v>46723704</v>
      </c>
      <c r="E182">
        <v>1</v>
      </c>
      <c r="F182">
        <v>1</v>
      </c>
      <c r="G182">
        <v>27786564</v>
      </c>
      <c r="H182">
        <v>3</v>
      </c>
      <c r="I182" t="s">
        <v>543</v>
      </c>
      <c r="J182" t="s">
        <v>544</v>
      </c>
      <c r="K182" t="s">
        <v>545</v>
      </c>
      <c r="L182">
        <v>1348</v>
      </c>
      <c r="N182">
        <v>1009</v>
      </c>
      <c r="O182" t="s">
        <v>318</v>
      </c>
      <c r="P182" t="s">
        <v>318</v>
      </c>
      <c r="Q182">
        <v>1000</v>
      </c>
      <c r="X182">
        <v>4.0000000000000003E-5</v>
      </c>
      <c r="Y182">
        <v>7982.5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3</v>
      </c>
      <c r="AG182">
        <v>4.0000000000000003E-5</v>
      </c>
      <c r="AH182">
        <v>3</v>
      </c>
      <c r="AI182">
        <v>-1</v>
      </c>
      <c r="AJ182" t="s">
        <v>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ROW(Source!A109)</f>
        <v>109</v>
      </c>
      <c r="B183">
        <v>56610614</v>
      </c>
      <c r="C183">
        <v>56610605</v>
      </c>
      <c r="D183">
        <v>46735845</v>
      </c>
      <c r="E183">
        <v>1</v>
      </c>
      <c r="F183">
        <v>1</v>
      </c>
      <c r="G183">
        <v>27786564</v>
      </c>
      <c r="H183">
        <v>3</v>
      </c>
      <c r="I183" t="s">
        <v>546</v>
      </c>
      <c r="J183" t="s">
        <v>547</v>
      </c>
      <c r="K183" t="s">
        <v>548</v>
      </c>
      <c r="L183">
        <v>1356</v>
      </c>
      <c r="N183">
        <v>1010</v>
      </c>
      <c r="O183" t="s">
        <v>549</v>
      </c>
      <c r="P183" t="s">
        <v>549</v>
      </c>
      <c r="Q183">
        <v>1000</v>
      </c>
      <c r="X183">
        <v>4.0999999999999999E-4</v>
      </c>
      <c r="Y183">
        <v>226.68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3</v>
      </c>
      <c r="AG183">
        <v>4.0999999999999999E-4</v>
      </c>
      <c r="AH183">
        <v>3</v>
      </c>
      <c r="AI183">
        <v>-1</v>
      </c>
      <c r="AJ183" t="s">
        <v>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ROW(Source!A109)</f>
        <v>109</v>
      </c>
      <c r="B184">
        <v>56610615</v>
      </c>
      <c r="C184">
        <v>56610605</v>
      </c>
      <c r="D184">
        <v>46735506</v>
      </c>
      <c r="E184">
        <v>1</v>
      </c>
      <c r="F184">
        <v>1</v>
      </c>
      <c r="G184">
        <v>27786564</v>
      </c>
      <c r="H184">
        <v>3</v>
      </c>
      <c r="I184" t="s">
        <v>550</v>
      </c>
      <c r="J184" t="s">
        <v>551</v>
      </c>
      <c r="K184" t="s">
        <v>552</v>
      </c>
      <c r="L184">
        <v>1301</v>
      </c>
      <c r="N184">
        <v>1003</v>
      </c>
      <c r="O184" t="s">
        <v>57</v>
      </c>
      <c r="P184" t="s">
        <v>57</v>
      </c>
      <c r="Q184">
        <v>1</v>
      </c>
      <c r="X184">
        <v>0.96</v>
      </c>
      <c r="Y184">
        <v>0.7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3</v>
      </c>
      <c r="AG184">
        <v>0.96</v>
      </c>
      <c r="AH184">
        <v>3</v>
      </c>
      <c r="AI184">
        <v>-1</v>
      </c>
      <c r="AJ184" t="s">
        <v>3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ROW(Source!A109)</f>
        <v>109</v>
      </c>
      <c r="B185">
        <v>56610616</v>
      </c>
      <c r="C185">
        <v>56610605</v>
      </c>
      <c r="D185">
        <v>46735508</v>
      </c>
      <c r="E185">
        <v>1</v>
      </c>
      <c r="F185">
        <v>1</v>
      </c>
      <c r="G185">
        <v>27786564</v>
      </c>
      <c r="H185">
        <v>3</v>
      </c>
      <c r="I185" t="s">
        <v>553</v>
      </c>
      <c r="J185" t="s">
        <v>554</v>
      </c>
      <c r="K185" t="s">
        <v>555</v>
      </c>
      <c r="L185">
        <v>1356</v>
      </c>
      <c r="N185">
        <v>1010</v>
      </c>
      <c r="O185" t="s">
        <v>549</v>
      </c>
      <c r="P185" t="s">
        <v>549</v>
      </c>
      <c r="Q185">
        <v>1000</v>
      </c>
      <c r="X185">
        <v>8.3199999999999993E-3</v>
      </c>
      <c r="Y185">
        <v>6.44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3</v>
      </c>
      <c r="AG185">
        <v>8.3199999999999993E-3</v>
      </c>
      <c r="AH185">
        <v>3</v>
      </c>
      <c r="AI185">
        <v>-1</v>
      </c>
      <c r="AJ185" t="s">
        <v>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ROW(Source!A109)</f>
        <v>109</v>
      </c>
      <c r="B186">
        <v>56610617</v>
      </c>
      <c r="C186">
        <v>56610605</v>
      </c>
      <c r="D186">
        <v>49717618</v>
      </c>
      <c r="E186">
        <v>27786564</v>
      </c>
      <c r="F186">
        <v>1</v>
      </c>
      <c r="G186">
        <v>27786564</v>
      </c>
      <c r="H186">
        <v>3</v>
      </c>
      <c r="I186" t="s">
        <v>556</v>
      </c>
      <c r="J186" t="s">
        <v>3</v>
      </c>
      <c r="K186" t="s">
        <v>557</v>
      </c>
      <c r="L186">
        <v>1303</v>
      </c>
      <c r="N186">
        <v>1003</v>
      </c>
      <c r="O186" t="s">
        <v>194</v>
      </c>
      <c r="P186" t="s">
        <v>194</v>
      </c>
      <c r="Q186">
        <v>1000</v>
      </c>
      <c r="X186">
        <v>0.10199999999999999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3</v>
      </c>
      <c r="AG186">
        <v>0.10199999999999999</v>
      </c>
      <c r="AH186">
        <v>3</v>
      </c>
      <c r="AI186">
        <v>-1</v>
      </c>
      <c r="AJ186" t="s">
        <v>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ROW(Source!A109)</f>
        <v>109</v>
      </c>
      <c r="B187">
        <v>56610618</v>
      </c>
      <c r="C187">
        <v>56610605</v>
      </c>
      <c r="D187">
        <v>46556476</v>
      </c>
      <c r="E187">
        <v>27786564</v>
      </c>
      <c r="F187">
        <v>1</v>
      </c>
      <c r="G187">
        <v>27786564</v>
      </c>
      <c r="H187">
        <v>3</v>
      </c>
      <c r="I187" t="s">
        <v>561</v>
      </c>
      <c r="J187" t="s">
        <v>3</v>
      </c>
      <c r="K187" t="s">
        <v>562</v>
      </c>
      <c r="L187">
        <v>1354</v>
      </c>
      <c r="N187">
        <v>1010</v>
      </c>
      <c r="O187" t="s">
        <v>90</v>
      </c>
      <c r="P187" t="s">
        <v>90</v>
      </c>
      <c r="Q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 t="s">
        <v>3</v>
      </c>
      <c r="AG187">
        <v>0</v>
      </c>
      <c r="AH187">
        <v>3</v>
      </c>
      <c r="AI187">
        <v>-1</v>
      </c>
      <c r="AJ187" t="s">
        <v>3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ROW(Source!A110)</f>
        <v>110</v>
      </c>
      <c r="B188">
        <v>56610606</v>
      </c>
      <c r="C188">
        <v>56610605</v>
      </c>
      <c r="D188">
        <v>47634407</v>
      </c>
      <c r="E188">
        <v>27786564</v>
      </c>
      <c r="F188">
        <v>1</v>
      </c>
      <c r="G188">
        <v>27786564</v>
      </c>
      <c r="H188">
        <v>1</v>
      </c>
      <c r="I188" t="s">
        <v>452</v>
      </c>
      <c r="J188" t="s">
        <v>3</v>
      </c>
      <c r="K188" t="s">
        <v>453</v>
      </c>
      <c r="L188">
        <v>1191</v>
      </c>
      <c r="N188">
        <v>1013</v>
      </c>
      <c r="O188" t="s">
        <v>454</v>
      </c>
      <c r="P188" t="s">
        <v>454</v>
      </c>
      <c r="Q188">
        <v>1</v>
      </c>
      <c r="X188">
        <v>15.8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1</v>
      </c>
      <c r="AF188" t="s">
        <v>22</v>
      </c>
      <c r="AG188">
        <v>16.59</v>
      </c>
      <c r="AH188">
        <v>3</v>
      </c>
      <c r="AI188">
        <v>-1</v>
      </c>
      <c r="AJ188" t="s">
        <v>3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ROW(Source!A110)</f>
        <v>110</v>
      </c>
      <c r="B189">
        <v>56610607</v>
      </c>
      <c r="C189">
        <v>56610605</v>
      </c>
      <c r="D189">
        <v>47767106</v>
      </c>
      <c r="E189">
        <v>1</v>
      </c>
      <c r="F189">
        <v>1</v>
      </c>
      <c r="G189">
        <v>27786564</v>
      </c>
      <c r="H189">
        <v>2</v>
      </c>
      <c r="I189" t="s">
        <v>455</v>
      </c>
      <c r="J189" t="s">
        <v>456</v>
      </c>
      <c r="K189" t="s">
        <v>457</v>
      </c>
      <c r="L189">
        <v>1368</v>
      </c>
      <c r="N189">
        <v>1011</v>
      </c>
      <c r="O189" t="s">
        <v>458</v>
      </c>
      <c r="P189" t="s">
        <v>458</v>
      </c>
      <c r="Q189">
        <v>1</v>
      </c>
      <c r="X189">
        <v>0.51</v>
      </c>
      <c r="Y189">
        <v>0</v>
      </c>
      <c r="Z189">
        <v>83.1</v>
      </c>
      <c r="AA189">
        <v>12.62</v>
      </c>
      <c r="AB189">
        <v>0</v>
      </c>
      <c r="AC189">
        <v>0</v>
      </c>
      <c r="AD189">
        <v>1</v>
      </c>
      <c r="AE189">
        <v>0</v>
      </c>
      <c r="AF189" t="s">
        <v>22</v>
      </c>
      <c r="AG189">
        <v>0.53550000000000009</v>
      </c>
      <c r="AH189">
        <v>3</v>
      </c>
      <c r="AI189">
        <v>-1</v>
      </c>
      <c r="AJ189" t="s">
        <v>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ROW(Source!A110)</f>
        <v>110</v>
      </c>
      <c r="B190">
        <v>56610608</v>
      </c>
      <c r="C190">
        <v>56610605</v>
      </c>
      <c r="D190">
        <v>47766535</v>
      </c>
      <c r="E190">
        <v>1</v>
      </c>
      <c r="F190">
        <v>1</v>
      </c>
      <c r="G190">
        <v>27786564</v>
      </c>
      <c r="H190">
        <v>2</v>
      </c>
      <c r="I190" t="s">
        <v>522</v>
      </c>
      <c r="J190" t="s">
        <v>523</v>
      </c>
      <c r="K190" t="s">
        <v>524</v>
      </c>
      <c r="L190">
        <v>1368</v>
      </c>
      <c r="N190">
        <v>1011</v>
      </c>
      <c r="O190" t="s">
        <v>458</v>
      </c>
      <c r="P190" t="s">
        <v>458</v>
      </c>
      <c r="Q190">
        <v>1</v>
      </c>
      <c r="X190">
        <v>3.41</v>
      </c>
      <c r="Y190">
        <v>0</v>
      </c>
      <c r="Z190">
        <v>2.27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22</v>
      </c>
      <c r="AG190">
        <v>3.5805000000000002</v>
      </c>
      <c r="AH190">
        <v>3</v>
      </c>
      <c r="AI190">
        <v>-1</v>
      </c>
      <c r="AJ190" t="s">
        <v>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ROW(Source!A110)</f>
        <v>110</v>
      </c>
      <c r="B191">
        <v>56610609</v>
      </c>
      <c r="C191">
        <v>56610605</v>
      </c>
      <c r="D191">
        <v>47766545</v>
      </c>
      <c r="E191">
        <v>1</v>
      </c>
      <c r="F191">
        <v>1</v>
      </c>
      <c r="G191">
        <v>27786564</v>
      </c>
      <c r="H191">
        <v>2</v>
      </c>
      <c r="I191" t="s">
        <v>525</v>
      </c>
      <c r="J191" t="s">
        <v>526</v>
      </c>
      <c r="K191" t="s">
        <v>527</v>
      </c>
      <c r="L191">
        <v>1368</v>
      </c>
      <c r="N191">
        <v>1011</v>
      </c>
      <c r="O191" t="s">
        <v>458</v>
      </c>
      <c r="P191" t="s">
        <v>458</v>
      </c>
      <c r="Q191">
        <v>1</v>
      </c>
      <c r="X191">
        <v>3.67</v>
      </c>
      <c r="Y191">
        <v>0</v>
      </c>
      <c r="Z191">
        <v>0.73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22</v>
      </c>
      <c r="AG191">
        <v>3.8534999999999999</v>
      </c>
      <c r="AH191">
        <v>3</v>
      </c>
      <c r="AI191">
        <v>-1</v>
      </c>
      <c r="AJ191" t="s">
        <v>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ROW(Source!A110)</f>
        <v>110</v>
      </c>
      <c r="B192">
        <v>56610610</v>
      </c>
      <c r="C192">
        <v>56610605</v>
      </c>
      <c r="D192">
        <v>46723498</v>
      </c>
      <c r="E192">
        <v>1</v>
      </c>
      <c r="F192">
        <v>1</v>
      </c>
      <c r="G192">
        <v>27786564</v>
      </c>
      <c r="H192">
        <v>3</v>
      </c>
      <c r="I192" t="s">
        <v>537</v>
      </c>
      <c r="J192" t="s">
        <v>538</v>
      </c>
      <c r="K192" t="s">
        <v>539</v>
      </c>
      <c r="L192">
        <v>1348</v>
      </c>
      <c r="N192">
        <v>1009</v>
      </c>
      <c r="O192" t="s">
        <v>318</v>
      </c>
      <c r="P192" t="s">
        <v>318</v>
      </c>
      <c r="Q192">
        <v>1000</v>
      </c>
      <c r="X192">
        <v>6.0000000000000002E-5</v>
      </c>
      <c r="Y192">
        <v>11242.42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3</v>
      </c>
      <c r="AG192">
        <v>6.0000000000000002E-5</v>
      </c>
      <c r="AH192">
        <v>3</v>
      </c>
      <c r="AI192">
        <v>-1</v>
      </c>
      <c r="AJ192" t="s">
        <v>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ROW(Source!A110)</f>
        <v>110</v>
      </c>
      <c r="B193">
        <v>56610611</v>
      </c>
      <c r="C193">
        <v>56610605</v>
      </c>
      <c r="D193">
        <v>45796980</v>
      </c>
      <c r="E193">
        <v>1</v>
      </c>
      <c r="F193">
        <v>1</v>
      </c>
      <c r="G193">
        <v>27786564</v>
      </c>
      <c r="H193">
        <v>3</v>
      </c>
      <c r="I193" t="s">
        <v>540</v>
      </c>
      <c r="J193" t="s">
        <v>541</v>
      </c>
      <c r="K193" t="s">
        <v>542</v>
      </c>
      <c r="L193">
        <v>1346</v>
      </c>
      <c r="N193">
        <v>1009</v>
      </c>
      <c r="O193" t="s">
        <v>101</v>
      </c>
      <c r="P193" t="s">
        <v>101</v>
      </c>
      <c r="Q193">
        <v>1</v>
      </c>
      <c r="X193">
        <v>0.8</v>
      </c>
      <c r="Y193">
        <v>25.8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3</v>
      </c>
      <c r="AG193">
        <v>0.8</v>
      </c>
      <c r="AH193">
        <v>3</v>
      </c>
      <c r="AI193">
        <v>-1</v>
      </c>
      <c r="AJ193" t="s">
        <v>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ROW(Source!A110)</f>
        <v>110</v>
      </c>
      <c r="B194">
        <v>56610612</v>
      </c>
      <c r="C194">
        <v>56610605</v>
      </c>
      <c r="D194">
        <v>46723689</v>
      </c>
      <c r="E194">
        <v>1</v>
      </c>
      <c r="F194">
        <v>1</v>
      </c>
      <c r="G194">
        <v>27786564</v>
      </c>
      <c r="H194">
        <v>3</v>
      </c>
      <c r="I194" t="s">
        <v>558</v>
      </c>
      <c r="J194" t="s">
        <v>559</v>
      </c>
      <c r="K194" t="s">
        <v>560</v>
      </c>
      <c r="L194">
        <v>1348</v>
      </c>
      <c r="N194">
        <v>1009</v>
      </c>
      <c r="O194" t="s">
        <v>318</v>
      </c>
      <c r="P194" t="s">
        <v>318</v>
      </c>
      <c r="Q194">
        <v>1000</v>
      </c>
      <c r="X194">
        <v>5.0000000000000001E-4</v>
      </c>
      <c r="Y194">
        <v>60966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3</v>
      </c>
      <c r="AG194">
        <v>5.0000000000000001E-4</v>
      </c>
      <c r="AH194">
        <v>3</v>
      </c>
      <c r="AI194">
        <v>-1</v>
      </c>
      <c r="AJ194" t="s">
        <v>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ROW(Source!A110)</f>
        <v>110</v>
      </c>
      <c r="B195">
        <v>56610613</v>
      </c>
      <c r="C195">
        <v>56610605</v>
      </c>
      <c r="D195">
        <v>46723704</v>
      </c>
      <c r="E195">
        <v>1</v>
      </c>
      <c r="F195">
        <v>1</v>
      </c>
      <c r="G195">
        <v>27786564</v>
      </c>
      <c r="H195">
        <v>3</v>
      </c>
      <c r="I195" t="s">
        <v>543</v>
      </c>
      <c r="J195" t="s">
        <v>544</v>
      </c>
      <c r="K195" t="s">
        <v>545</v>
      </c>
      <c r="L195">
        <v>1348</v>
      </c>
      <c r="N195">
        <v>1009</v>
      </c>
      <c r="O195" t="s">
        <v>318</v>
      </c>
      <c r="P195" t="s">
        <v>318</v>
      </c>
      <c r="Q195">
        <v>1000</v>
      </c>
      <c r="X195">
        <v>4.0000000000000003E-5</v>
      </c>
      <c r="Y195">
        <v>7982.5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3</v>
      </c>
      <c r="AG195">
        <v>4.0000000000000003E-5</v>
      </c>
      <c r="AH195">
        <v>3</v>
      </c>
      <c r="AI195">
        <v>-1</v>
      </c>
      <c r="AJ195" t="s">
        <v>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ROW(Source!A110)</f>
        <v>110</v>
      </c>
      <c r="B196">
        <v>56610614</v>
      </c>
      <c r="C196">
        <v>56610605</v>
      </c>
      <c r="D196">
        <v>46735845</v>
      </c>
      <c r="E196">
        <v>1</v>
      </c>
      <c r="F196">
        <v>1</v>
      </c>
      <c r="G196">
        <v>27786564</v>
      </c>
      <c r="H196">
        <v>3</v>
      </c>
      <c r="I196" t="s">
        <v>546</v>
      </c>
      <c r="J196" t="s">
        <v>547</v>
      </c>
      <c r="K196" t="s">
        <v>548</v>
      </c>
      <c r="L196">
        <v>1356</v>
      </c>
      <c r="N196">
        <v>1010</v>
      </c>
      <c r="O196" t="s">
        <v>549</v>
      </c>
      <c r="P196" t="s">
        <v>549</v>
      </c>
      <c r="Q196">
        <v>1000</v>
      </c>
      <c r="X196">
        <v>4.0999999999999999E-4</v>
      </c>
      <c r="Y196">
        <v>226.68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3</v>
      </c>
      <c r="AG196">
        <v>4.0999999999999999E-4</v>
      </c>
      <c r="AH196">
        <v>3</v>
      </c>
      <c r="AI196">
        <v>-1</v>
      </c>
      <c r="AJ196" t="s">
        <v>3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ROW(Source!A110)</f>
        <v>110</v>
      </c>
      <c r="B197">
        <v>56610615</v>
      </c>
      <c r="C197">
        <v>56610605</v>
      </c>
      <c r="D197">
        <v>46735506</v>
      </c>
      <c r="E197">
        <v>1</v>
      </c>
      <c r="F197">
        <v>1</v>
      </c>
      <c r="G197">
        <v>27786564</v>
      </c>
      <c r="H197">
        <v>3</v>
      </c>
      <c r="I197" t="s">
        <v>550</v>
      </c>
      <c r="J197" t="s">
        <v>551</v>
      </c>
      <c r="K197" t="s">
        <v>552</v>
      </c>
      <c r="L197">
        <v>1301</v>
      </c>
      <c r="N197">
        <v>1003</v>
      </c>
      <c r="O197" t="s">
        <v>57</v>
      </c>
      <c r="P197" t="s">
        <v>57</v>
      </c>
      <c r="Q197">
        <v>1</v>
      </c>
      <c r="X197">
        <v>0.96</v>
      </c>
      <c r="Y197">
        <v>0.7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3</v>
      </c>
      <c r="AG197">
        <v>0.96</v>
      </c>
      <c r="AH197">
        <v>3</v>
      </c>
      <c r="AI197">
        <v>-1</v>
      </c>
      <c r="AJ197" t="s">
        <v>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ROW(Source!A110)</f>
        <v>110</v>
      </c>
      <c r="B198">
        <v>56610616</v>
      </c>
      <c r="C198">
        <v>56610605</v>
      </c>
      <c r="D198">
        <v>46735508</v>
      </c>
      <c r="E198">
        <v>1</v>
      </c>
      <c r="F198">
        <v>1</v>
      </c>
      <c r="G198">
        <v>27786564</v>
      </c>
      <c r="H198">
        <v>3</v>
      </c>
      <c r="I198" t="s">
        <v>553</v>
      </c>
      <c r="J198" t="s">
        <v>554</v>
      </c>
      <c r="K198" t="s">
        <v>555</v>
      </c>
      <c r="L198">
        <v>1356</v>
      </c>
      <c r="N198">
        <v>1010</v>
      </c>
      <c r="O198" t="s">
        <v>549</v>
      </c>
      <c r="P198" t="s">
        <v>549</v>
      </c>
      <c r="Q198">
        <v>1000</v>
      </c>
      <c r="X198">
        <v>8.3199999999999993E-3</v>
      </c>
      <c r="Y198">
        <v>6.44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3</v>
      </c>
      <c r="AG198">
        <v>8.3199999999999993E-3</v>
      </c>
      <c r="AH198">
        <v>3</v>
      </c>
      <c r="AI198">
        <v>-1</v>
      </c>
      <c r="AJ198" t="s">
        <v>3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ROW(Source!A110)</f>
        <v>110</v>
      </c>
      <c r="B199">
        <v>56610617</v>
      </c>
      <c r="C199">
        <v>56610605</v>
      </c>
      <c r="D199">
        <v>49717618</v>
      </c>
      <c r="E199">
        <v>27786564</v>
      </c>
      <c r="F199">
        <v>1</v>
      </c>
      <c r="G199">
        <v>27786564</v>
      </c>
      <c r="H199">
        <v>3</v>
      </c>
      <c r="I199" t="s">
        <v>556</v>
      </c>
      <c r="J199" t="s">
        <v>3</v>
      </c>
      <c r="K199" t="s">
        <v>557</v>
      </c>
      <c r="L199">
        <v>1303</v>
      </c>
      <c r="N199">
        <v>1003</v>
      </c>
      <c r="O199" t="s">
        <v>194</v>
      </c>
      <c r="P199" t="s">
        <v>194</v>
      </c>
      <c r="Q199">
        <v>1000</v>
      </c>
      <c r="X199">
        <v>0.10199999999999999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3</v>
      </c>
      <c r="AG199">
        <v>0.10199999999999999</v>
      </c>
      <c r="AH199">
        <v>3</v>
      </c>
      <c r="AI199">
        <v>-1</v>
      </c>
      <c r="AJ199" t="s">
        <v>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ROW(Source!A110)</f>
        <v>110</v>
      </c>
      <c r="B200">
        <v>56610618</v>
      </c>
      <c r="C200">
        <v>56610605</v>
      </c>
      <c r="D200">
        <v>46556476</v>
      </c>
      <c r="E200">
        <v>27786564</v>
      </c>
      <c r="F200">
        <v>1</v>
      </c>
      <c r="G200">
        <v>27786564</v>
      </c>
      <c r="H200">
        <v>3</v>
      </c>
      <c r="I200" t="s">
        <v>561</v>
      </c>
      <c r="J200" t="s">
        <v>3</v>
      </c>
      <c r="K200" t="s">
        <v>562</v>
      </c>
      <c r="L200">
        <v>1354</v>
      </c>
      <c r="N200">
        <v>1010</v>
      </c>
      <c r="O200" t="s">
        <v>90</v>
      </c>
      <c r="P200" t="s">
        <v>90</v>
      </c>
      <c r="Q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3</v>
      </c>
      <c r="AG200">
        <v>0</v>
      </c>
      <c r="AH200">
        <v>3</v>
      </c>
      <c r="AI200">
        <v>-1</v>
      </c>
      <c r="AJ200" t="s">
        <v>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ROW(Source!A111)</f>
        <v>111</v>
      </c>
      <c r="B201">
        <v>56610620</v>
      </c>
      <c r="C201">
        <v>56610619</v>
      </c>
      <c r="D201">
        <v>47634407</v>
      </c>
      <c r="E201">
        <v>27786564</v>
      </c>
      <c r="F201">
        <v>1</v>
      </c>
      <c r="G201">
        <v>27786564</v>
      </c>
      <c r="H201">
        <v>1</v>
      </c>
      <c r="I201" t="s">
        <v>452</v>
      </c>
      <c r="J201" t="s">
        <v>3</v>
      </c>
      <c r="K201" t="s">
        <v>453</v>
      </c>
      <c r="L201">
        <v>1191</v>
      </c>
      <c r="N201">
        <v>1013</v>
      </c>
      <c r="O201" t="s">
        <v>454</v>
      </c>
      <c r="P201" t="s">
        <v>454</v>
      </c>
      <c r="Q201">
        <v>1</v>
      </c>
      <c r="X201">
        <v>7.14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1</v>
      </c>
      <c r="AF201" t="s">
        <v>22</v>
      </c>
      <c r="AG201">
        <v>7.4969999999999999</v>
      </c>
      <c r="AH201">
        <v>3</v>
      </c>
      <c r="AI201">
        <v>-1</v>
      </c>
      <c r="AJ201" t="s">
        <v>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ROW(Source!A111)</f>
        <v>111</v>
      </c>
      <c r="B202">
        <v>56610621</v>
      </c>
      <c r="C202">
        <v>56610619</v>
      </c>
      <c r="D202">
        <v>47767106</v>
      </c>
      <c r="E202">
        <v>1</v>
      </c>
      <c r="F202">
        <v>1</v>
      </c>
      <c r="G202">
        <v>27786564</v>
      </c>
      <c r="H202">
        <v>2</v>
      </c>
      <c r="I202" t="s">
        <v>455</v>
      </c>
      <c r="J202" t="s">
        <v>456</v>
      </c>
      <c r="K202" t="s">
        <v>457</v>
      </c>
      <c r="L202">
        <v>1368</v>
      </c>
      <c r="N202">
        <v>1011</v>
      </c>
      <c r="O202" t="s">
        <v>458</v>
      </c>
      <c r="P202" t="s">
        <v>458</v>
      </c>
      <c r="Q202">
        <v>1</v>
      </c>
      <c r="X202">
        <v>0.49</v>
      </c>
      <c r="Y202">
        <v>0</v>
      </c>
      <c r="Z202">
        <v>83.1</v>
      </c>
      <c r="AA202">
        <v>12.62</v>
      </c>
      <c r="AB202">
        <v>0</v>
      </c>
      <c r="AC202">
        <v>0</v>
      </c>
      <c r="AD202">
        <v>1</v>
      </c>
      <c r="AE202">
        <v>0</v>
      </c>
      <c r="AF202" t="s">
        <v>22</v>
      </c>
      <c r="AG202">
        <v>0.51449999999999996</v>
      </c>
      <c r="AH202">
        <v>3</v>
      </c>
      <c r="AI202">
        <v>-1</v>
      </c>
      <c r="AJ202" t="s">
        <v>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ROW(Source!A111)</f>
        <v>111</v>
      </c>
      <c r="B203">
        <v>56610622</v>
      </c>
      <c r="C203">
        <v>56610619</v>
      </c>
      <c r="D203">
        <v>47766535</v>
      </c>
      <c r="E203">
        <v>1</v>
      </c>
      <c r="F203">
        <v>1</v>
      </c>
      <c r="G203">
        <v>27786564</v>
      </c>
      <c r="H203">
        <v>2</v>
      </c>
      <c r="I203" t="s">
        <v>522</v>
      </c>
      <c r="J203" t="s">
        <v>523</v>
      </c>
      <c r="K203" t="s">
        <v>524</v>
      </c>
      <c r="L203">
        <v>1368</v>
      </c>
      <c r="N203">
        <v>1011</v>
      </c>
      <c r="O203" t="s">
        <v>458</v>
      </c>
      <c r="P203" t="s">
        <v>458</v>
      </c>
      <c r="Q203">
        <v>1</v>
      </c>
      <c r="X203">
        <v>1.63</v>
      </c>
      <c r="Y203">
        <v>0</v>
      </c>
      <c r="Z203">
        <v>2.27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22</v>
      </c>
      <c r="AG203">
        <v>1.7115</v>
      </c>
      <c r="AH203">
        <v>3</v>
      </c>
      <c r="AI203">
        <v>-1</v>
      </c>
      <c r="AJ203" t="s">
        <v>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ROW(Source!A111)</f>
        <v>111</v>
      </c>
      <c r="B204">
        <v>56610623</v>
      </c>
      <c r="C204">
        <v>56610619</v>
      </c>
      <c r="D204">
        <v>47766545</v>
      </c>
      <c r="E204">
        <v>1</v>
      </c>
      <c r="F204">
        <v>1</v>
      </c>
      <c r="G204">
        <v>27786564</v>
      </c>
      <c r="H204">
        <v>2</v>
      </c>
      <c r="I204" t="s">
        <v>525</v>
      </c>
      <c r="J204" t="s">
        <v>526</v>
      </c>
      <c r="K204" t="s">
        <v>527</v>
      </c>
      <c r="L204">
        <v>1368</v>
      </c>
      <c r="N204">
        <v>1011</v>
      </c>
      <c r="O204" t="s">
        <v>458</v>
      </c>
      <c r="P204" t="s">
        <v>458</v>
      </c>
      <c r="Q204">
        <v>1</v>
      </c>
      <c r="X204">
        <v>1.63</v>
      </c>
      <c r="Y204">
        <v>0</v>
      </c>
      <c r="Z204">
        <v>0.73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22</v>
      </c>
      <c r="AG204">
        <v>1.7115</v>
      </c>
      <c r="AH204">
        <v>3</v>
      </c>
      <c r="AI204">
        <v>-1</v>
      </c>
      <c r="AJ204" t="s">
        <v>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ROW(Source!A111)</f>
        <v>111</v>
      </c>
      <c r="B205">
        <v>56610624</v>
      </c>
      <c r="C205">
        <v>56610619</v>
      </c>
      <c r="D205">
        <v>46723498</v>
      </c>
      <c r="E205">
        <v>1</v>
      </c>
      <c r="F205">
        <v>1</v>
      </c>
      <c r="G205">
        <v>27786564</v>
      </c>
      <c r="H205">
        <v>3</v>
      </c>
      <c r="I205" t="s">
        <v>537</v>
      </c>
      <c r="J205" t="s">
        <v>538</v>
      </c>
      <c r="K205" t="s">
        <v>539</v>
      </c>
      <c r="L205">
        <v>1348</v>
      </c>
      <c r="N205">
        <v>1009</v>
      </c>
      <c r="O205" t="s">
        <v>318</v>
      </c>
      <c r="P205" t="s">
        <v>318</v>
      </c>
      <c r="Q205">
        <v>1000</v>
      </c>
      <c r="X205">
        <v>6.0000000000000002E-5</v>
      </c>
      <c r="Y205">
        <v>11242.42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3</v>
      </c>
      <c r="AG205">
        <v>6.0000000000000002E-5</v>
      </c>
      <c r="AH205">
        <v>3</v>
      </c>
      <c r="AI205">
        <v>-1</v>
      </c>
      <c r="AJ205" t="s">
        <v>3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ROW(Source!A111)</f>
        <v>111</v>
      </c>
      <c r="B206">
        <v>56610625</v>
      </c>
      <c r="C206">
        <v>56610619</v>
      </c>
      <c r="D206">
        <v>45796980</v>
      </c>
      <c r="E206">
        <v>1</v>
      </c>
      <c r="F206">
        <v>1</v>
      </c>
      <c r="G206">
        <v>27786564</v>
      </c>
      <c r="H206">
        <v>3</v>
      </c>
      <c r="I206" t="s">
        <v>540</v>
      </c>
      <c r="J206" t="s">
        <v>541</v>
      </c>
      <c r="K206" t="s">
        <v>542</v>
      </c>
      <c r="L206">
        <v>1346</v>
      </c>
      <c r="N206">
        <v>1009</v>
      </c>
      <c r="O206" t="s">
        <v>101</v>
      </c>
      <c r="P206" t="s">
        <v>101</v>
      </c>
      <c r="Q206">
        <v>1</v>
      </c>
      <c r="X206">
        <v>0.8</v>
      </c>
      <c r="Y206">
        <v>25.8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3</v>
      </c>
      <c r="AG206">
        <v>0.8</v>
      </c>
      <c r="AH206">
        <v>3</v>
      </c>
      <c r="AI206">
        <v>-1</v>
      </c>
      <c r="AJ206" t="s">
        <v>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ROW(Source!A111)</f>
        <v>111</v>
      </c>
      <c r="B207">
        <v>56610626</v>
      </c>
      <c r="C207">
        <v>56610619</v>
      </c>
      <c r="D207">
        <v>46723689</v>
      </c>
      <c r="E207">
        <v>1</v>
      </c>
      <c r="F207">
        <v>1</v>
      </c>
      <c r="G207">
        <v>27786564</v>
      </c>
      <c r="H207">
        <v>3</v>
      </c>
      <c r="I207" t="s">
        <v>558</v>
      </c>
      <c r="J207" t="s">
        <v>559</v>
      </c>
      <c r="K207" t="s">
        <v>560</v>
      </c>
      <c r="L207">
        <v>1348</v>
      </c>
      <c r="N207">
        <v>1009</v>
      </c>
      <c r="O207" t="s">
        <v>318</v>
      </c>
      <c r="P207" t="s">
        <v>318</v>
      </c>
      <c r="Q207">
        <v>1000</v>
      </c>
      <c r="X207">
        <v>5.0000000000000001E-4</v>
      </c>
      <c r="Y207">
        <v>60966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3</v>
      </c>
      <c r="AG207">
        <v>5.0000000000000001E-4</v>
      </c>
      <c r="AH207">
        <v>3</v>
      </c>
      <c r="AI207">
        <v>-1</v>
      </c>
      <c r="AJ207" t="s">
        <v>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ROW(Source!A111)</f>
        <v>111</v>
      </c>
      <c r="B208">
        <v>56610627</v>
      </c>
      <c r="C208">
        <v>56610619</v>
      </c>
      <c r="D208">
        <v>46723704</v>
      </c>
      <c r="E208">
        <v>1</v>
      </c>
      <c r="F208">
        <v>1</v>
      </c>
      <c r="G208">
        <v>27786564</v>
      </c>
      <c r="H208">
        <v>3</v>
      </c>
      <c r="I208" t="s">
        <v>543</v>
      </c>
      <c r="J208" t="s">
        <v>544</v>
      </c>
      <c r="K208" t="s">
        <v>545</v>
      </c>
      <c r="L208">
        <v>1348</v>
      </c>
      <c r="N208">
        <v>1009</v>
      </c>
      <c r="O208" t="s">
        <v>318</v>
      </c>
      <c r="P208" t="s">
        <v>318</v>
      </c>
      <c r="Q208">
        <v>1000</v>
      </c>
      <c r="X208">
        <v>4.0000000000000003E-5</v>
      </c>
      <c r="Y208">
        <v>7982.5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3</v>
      </c>
      <c r="AG208">
        <v>4.0000000000000003E-5</v>
      </c>
      <c r="AH208">
        <v>3</v>
      </c>
      <c r="AI208">
        <v>-1</v>
      </c>
      <c r="AJ208" t="s">
        <v>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ROW(Source!A111)</f>
        <v>111</v>
      </c>
      <c r="B209">
        <v>56610628</v>
      </c>
      <c r="C209">
        <v>56610619</v>
      </c>
      <c r="D209">
        <v>46735845</v>
      </c>
      <c r="E209">
        <v>1</v>
      </c>
      <c r="F209">
        <v>1</v>
      </c>
      <c r="G209">
        <v>27786564</v>
      </c>
      <c r="H209">
        <v>3</v>
      </c>
      <c r="I209" t="s">
        <v>546</v>
      </c>
      <c r="J209" t="s">
        <v>547</v>
      </c>
      <c r="K209" t="s">
        <v>548</v>
      </c>
      <c r="L209">
        <v>1356</v>
      </c>
      <c r="N209">
        <v>1010</v>
      </c>
      <c r="O209" t="s">
        <v>549</v>
      </c>
      <c r="P209" t="s">
        <v>549</v>
      </c>
      <c r="Q209">
        <v>1000</v>
      </c>
      <c r="X209">
        <v>4.0000000000000001E-3</v>
      </c>
      <c r="Y209">
        <v>226.68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3</v>
      </c>
      <c r="AG209">
        <v>4.0000000000000001E-3</v>
      </c>
      <c r="AH209">
        <v>3</v>
      </c>
      <c r="AI209">
        <v>-1</v>
      </c>
      <c r="AJ209" t="s">
        <v>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ROW(Source!A111)</f>
        <v>111</v>
      </c>
      <c r="B210">
        <v>56610629</v>
      </c>
      <c r="C210">
        <v>56610619</v>
      </c>
      <c r="D210">
        <v>46735506</v>
      </c>
      <c r="E210">
        <v>1</v>
      </c>
      <c r="F210">
        <v>1</v>
      </c>
      <c r="G210">
        <v>27786564</v>
      </c>
      <c r="H210">
        <v>3</v>
      </c>
      <c r="I210" t="s">
        <v>550</v>
      </c>
      <c r="J210" t="s">
        <v>551</v>
      </c>
      <c r="K210" t="s">
        <v>552</v>
      </c>
      <c r="L210">
        <v>1301</v>
      </c>
      <c r="N210">
        <v>1003</v>
      </c>
      <c r="O210" t="s">
        <v>57</v>
      </c>
      <c r="P210" t="s">
        <v>57</v>
      </c>
      <c r="Q210">
        <v>1</v>
      </c>
      <c r="X210">
        <v>0.96</v>
      </c>
      <c r="Y210">
        <v>0.7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 t="s">
        <v>3</v>
      </c>
      <c r="AG210">
        <v>0.96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ROW(Source!A111)</f>
        <v>111</v>
      </c>
      <c r="B211">
        <v>56610630</v>
      </c>
      <c r="C211">
        <v>56610619</v>
      </c>
      <c r="D211">
        <v>46735508</v>
      </c>
      <c r="E211">
        <v>1</v>
      </c>
      <c r="F211">
        <v>1</v>
      </c>
      <c r="G211">
        <v>27786564</v>
      </c>
      <c r="H211">
        <v>3</v>
      </c>
      <c r="I211" t="s">
        <v>553</v>
      </c>
      <c r="J211" t="s">
        <v>554</v>
      </c>
      <c r="K211" t="s">
        <v>555</v>
      </c>
      <c r="L211">
        <v>1356</v>
      </c>
      <c r="N211">
        <v>1010</v>
      </c>
      <c r="O211" t="s">
        <v>549</v>
      </c>
      <c r="P211" t="s">
        <v>549</v>
      </c>
      <c r="Q211">
        <v>1000</v>
      </c>
      <c r="X211">
        <v>8.3199999999999993E-3</v>
      </c>
      <c r="Y211">
        <v>6.44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 t="s">
        <v>3</v>
      </c>
      <c r="AG211">
        <v>8.3199999999999993E-3</v>
      </c>
      <c r="AH211">
        <v>3</v>
      </c>
      <c r="AI211">
        <v>-1</v>
      </c>
      <c r="AJ211" t="s">
        <v>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ROW(Source!A111)</f>
        <v>111</v>
      </c>
      <c r="B212">
        <v>56610631</v>
      </c>
      <c r="C212">
        <v>56610619</v>
      </c>
      <c r="D212">
        <v>49717618</v>
      </c>
      <c r="E212">
        <v>27786564</v>
      </c>
      <c r="F212">
        <v>1</v>
      </c>
      <c r="G212">
        <v>27786564</v>
      </c>
      <c r="H212">
        <v>3</v>
      </c>
      <c r="I212" t="s">
        <v>556</v>
      </c>
      <c r="J212" t="s">
        <v>3</v>
      </c>
      <c r="K212" t="s">
        <v>557</v>
      </c>
      <c r="L212">
        <v>1303</v>
      </c>
      <c r="N212">
        <v>1003</v>
      </c>
      <c r="O212" t="s">
        <v>194</v>
      </c>
      <c r="P212" t="s">
        <v>194</v>
      </c>
      <c r="Q212">
        <v>1000</v>
      </c>
      <c r="X212">
        <v>0.10199999999999999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 t="s">
        <v>3</v>
      </c>
      <c r="AG212">
        <v>0.10199999999999999</v>
      </c>
      <c r="AH212">
        <v>3</v>
      </c>
      <c r="AI212">
        <v>-1</v>
      </c>
      <c r="AJ212" t="s">
        <v>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ROW(Source!A111)</f>
        <v>111</v>
      </c>
      <c r="B213">
        <v>56610632</v>
      </c>
      <c r="C213">
        <v>56610619</v>
      </c>
      <c r="D213">
        <v>46556476</v>
      </c>
      <c r="E213">
        <v>27786564</v>
      </c>
      <c r="F213">
        <v>1</v>
      </c>
      <c r="G213">
        <v>27786564</v>
      </c>
      <c r="H213">
        <v>3</v>
      </c>
      <c r="I213" t="s">
        <v>561</v>
      </c>
      <c r="J213" t="s">
        <v>3</v>
      </c>
      <c r="K213" t="s">
        <v>562</v>
      </c>
      <c r="L213">
        <v>1354</v>
      </c>
      <c r="N213">
        <v>1010</v>
      </c>
      <c r="O213" t="s">
        <v>90</v>
      </c>
      <c r="P213" t="s">
        <v>90</v>
      </c>
      <c r="Q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 t="s">
        <v>3</v>
      </c>
      <c r="AG213">
        <v>0</v>
      </c>
      <c r="AH213">
        <v>3</v>
      </c>
      <c r="AI213">
        <v>-1</v>
      </c>
      <c r="AJ213" t="s">
        <v>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ROW(Source!A112)</f>
        <v>112</v>
      </c>
      <c r="B214">
        <v>56610620</v>
      </c>
      <c r="C214">
        <v>56610619</v>
      </c>
      <c r="D214">
        <v>47634407</v>
      </c>
      <c r="E214">
        <v>27786564</v>
      </c>
      <c r="F214">
        <v>1</v>
      </c>
      <c r="G214">
        <v>27786564</v>
      </c>
      <c r="H214">
        <v>1</v>
      </c>
      <c r="I214" t="s">
        <v>452</v>
      </c>
      <c r="J214" t="s">
        <v>3</v>
      </c>
      <c r="K214" t="s">
        <v>453</v>
      </c>
      <c r="L214">
        <v>1191</v>
      </c>
      <c r="N214">
        <v>1013</v>
      </c>
      <c r="O214" t="s">
        <v>454</v>
      </c>
      <c r="P214" t="s">
        <v>454</v>
      </c>
      <c r="Q214">
        <v>1</v>
      </c>
      <c r="X214">
        <v>7.14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1</v>
      </c>
      <c r="AF214" t="s">
        <v>22</v>
      </c>
      <c r="AG214">
        <v>7.4969999999999999</v>
      </c>
      <c r="AH214">
        <v>3</v>
      </c>
      <c r="AI214">
        <v>-1</v>
      </c>
      <c r="AJ214" t="s">
        <v>3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ROW(Source!A112)</f>
        <v>112</v>
      </c>
      <c r="B215">
        <v>56610621</v>
      </c>
      <c r="C215">
        <v>56610619</v>
      </c>
      <c r="D215">
        <v>47767106</v>
      </c>
      <c r="E215">
        <v>1</v>
      </c>
      <c r="F215">
        <v>1</v>
      </c>
      <c r="G215">
        <v>27786564</v>
      </c>
      <c r="H215">
        <v>2</v>
      </c>
      <c r="I215" t="s">
        <v>455</v>
      </c>
      <c r="J215" t="s">
        <v>456</v>
      </c>
      <c r="K215" t="s">
        <v>457</v>
      </c>
      <c r="L215">
        <v>1368</v>
      </c>
      <c r="N215">
        <v>1011</v>
      </c>
      <c r="O215" t="s">
        <v>458</v>
      </c>
      <c r="P215" t="s">
        <v>458</v>
      </c>
      <c r="Q215">
        <v>1</v>
      </c>
      <c r="X215">
        <v>0.49</v>
      </c>
      <c r="Y215">
        <v>0</v>
      </c>
      <c r="Z215">
        <v>83.1</v>
      </c>
      <c r="AA215">
        <v>12.62</v>
      </c>
      <c r="AB215">
        <v>0</v>
      </c>
      <c r="AC215">
        <v>0</v>
      </c>
      <c r="AD215">
        <v>1</v>
      </c>
      <c r="AE215">
        <v>0</v>
      </c>
      <c r="AF215" t="s">
        <v>22</v>
      </c>
      <c r="AG215">
        <v>0.51449999999999996</v>
      </c>
      <c r="AH215">
        <v>3</v>
      </c>
      <c r="AI215">
        <v>-1</v>
      </c>
      <c r="AJ215" t="s">
        <v>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ROW(Source!A112)</f>
        <v>112</v>
      </c>
      <c r="B216">
        <v>56610622</v>
      </c>
      <c r="C216">
        <v>56610619</v>
      </c>
      <c r="D216">
        <v>47766535</v>
      </c>
      <c r="E216">
        <v>1</v>
      </c>
      <c r="F216">
        <v>1</v>
      </c>
      <c r="G216">
        <v>27786564</v>
      </c>
      <c r="H216">
        <v>2</v>
      </c>
      <c r="I216" t="s">
        <v>522</v>
      </c>
      <c r="J216" t="s">
        <v>523</v>
      </c>
      <c r="K216" t="s">
        <v>524</v>
      </c>
      <c r="L216">
        <v>1368</v>
      </c>
      <c r="N216">
        <v>1011</v>
      </c>
      <c r="O216" t="s">
        <v>458</v>
      </c>
      <c r="P216" t="s">
        <v>458</v>
      </c>
      <c r="Q216">
        <v>1</v>
      </c>
      <c r="X216">
        <v>1.63</v>
      </c>
      <c r="Y216">
        <v>0</v>
      </c>
      <c r="Z216">
        <v>2.27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22</v>
      </c>
      <c r="AG216">
        <v>1.7115</v>
      </c>
      <c r="AH216">
        <v>3</v>
      </c>
      <c r="AI216">
        <v>-1</v>
      </c>
      <c r="AJ216" t="s">
        <v>3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ROW(Source!A112)</f>
        <v>112</v>
      </c>
      <c r="B217">
        <v>56610623</v>
      </c>
      <c r="C217">
        <v>56610619</v>
      </c>
      <c r="D217">
        <v>47766545</v>
      </c>
      <c r="E217">
        <v>1</v>
      </c>
      <c r="F217">
        <v>1</v>
      </c>
      <c r="G217">
        <v>27786564</v>
      </c>
      <c r="H217">
        <v>2</v>
      </c>
      <c r="I217" t="s">
        <v>525</v>
      </c>
      <c r="J217" t="s">
        <v>526</v>
      </c>
      <c r="K217" t="s">
        <v>527</v>
      </c>
      <c r="L217">
        <v>1368</v>
      </c>
      <c r="N217">
        <v>1011</v>
      </c>
      <c r="O217" t="s">
        <v>458</v>
      </c>
      <c r="P217" t="s">
        <v>458</v>
      </c>
      <c r="Q217">
        <v>1</v>
      </c>
      <c r="X217">
        <v>1.63</v>
      </c>
      <c r="Y217">
        <v>0</v>
      </c>
      <c r="Z217">
        <v>0.73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22</v>
      </c>
      <c r="AG217">
        <v>1.7115</v>
      </c>
      <c r="AH217">
        <v>3</v>
      </c>
      <c r="AI217">
        <v>-1</v>
      </c>
      <c r="AJ217" t="s">
        <v>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ROW(Source!A112)</f>
        <v>112</v>
      </c>
      <c r="B218">
        <v>56610624</v>
      </c>
      <c r="C218">
        <v>56610619</v>
      </c>
      <c r="D218">
        <v>46723498</v>
      </c>
      <c r="E218">
        <v>1</v>
      </c>
      <c r="F218">
        <v>1</v>
      </c>
      <c r="G218">
        <v>27786564</v>
      </c>
      <c r="H218">
        <v>3</v>
      </c>
      <c r="I218" t="s">
        <v>537</v>
      </c>
      <c r="J218" t="s">
        <v>538</v>
      </c>
      <c r="K218" t="s">
        <v>539</v>
      </c>
      <c r="L218">
        <v>1348</v>
      </c>
      <c r="N218">
        <v>1009</v>
      </c>
      <c r="O218" t="s">
        <v>318</v>
      </c>
      <c r="P218" t="s">
        <v>318</v>
      </c>
      <c r="Q218">
        <v>1000</v>
      </c>
      <c r="X218">
        <v>6.0000000000000002E-5</v>
      </c>
      <c r="Y218">
        <v>11242.42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3</v>
      </c>
      <c r="AG218">
        <v>6.0000000000000002E-5</v>
      </c>
      <c r="AH218">
        <v>3</v>
      </c>
      <c r="AI218">
        <v>-1</v>
      </c>
      <c r="AJ218" t="s">
        <v>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ROW(Source!A112)</f>
        <v>112</v>
      </c>
      <c r="B219">
        <v>56610625</v>
      </c>
      <c r="C219">
        <v>56610619</v>
      </c>
      <c r="D219">
        <v>45796980</v>
      </c>
      <c r="E219">
        <v>1</v>
      </c>
      <c r="F219">
        <v>1</v>
      </c>
      <c r="G219">
        <v>27786564</v>
      </c>
      <c r="H219">
        <v>3</v>
      </c>
      <c r="I219" t="s">
        <v>540</v>
      </c>
      <c r="J219" t="s">
        <v>541</v>
      </c>
      <c r="K219" t="s">
        <v>542</v>
      </c>
      <c r="L219">
        <v>1346</v>
      </c>
      <c r="N219">
        <v>1009</v>
      </c>
      <c r="O219" t="s">
        <v>101</v>
      </c>
      <c r="P219" t="s">
        <v>101</v>
      </c>
      <c r="Q219">
        <v>1</v>
      </c>
      <c r="X219">
        <v>0.8</v>
      </c>
      <c r="Y219">
        <v>25.8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3</v>
      </c>
      <c r="AG219">
        <v>0.8</v>
      </c>
      <c r="AH219">
        <v>3</v>
      </c>
      <c r="AI219">
        <v>-1</v>
      </c>
      <c r="AJ219" t="s">
        <v>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ROW(Source!A112)</f>
        <v>112</v>
      </c>
      <c r="B220">
        <v>56610626</v>
      </c>
      <c r="C220">
        <v>56610619</v>
      </c>
      <c r="D220">
        <v>46723689</v>
      </c>
      <c r="E220">
        <v>1</v>
      </c>
      <c r="F220">
        <v>1</v>
      </c>
      <c r="G220">
        <v>27786564</v>
      </c>
      <c r="H220">
        <v>3</v>
      </c>
      <c r="I220" t="s">
        <v>558</v>
      </c>
      <c r="J220" t="s">
        <v>559</v>
      </c>
      <c r="K220" t="s">
        <v>560</v>
      </c>
      <c r="L220">
        <v>1348</v>
      </c>
      <c r="N220">
        <v>1009</v>
      </c>
      <c r="O220" t="s">
        <v>318</v>
      </c>
      <c r="P220" t="s">
        <v>318</v>
      </c>
      <c r="Q220">
        <v>1000</v>
      </c>
      <c r="X220">
        <v>5.0000000000000001E-4</v>
      </c>
      <c r="Y220">
        <v>60966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 t="s">
        <v>3</v>
      </c>
      <c r="AG220">
        <v>5.0000000000000001E-4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ROW(Source!A112)</f>
        <v>112</v>
      </c>
      <c r="B221">
        <v>56610627</v>
      </c>
      <c r="C221">
        <v>56610619</v>
      </c>
      <c r="D221">
        <v>46723704</v>
      </c>
      <c r="E221">
        <v>1</v>
      </c>
      <c r="F221">
        <v>1</v>
      </c>
      <c r="G221">
        <v>27786564</v>
      </c>
      <c r="H221">
        <v>3</v>
      </c>
      <c r="I221" t="s">
        <v>543</v>
      </c>
      <c r="J221" t="s">
        <v>544</v>
      </c>
      <c r="K221" t="s">
        <v>545</v>
      </c>
      <c r="L221">
        <v>1348</v>
      </c>
      <c r="N221">
        <v>1009</v>
      </c>
      <c r="O221" t="s">
        <v>318</v>
      </c>
      <c r="P221" t="s">
        <v>318</v>
      </c>
      <c r="Q221">
        <v>1000</v>
      </c>
      <c r="X221">
        <v>4.0000000000000003E-5</v>
      </c>
      <c r="Y221">
        <v>7982.5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 t="s">
        <v>3</v>
      </c>
      <c r="AG221">
        <v>4.0000000000000003E-5</v>
      </c>
      <c r="AH221">
        <v>3</v>
      </c>
      <c r="AI221">
        <v>-1</v>
      </c>
      <c r="AJ221" t="s">
        <v>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ROW(Source!A112)</f>
        <v>112</v>
      </c>
      <c r="B222">
        <v>56610628</v>
      </c>
      <c r="C222">
        <v>56610619</v>
      </c>
      <c r="D222">
        <v>46735845</v>
      </c>
      <c r="E222">
        <v>1</v>
      </c>
      <c r="F222">
        <v>1</v>
      </c>
      <c r="G222">
        <v>27786564</v>
      </c>
      <c r="H222">
        <v>3</v>
      </c>
      <c r="I222" t="s">
        <v>546</v>
      </c>
      <c r="J222" t="s">
        <v>547</v>
      </c>
      <c r="K222" t="s">
        <v>548</v>
      </c>
      <c r="L222">
        <v>1356</v>
      </c>
      <c r="N222">
        <v>1010</v>
      </c>
      <c r="O222" t="s">
        <v>549</v>
      </c>
      <c r="P222" t="s">
        <v>549</v>
      </c>
      <c r="Q222">
        <v>1000</v>
      </c>
      <c r="X222">
        <v>4.0000000000000001E-3</v>
      </c>
      <c r="Y222">
        <v>226.68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3</v>
      </c>
      <c r="AG222">
        <v>4.0000000000000001E-3</v>
      </c>
      <c r="AH222">
        <v>3</v>
      </c>
      <c r="AI222">
        <v>-1</v>
      </c>
      <c r="AJ222" t="s">
        <v>3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ROW(Source!A112)</f>
        <v>112</v>
      </c>
      <c r="B223">
        <v>56610629</v>
      </c>
      <c r="C223">
        <v>56610619</v>
      </c>
      <c r="D223">
        <v>46735506</v>
      </c>
      <c r="E223">
        <v>1</v>
      </c>
      <c r="F223">
        <v>1</v>
      </c>
      <c r="G223">
        <v>27786564</v>
      </c>
      <c r="H223">
        <v>3</v>
      </c>
      <c r="I223" t="s">
        <v>550</v>
      </c>
      <c r="J223" t="s">
        <v>551</v>
      </c>
      <c r="K223" t="s">
        <v>552</v>
      </c>
      <c r="L223">
        <v>1301</v>
      </c>
      <c r="N223">
        <v>1003</v>
      </c>
      <c r="O223" t="s">
        <v>57</v>
      </c>
      <c r="P223" t="s">
        <v>57</v>
      </c>
      <c r="Q223">
        <v>1</v>
      </c>
      <c r="X223">
        <v>0.96</v>
      </c>
      <c r="Y223">
        <v>0.7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3</v>
      </c>
      <c r="AG223">
        <v>0.96</v>
      </c>
      <c r="AH223">
        <v>3</v>
      </c>
      <c r="AI223">
        <v>-1</v>
      </c>
      <c r="AJ223" t="s">
        <v>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ROW(Source!A112)</f>
        <v>112</v>
      </c>
      <c r="B224">
        <v>56610630</v>
      </c>
      <c r="C224">
        <v>56610619</v>
      </c>
      <c r="D224">
        <v>46735508</v>
      </c>
      <c r="E224">
        <v>1</v>
      </c>
      <c r="F224">
        <v>1</v>
      </c>
      <c r="G224">
        <v>27786564</v>
      </c>
      <c r="H224">
        <v>3</v>
      </c>
      <c r="I224" t="s">
        <v>553</v>
      </c>
      <c r="J224" t="s">
        <v>554</v>
      </c>
      <c r="K224" t="s">
        <v>555</v>
      </c>
      <c r="L224">
        <v>1356</v>
      </c>
      <c r="N224">
        <v>1010</v>
      </c>
      <c r="O224" t="s">
        <v>549</v>
      </c>
      <c r="P224" t="s">
        <v>549</v>
      </c>
      <c r="Q224">
        <v>1000</v>
      </c>
      <c r="X224">
        <v>8.3199999999999993E-3</v>
      </c>
      <c r="Y224">
        <v>6.44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3</v>
      </c>
      <c r="AG224">
        <v>8.3199999999999993E-3</v>
      </c>
      <c r="AH224">
        <v>3</v>
      </c>
      <c r="AI224">
        <v>-1</v>
      </c>
      <c r="AJ224" t="s">
        <v>3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ROW(Source!A112)</f>
        <v>112</v>
      </c>
      <c r="B225">
        <v>56610631</v>
      </c>
      <c r="C225">
        <v>56610619</v>
      </c>
      <c r="D225">
        <v>49717618</v>
      </c>
      <c r="E225">
        <v>27786564</v>
      </c>
      <c r="F225">
        <v>1</v>
      </c>
      <c r="G225">
        <v>27786564</v>
      </c>
      <c r="H225">
        <v>3</v>
      </c>
      <c r="I225" t="s">
        <v>556</v>
      </c>
      <c r="J225" t="s">
        <v>3</v>
      </c>
      <c r="K225" t="s">
        <v>557</v>
      </c>
      <c r="L225">
        <v>1303</v>
      </c>
      <c r="N225">
        <v>1003</v>
      </c>
      <c r="O225" t="s">
        <v>194</v>
      </c>
      <c r="P225" t="s">
        <v>194</v>
      </c>
      <c r="Q225">
        <v>1000</v>
      </c>
      <c r="X225">
        <v>0.10199999999999999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 t="s">
        <v>3</v>
      </c>
      <c r="AG225">
        <v>0.10199999999999999</v>
      </c>
      <c r="AH225">
        <v>3</v>
      </c>
      <c r="AI225">
        <v>-1</v>
      </c>
      <c r="AJ225" t="s">
        <v>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ROW(Source!A112)</f>
        <v>112</v>
      </c>
      <c r="B226">
        <v>56610632</v>
      </c>
      <c r="C226">
        <v>56610619</v>
      </c>
      <c r="D226">
        <v>46556476</v>
      </c>
      <c r="E226">
        <v>27786564</v>
      </c>
      <c r="F226">
        <v>1</v>
      </c>
      <c r="G226">
        <v>27786564</v>
      </c>
      <c r="H226">
        <v>3</v>
      </c>
      <c r="I226" t="s">
        <v>561</v>
      </c>
      <c r="J226" t="s">
        <v>3</v>
      </c>
      <c r="K226" t="s">
        <v>562</v>
      </c>
      <c r="L226">
        <v>1354</v>
      </c>
      <c r="N226">
        <v>1010</v>
      </c>
      <c r="O226" t="s">
        <v>90</v>
      </c>
      <c r="P226" t="s">
        <v>90</v>
      </c>
      <c r="Q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 t="s">
        <v>3</v>
      </c>
      <c r="AG226">
        <v>0</v>
      </c>
      <c r="AH226">
        <v>3</v>
      </c>
      <c r="AI226">
        <v>-1</v>
      </c>
      <c r="AJ226" t="s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ROW(Source!A117)</f>
        <v>117</v>
      </c>
      <c r="B227">
        <v>56610636</v>
      </c>
      <c r="C227">
        <v>56610635</v>
      </c>
      <c r="D227">
        <v>47634407</v>
      </c>
      <c r="E227">
        <v>27786564</v>
      </c>
      <c r="F227">
        <v>1</v>
      </c>
      <c r="G227">
        <v>27786564</v>
      </c>
      <c r="H227">
        <v>1</v>
      </c>
      <c r="I227" t="s">
        <v>452</v>
      </c>
      <c r="J227" t="s">
        <v>3</v>
      </c>
      <c r="K227" t="s">
        <v>453</v>
      </c>
      <c r="L227">
        <v>1191</v>
      </c>
      <c r="N227">
        <v>1013</v>
      </c>
      <c r="O227" t="s">
        <v>454</v>
      </c>
      <c r="P227" t="s">
        <v>454</v>
      </c>
      <c r="Q227">
        <v>1</v>
      </c>
      <c r="X227">
        <v>3.61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1</v>
      </c>
      <c r="AF227" t="s">
        <v>22</v>
      </c>
      <c r="AG227">
        <v>3.7905000000000002</v>
      </c>
      <c r="AH227">
        <v>3</v>
      </c>
      <c r="AI227">
        <v>-1</v>
      </c>
      <c r="AJ227" t="s">
        <v>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ROW(Source!A117)</f>
        <v>117</v>
      </c>
      <c r="B228">
        <v>56610637</v>
      </c>
      <c r="C228">
        <v>56610635</v>
      </c>
      <c r="D228">
        <v>47767106</v>
      </c>
      <c r="E228">
        <v>1</v>
      </c>
      <c r="F228">
        <v>1</v>
      </c>
      <c r="G228">
        <v>27786564</v>
      </c>
      <c r="H228">
        <v>2</v>
      </c>
      <c r="I228" t="s">
        <v>455</v>
      </c>
      <c r="J228" t="s">
        <v>456</v>
      </c>
      <c r="K228" t="s">
        <v>457</v>
      </c>
      <c r="L228">
        <v>1368</v>
      </c>
      <c r="N228">
        <v>1011</v>
      </c>
      <c r="O228" t="s">
        <v>458</v>
      </c>
      <c r="P228" t="s">
        <v>458</v>
      </c>
      <c r="Q228">
        <v>1</v>
      </c>
      <c r="X228">
        <v>0.34</v>
      </c>
      <c r="Y228">
        <v>0</v>
      </c>
      <c r="Z228">
        <v>83.1</v>
      </c>
      <c r="AA228">
        <v>12.62</v>
      </c>
      <c r="AB228">
        <v>0</v>
      </c>
      <c r="AC228">
        <v>0</v>
      </c>
      <c r="AD228">
        <v>1</v>
      </c>
      <c r="AE228">
        <v>0</v>
      </c>
      <c r="AF228" t="s">
        <v>22</v>
      </c>
      <c r="AG228">
        <v>0.35700000000000004</v>
      </c>
      <c r="AH228">
        <v>3</v>
      </c>
      <c r="AI228">
        <v>-1</v>
      </c>
      <c r="AJ228" t="s">
        <v>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ROW(Source!A117)</f>
        <v>117</v>
      </c>
      <c r="B229">
        <v>56610638</v>
      </c>
      <c r="C229">
        <v>56610635</v>
      </c>
      <c r="D229">
        <v>46724882</v>
      </c>
      <c r="E229">
        <v>1</v>
      </c>
      <c r="F229">
        <v>1</v>
      </c>
      <c r="G229">
        <v>27786564</v>
      </c>
      <c r="H229">
        <v>3</v>
      </c>
      <c r="I229" t="s">
        <v>563</v>
      </c>
      <c r="J229" t="s">
        <v>564</v>
      </c>
      <c r="K229" t="s">
        <v>565</v>
      </c>
      <c r="L229">
        <v>1354</v>
      </c>
      <c r="N229">
        <v>1010</v>
      </c>
      <c r="O229" t="s">
        <v>90</v>
      </c>
      <c r="P229" t="s">
        <v>90</v>
      </c>
      <c r="Q229">
        <v>1</v>
      </c>
      <c r="X229">
        <v>208</v>
      </c>
      <c r="Y229">
        <v>5.88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 t="s">
        <v>3</v>
      </c>
      <c r="AG229">
        <v>208</v>
      </c>
      <c r="AH229">
        <v>3</v>
      </c>
      <c r="AI229">
        <v>-1</v>
      </c>
      <c r="AJ229" t="s">
        <v>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ROW(Source!A118)</f>
        <v>118</v>
      </c>
      <c r="B230">
        <v>56610636</v>
      </c>
      <c r="C230">
        <v>56610635</v>
      </c>
      <c r="D230">
        <v>47634407</v>
      </c>
      <c r="E230">
        <v>27786564</v>
      </c>
      <c r="F230">
        <v>1</v>
      </c>
      <c r="G230">
        <v>27786564</v>
      </c>
      <c r="H230">
        <v>1</v>
      </c>
      <c r="I230" t="s">
        <v>452</v>
      </c>
      <c r="J230" t="s">
        <v>3</v>
      </c>
      <c r="K230" t="s">
        <v>453</v>
      </c>
      <c r="L230">
        <v>1191</v>
      </c>
      <c r="N230">
        <v>1013</v>
      </c>
      <c r="O230" t="s">
        <v>454</v>
      </c>
      <c r="P230" t="s">
        <v>454</v>
      </c>
      <c r="Q230">
        <v>1</v>
      </c>
      <c r="X230">
        <v>3.61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1</v>
      </c>
      <c r="AF230" t="s">
        <v>22</v>
      </c>
      <c r="AG230">
        <v>3.7905000000000002</v>
      </c>
      <c r="AH230">
        <v>3</v>
      </c>
      <c r="AI230">
        <v>-1</v>
      </c>
      <c r="AJ230" t="s">
        <v>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ROW(Source!A118)</f>
        <v>118</v>
      </c>
      <c r="B231">
        <v>56610637</v>
      </c>
      <c r="C231">
        <v>56610635</v>
      </c>
      <c r="D231">
        <v>47767106</v>
      </c>
      <c r="E231">
        <v>1</v>
      </c>
      <c r="F231">
        <v>1</v>
      </c>
      <c r="G231">
        <v>27786564</v>
      </c>
      <c r="H231">
        <v>2</v>
      </c>
      <c r="I231" t="s">
        <v>455</v>
      </c>
      <c r="J231" t="s">
        <v>456</v>
      </c>
      <c r="K231" t="s">
        <v>457</v>
      </c>
      <c r="L231">
        <v>1368</v>
      </c>
      <c r="N231">
        <v>1011</v>
      </c>
      <c r="O231" t="s">
        <v>458</v>
      </c>
      <c r="P231" t="s">
        <v>458</v>
      </c>
      <c r="Q231">
        <v>1</v>
      </c>
      <c r="X231">
        <v>0.34</v>
      </c>
      <c r="Y231">
        <v>0</v>
      </c>
      <c r="Z231">
        <v>83.1</v>
      </c>
      <c r="AA231">
        <v>12.62</v>
      </c>
      <c r="AB231">
        <v>0</v>
      </c>
      <c r="AC231">
        <v>0</v>
      </c>
      <c r="AD231">
        <v>1</v>
      </c>
      <c r="AE231">
        <v>0</v>
      </c>
      <c r="AF231" t="s">
        <v>22</v>
      </c>
      <c r="AG231">
        <v>0.35700000000000004</v>
      </c>
      <c r="AH231">
        <v>3</v>
      </c>
      <c r="AI231">
        <v>-1</v>
      </c>
      <c r="AJ231" t="s">
        <v>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ROW(Source!A118)</f>
        <v>118</v>
      </c>
      <c r="B232">
        <v>56610638</v>
      </c>
      <c r="C232">
        <v>56610635</v>
      </c>
      <c r="D232">
        <v>46724882</v>
      </c>
      <c r="E232">
        <v>1</v>
      </c>
      <c r="F232">
        <v>1</v>
      </c>
      <c r="G232">
        <v>27786564</v>
      </c>
      <c r="H232">
        <v>3</v>
      </c>
      <c r="I232" t="s">
        <v>563</v>
      </c>
      <c r="J232" t="s">
        <v>564</v>
      </c>
      <c r="K232" t="s">
        <v>565</v>
      </c>
      <c r="L232">
        <v>1354</v>
      </c>
      <c r="N232">
        <v>1010</v>
      </c>
      <c r="O232" t="s">
        <v>90</v>
      </c>
      <c r="P232" t="s">
        <v>90</v>
      </c>
      <c r="Q232">
        <v>1</v>
      </c>
      <c r="X232">
        <v>208</v>
      </c>
      <c r="Y232">
        <v>5.88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3</v>
      </c>
      <c r="AG232">
        <v>208</v>
      </c>
      <c r="AH232">
        <v>3</v>
      </c>
      <c r="AI232">
        <v>-1</v>
      </c>
      <c r="AJ232" t="s">
        <v>3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ROW(Source!A119)</f>
        <v>119</v>
      </c>
      <c r="B233">
        <v>56610640</v>
      </c>
      <c r="C233">
        <v>56610639</v>
      </c>
      <c r="D233">
        <v>47634407</v>
      </c>
      <c r="E233">
        <v>27786564</v>
      </c>
      <c r="F233">
        <v>1</v>
      </c>
      <c r="G233">
        <v>27786564</v>
      </c>
      <c r="H233">
        <v>1</v>
      </c>
      <c r="I233" t="s">
        <v>452</v>
      </c>
      <c r="J233" t="s">
        <v>3</v>
      </c>
      <c r="K233" t="s">
        <v>453</v>
      </c>
      <c r="L233">
        <v>1191</v>
      </c>
      <c r="N233">
        <v>1013</v>
      </c>
      <c r="O233" t="s">
        <v>454</v>
      </c>
      <c r="P233" t="s">
        <v>454</v>
      </c>
      <c r="Q233">
        <v>1</v>
      </c>
      <c r="X233">
        <v>3.61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1</v>
      </c>
      <c r="AF233" t="s">
        <v>22</v>
      </c>
      <c r="AG233">
        <v>3.7905000000000002</v>
      </c>
      <c r="AH233">
        <v>3</v>
      </c>
      <c r="AI233">
        <v>-1</v>
      </c>
      <c r="AJ233" t="s">
        <v>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ROW(Source!A119)</f>
        <v>119</v>
      </c>
      <c r="B234">
        <v>56610641</v>
      </c>
      <c r="C234">
        <v>56610639</v>
      </c>
      <c r="D234">
        <v>47767106</v>
      </c>
      <c r="E234">
        <v>1</v>
      </c>
      <c r="F234">
        <v>1</v>
      </c>
      <c r="G234">
        <v>27786564</v>
      </c>
      <c r="H234">
        <v>2</v>
      </c>
      <c r="I234" t="s">
        <v>455</v>
      </c>
      <c r="J234" t="s">
        <v>456</v>
      </c>
      <c r="K234" t="s">
        <v>457</v>
      </c>
      <c r="L234">
        <v>1368</v>
      </c>
      <c r="N234">
        <v>1011</v>
      </c>
      <c r="O234" t="s">
        <v>458</v>
      </c>
      <c r="P234" t="s">
        <v>458</v>
      </c>
      <c r="Q234">
        <v>1</v>
      </c>
      <c r="X234">
        <v>0.34</v>
      </c>
      <c r="Y234">
        <v>0</v>
      </c>
      <c r="Z234">
        <v>83.1</v>
      </c>
      <c r="AA234">
        <v>12.62</v>
      </c>
      <c r="AB234">
        <v>0</v>
      </c>
      <c r="AC234">
        <v>0</v>
      </c>
      <c r="AD234">
        <v>1</v>
      </c>
      <c r="AE234">
        <v>0</v>
      </c>
      <c r="AF234" t="s">
        <v>22</v>
      </c>
      <c r="AG234">
        <v>0.35700000000000004</v>
      </c>
      <c r="AH234">
        <v>3</v>
      </c>
      <c r="AI234">
        <v>-1</v>
      </c>
      <c r="AJ234" t="s">
        <v>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ROW(Source!A119)</f>
        <v>119</v>
      </c>
      <c r="B235">
        <v>56610642</v>
      </c>
      <c r="C235">
        <v>56610639</v>
      </c>
      <c r="D235">
        <v>46724882</v>
      </c>
      <c r="E235">
        <v>1</v>
      </c>
      <c r="F235">
        <v>1</v>
      </c>
      <c r="G235">
        <v>27786564</v>
      </c>
      <c r="H235">
        <v>3</v>
      </c>
      <c r="I235" t="s">
        <v>563</v>
      </c>
      <c r="J235" t="s">
        <v>564</v>
      </c>
      <c r="K235" t="s">
        <v>565</v>
      </c>
      <c r="L235">
        <v>1354</v>
      </c>
      <c r="N235">
        <v>1010</v>
      </c>
      <c r="O235" t="s">
        <v>90</v>
      </c>
      <c r="P235" t="s">
        <v>90</v>
      </c>
      <c r="Q235">
        <v>1</v>
      </c>
      <c r="X235">
        <v>208</v>
      </c>
      <c r="Y235">
        <v>5.88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3</v>
      </c>
      <c r="AG235">
        <v>208</v>
      </c>
      <c r="AH235">
        <v>3</v>
      </c>
      <c r="AI235">
        <v>-1</v>
      </c>
      <c r="AJ235" t="s">
        <v>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ROW(Source!A120)</f>
        <v>120</v>
      </c>
      <c r="B236">
        <v>56610640</v>
      </c>
      <c r="C236">
        <v>56610639</v>
      </c>
      <c r="D236">
        <v>47634407</v>
      </c>
      <c r="E236">
        <v>27786564</v>
      </c>
      <c r="F236">
        <v>1</v>
      </c>
      <c r="G236">
        <v>27786564</v>
      </c>
      <c r="H236">
        <v>1</v>
      </c>
      <c r="I236" t="s">
        <v>452</v>
      </c>
      <c r="J236" t="s">
        <v>3</v>
      </c>
      <c r="K236" t="s">
        <v>453</v>
      </c>
      <c r="L236">
        <v>1191</v>
      </c>
      <c r="N236">
        <v>1013</v>
      </c>
      <c r="O236" t="s">
        <v>454</v>
      </c>
      <c r="P236" t="s">
        <v>454</v>
      </c>
      <c r="Q236">
        <v>1</v>
      </c>
      <c r="X236">
        <v>3.61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1</v>
      </c>
      <c r="AF236" t="s">
        <v>22</v>
      </c>
      <c r="AG236">
        <v>3.7905000000000002</v>
      </c>
      <c r="AH236">
        <v>3</v>
      </c>
      <c r="AI236">
        <v>-1</v>
      </c>
      <c r="AJ236" t="s">
        <v>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ROW(Source!A120)</f>
        <v>120</v>
      </c>
      <c r="B237">
        <v>56610641</v>
      </c>
      <c r="C237">
        <v>56610639</v>
      </c>
      <c r="D237">
        <v>47767106</v>
      </c>
      <c r="E237">
        <v>1</v>
      </c>
      <c r="F237">
        <v>1</v>
      </c>
      <c r="G237">
        <v>27786564</v>
      </c>
      <c r="H237">
        <v>2</v>
      </c>
      <c r="I237" t="s">
        <v>455</v>
      </c>
      <c r="J237" t="s">
        <v>456</v>
      </c>
      <c r="K237" t="s">
        <v>457</v>
      </c>
      <c r="L237">
        <v>1368</v>
      </c>
      <c r="N237">
        <v>1011</v>
      </c>
      <c r="O237" t="s">
        <v>458</v>
      </c>
      <c r="P237" t="s">
        <v>458</v>
      </c>
      <c r="Q237">
        <v>1</v>
      </c>
      <c r="X237">
        <v>0.34</v>
      </c>
      <c r="Y237">
        <v>0</v>
      </c>
      <c r="Z237">
        <v>83.1</v>
      </c>
      <c r="AA237">
        <v>12.62</v>
      </c>
      <c r="AB237">
        <v>0</v>
      </c>
      <c r="AC237">
        <v>0</v>
      </c>
      <c r="AD237">
        <v>1</v>
      </c>
      <c r="AE237">
        <v>0</v>
      </c>
      <c r="AF237" t="s">
        <v>22</v>
      </c>
      <c r="AG237">
        <v>0.35700000000000004</v>
      </c>
      <c r="AH237">
        <v>3</v>
      </c>
      <c r="AI237">
        <v>-1</v>
      </c>
      <c r="AJ237" t="s">
        <v>3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ROW(Source!A120)</f>
        <v>120</v>
      </c>
      <c r="B238">
        <v>56610642</v>
      </c>
      <c r="C238">
        <v>56610639</v>
      </c>
      <c r="D238">
        <v>46724882</v>
      </c>
      <c r="E238">
        <v>1</v>
      </c>
      <c r="F238">
        <v>1</v>
      </c>
      <c r="G238">
        <v>27786564</v>
      </c>
      <c r="H238">
        <v>3</v>
      </c>
      <c r="I238" t="s">
        <v>563</v>
      </c>
      <c r="J238" t="s">
        <v>564</v>
      </c>
      <c r="K238" t="s">
        <v>565</v>
      </c>
      <c r="L238">
        <v>1354</v>
      </c>
      <c r="N238">
        <v>1010</v>
      </c>
      <c r="O238" t="s">
        <v>90</v>
      </c>
      <c r="P238" t="s">
        <v>90</v>
      </c>
      <c r="Q238">
        <v>1</v>
      </c>
      <c r="X238">
        <v>208</v>
      </c>
      <c r="Y238">
        <v>5.88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3</v>
      </c>
      <c r="AG238">
        <v>208</v>
      </c>
      <c r="AH238">
        <v>3</v>
      </c>
      <c r="AI238">
        <v>-1</v>
      </c>
      <c r="AJ238" t="s">
        <v>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ROW(Source!A121)</f>
        <v>121</v>
      </c>
      <c r="B239">
        <v>56622475</v>
      </c>
      <c r="C239">
        <v>56622474</v>
      </c>
      <c r="D239">
        <v>47634407</v>
      </c>
      <c r="E239">
        <v>27786564</v>
      </c>
      <c r="F239">
        <v>1</v>
      </c>
      <c r="G239">
        <v>27786564</v>
      </c>
      <c r="H239">
        <v>1</v>
      </c>
      <c r="I239" t="s">
        <v>452</v>
      </c>
      <c r="J239" t="s">
        <v>3</v>
      </c>
      <c r="K239" t="s">
        <v>453</v>
      </c>
      <c r="L239">
        <v>1191</v>
      </c>
      <c r="N239">
        <v>1013</v>
      </c>
      <c r="O239" t="s">
        <v>454</v>
      </c>
      <c r="P239" t="s">
        <v>454</v>
      </c>
      <c r="Q239">
        <v>1</v>
      </c>
      <c r="X239">
        <v>4.09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1</v>
      </c>
      <c r="AF239" t="s">
        <v>3</v>
      </c>
      <c r="AG239">
        <v>4.09</v>
      </c>
      <c r="AH239">
        <v>2</v>
      </c>
      <c r="AI239">
        <v>56622475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ROW(Source!A121)</f>
        <v>121</v>
      </c>
      <c r="B240">
        <v>56622476</v>
      </c>
      <c r="C240">
        <v>56622474</v>
      </c>
      <c r="D240">
        <v>47767106</v>
      </c>
      <c r="E240">
        <v>1</v>
      </c>
      <c r="F240">
        <v>1</v>
      </c>
      <c r="G240">
        <v>27786564</v>
      </c>
      <c r="H240">
        <v>2</v>
      </c>
      <c r="I240" t="s">
        <v>455</v>
      </c>
      <c r="J240" t="s">
        <v>456</v>
      </c>
      <c r="K240" t="s">
        <v>457</v>
      </c>
      <c r="L240">
        <v>1368</v>
      </c>
      <c r="N240">
        <v>1011</v>
      </c>
      <c r="O240" t="s">
        <v>458</v>
      </c>
      <c r="P240" t="s">
        <v>458</v>
      </c>
      <c r="Q240">
        <v>1</v>
      </c>
      <c r="X240">
        <v>0.5</v>
      </c>
      <c r="Y240">
        <v>0</v>
      </c>
      <c r="Z240">
        <v>83.1</v>
      </c>
      <c r="AA240">
        <v>12.62</v>
      </c>
      <c r="AB240">
        <v>0</v>
      </c>
      <c r="AC240">
        <v>0</v>
      </c>
      <c r="AD240">
        <v>1</v>
      </c>
      <c r="AE240">
        <v>0</v>
      </c>
      <c r="AF240" t="s">
        <v>3</v>
      </c>
      <c r="AG240">
        <v>0.5</v>
      </c>
      <c r="AH240">
        <v>2</v>
      </c>
      <c r="AI240">
        <v>56622476</v>
      </c>
      <c r="AJ240">
        <v>2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ROW(Source!A121)</f>
        <v>121</v>
      </c>
      <c r="B241">
        <v>56622477</v>
      </c>
      <c r="C241">
        <v>56622474</v>
      </c>
      <c r="D241">
        <v>46724883</v>
      </c>
      <c r="E241">
        <v>1</v>
      </c>
      <c r="F241">
        <v>1</v>
      </c>
      <c r="G241">
        <v>27786564</v>
      </c>
      <c r="H241">
        <v>3</v>
      </c>
      <c r="I241" t="s">
        <v>459</v>
      </c>
      <c r="J241" t="s">
        <v>460</v>
      </c>
      <c r="K241" t="s">
        <v>461</v>
      </c>
      <c r="L241">
        <v>1354</v>
      </c>
      <c r="N241">
        <v>1010</v>
      </c>
      <c r="O241" t="s">
        <v>90</v>
      </c>
      <c r="P241" t="s">
        <v>90</v>
      </c>
      <c r="Q241">
        <v>1</v>
      </c>
      <c r="X241">
        <v>208</v>
      </c>
      <c r="Y241">
        <v>8.82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 t="s">
        <v>3</v>
      </c>
      <c r="AG241">
        <v>208</v>
      </c>
      <c r="AH241">
        <v>2</v>
      </c>
      <c r="AI241">
        <v>56622477</v>
      </c>
      <c r="AJ241">
        <v>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ROW(Source!A122)</f>
        <v>122</v>
      </c>
      <c r="B242">
        <v>56622475</v>
      </c>
      <c r="C242">
        <v>56622474</v>
      </c>
      <c r="D242">
        <v>47634407</v>
      </c>
      <c r="E242">
        <v>27786564</v>
      </c>
      <c r="F242">
        <v>1</v>
      </c>
      <c r="G242">
        <v>27786564</v>
      </c>
      <c r="H242">
        <v>1</v>
      </c>
      <c r="I242" t="s">
        <v>452</v>
      </c>
      <c r="J242" t="s">
        <v>3</v>
      </c>
      <c r="K242" t="s">
        <v>453</v>
      </c>
      <c r="L242">
        <v>1191</v>
      </c>
      <c r="N242">
        <v>1013</v>
      </c>
      <c r="O242" t="s">
        <v>454</v>
      </c>
      <c r="P242" t="s">
        <v>454</v>
      </c>
      <c r="Q242">
        <v>1</v>
      </c>
      <c r="X242">
        <v>4.09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1</v>
      </c>
      <c r="AF242" t="s">
        <v>3</v>
      </c>
      <c r="AG242">
        <v>4.09</v>
      </c>
      <c r="AH242">
        <v>2</v>
      </c>
      <c r="AI242">
        <v>56622475</v>
      </c>
      <c r="AJ242">
        <v>4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ROW(Source!A122)</f>
        <v>122</v>
      </c>
      <c r="B243">
        <v>56622476</v>
      </c>
      <c r="C243">
        <v>56622474</v>
      </c>
      <c r="D243">
        <v>47767106</v>
      </c>
      <c r="E243">
        <v>1</v>
      </c>
      <c r="F243">
        <v>1</v>
      </c>
      <c r="G243">
        <v>27786564</v>
      </c>
      <c r="H243">
        <v>2</v>
      </c>
      <c r="I243" t="s">
        <v>455</v>
      </c>
      <c r="J243" t="s">
        <v>456</v>
      </c>
      <c r="K243" t="s">
        <v>457</v>
      </c>
      <c r="L243">
        <v>1368</v>
      </c>
      <c r="N243">
        <v>1011</v>
      </c>
      <c r="O243" t="s">
        <v>458</v>
      </c>
      <c r="P243" t="s">
        <v>458</v>
      </c>
      <c r="Q243">
        <v>1</v>
      </c>
      <c r="X243">
        <v>0.5</v>
      </c>
      <c r="Y243">
        <v>0</v>
      </c>
      <c r="Z243">
        <v>83.1</v>
      </c>
      <c r="AA243">
        <v>12.62</v>
      </c>
      <c r="AB243">
        <v>0</v>
      </c>
      <c r="AC243">
        <v>0</v>
      </c>
      <c r="AD243">
        <v>1</v>
      </c>
      <c r="AE243">
        <v>0</v>
      </c>
      <c r="AF243" t="s">
        <v>3</v>
      </c>
      <c r="AG243">
        <v>0.5</v>
      </c>
      <c r="AH243">
        <v>2</v>
      </c>
      <c r="AI243">
        <v>56622476</v>
      </c>
      <c r="AJ243">
        <v>5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ROW(Source!A122)</f>
        <v>122</v>
      </c>
      <c r="B244">
        <v>56622477</v>
      </c>
      <c r="C244">
        <v>56622474</v>
      </c>
      <c r="D244">
        <v>46724883</v>
      </c>
      <c r="E244">
        <v>1</v>
      </c>
      <c r="F244">
        <v>1</v>
      </c>
      <c r="G244">
        <v>27786564</v>
      </c>
      <c r="H244">
        <v>3</v>
      </c>
      <c r="I244" t="s">
        <v>459</v>
      </c>
      <c r="J244" t="s">
        <v>460</v>
      </c>
      <c r="K244" t="s">
        <v>461</v>
      </c>
      <c r="L244">
        <v>1354</v>
      </c>
      <c r="N244">
        <v>1010</v>
      </c>
      <c r="O244" t="s">
        <v>90</v>
      </c>
      <c r="P244" t="s">
        <v>90</v>
      </c>
      <c r="Q244">
        <v>1</v>
      </c>
      <c r="X244">
        <v>208</v>
      </c>
      <c r="Y244">
        <v>8.82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3</v>
      </c>
      <c r="AG244">
        <v>208</v>
      </c>
      <c r="AH244">
        <v>2</v>
      </c>
      <c r="AI244">
        <v>56622477</v>
      </c>
      <c r="AJ244">
        <v>6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ROW(Source!A123)</f>
        <v>123</v>
      </c>
      <c r="B245">
        <v>56622479</v>
      </c>
      <c r="C245">
        <v>56622478</v>
      </c>
      <c r="D245">
        <v>47634407</v>
      </c>
      <c r="E245">
        <v>27786564</v>
      </c>
      <c r="F245">
        <v>1</v>
      </c>
      <c r="G245">
        <v>27786564</v>
      </c>
      <c r="H245">
        <v>1</v>
      </c>
      <c r="I245" t="s">
        <v>452</v>
      </c>
      <c r="J245" t="s">
        <v>3</v>
      </c>
      <c r="K245" t="s">
        <v>453</v>
      </c>
      <c r="L245">
        <v>1191</v>
      </c>
      <c r="N245">
        <v>1013</v>
      </c>
      <c r="O245" t="s">
        <v>454</v>
      </c>
      <c r="P245" t="s">
        <v>454</v>
      </c>
      <c r="Q245">
        <v>1</v>
      </c>
      <c r="X245">
        <v>4.09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1</v>
      </c>
      <c r="AF245" t="s">
        <v>3</v>
      </c>
      <c r="AG245">
        <v>4.09</v>
      </c>
      <c r="AH245">
        <v>2</v>
      </c>
      <c r="AI245">
        <v>56622479</v>
      </c>
      <c r="AJ245">
        <v>7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ROW(Source!A123)</f>
        <v>123</v>
      </c>
      <c r="B246">
        <v>56622480</v>
      </c>
      <c r="C246">
        <v>56622478</v>
      </c>
      <c r="D246">
        <v>47767106</v>
      </c>
      <c r="E246">
        <v>1</v>
      </c>
      <c r="F246">
        <v>1</v>
      </c>
      <c r="G246">
        <v>27786564</v>
      </c>
      <c r="H246">
        <v>2</v>
      </c>
      <c r="I246" t="s">
        <v>455</v>
      </c>
      <c r="J246" t="s">
        <v>456</v>
      </c>
      <c r="K246" t="s">
        <v>457</v>
      </c>
      <c r="L246">
        <v>1368</v>
      </c>
      <c r="N246">
        <v>1011</v>
      </c>
      <c r="O246" t="s">
        <v>458</v>
      </c>
      <c r="P246" t="s">
        <v>458</v>
      </c>
      <c r="Q246">
        <v>1</v>
      </c>
      <c r="X246">
        <v>0.5</v>
      </c>
      <c r="Y246">
        <v>0</v>
      </c>
      <c r="Z246">
        <v>83.1</v>
      </c>
      <c r="AA246">
        <v>12.62</v>
      </c>
      <c r="AB246">
        <v>0</v>
      </c>
      <c r="AC246">
        <v>0</v>
      </c>
      <c r="AD246">
        <v>1</v>
      </c>
      <c r="AE246">
        <v>0</v>
      </c>
      <c r="AF246" t="s">
        <v>3</v>
      </c>
      <c r="AG246">
        <v>0.5</v>
      </c>
      <c r="AH246">
        <v>2</v>
      </c>
      <c r="AI246">
        <v>56622480</v>
      </c>
      <c r="AJ246">
        <v>8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ROW(Source!A123)</f>
        <v>123</v>
      </c>
      <c r="B247">
        <v>56622481</v>
      </c>
      <c r="C247">
        <v>56622478</v>
      </c>
      <c r="D247">
        <v>46724883</v>
      </c>
      <c r="E247">
        <v>1</v>
      </c>
      <c r="F247">
        <v>1</v>
      </c>
      <c r="G247">
        <v>27786564</v>
      </c>
      <c r="H247">
        <v>3</v>
      </c>
      <c r="I247" t="s">
        <v>459</v>
      </c>
      <c r="J247" t="s">
        <v>460</v>
      </c>
      <c r="K247" t="s">
        <v>461</v>
      </c>
      <c r="L247">
        <v>1354</v>
      </c>
      <c r="N247">
        <v>1010</v>
      </c>
      <c r="O247" t="s">
        <v>90</v>
      </c>
      <c r="P247" t="s">
        <v>90</v>
      </c>
      <c r="Q247">
        <v>1</v>
      </c>
      <c r="X247">
        <v>208</v>
      </c>
      <c r="Y247">
        <v>8.82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3</v>
      </c>
      <c r="AG247">
        <v>208</v>
      </c>
      <c r="AH247">
        <v>2</v>
      </c>
      <c r="AI247">
        <v>56622481</v>
      </c>
      <c r="AJ247">
        <v>9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ROW(Source!A124)</f>
        <v>124</v>
      </c>
      <c r="B248">
        <v>56622479</v>
      </c>
      <c r="C248">
        <v>56622478</v>
      </c>
      <c r="D248">
        <v>47634407</v>
      </c>
      <c r="E248">
        <v>27786564</v>
      </c>
      <c r="F248">
        <v>1</v>
      </c>
      <c r="G248">
        <v>27786564</v>
      </c>
      <c r="H248">
        <v>1</v>
      </c>
      <c r="I248" t="s">
        <v>452</v>
      </c>
      <c r="J248" t="s">
        <v>3</v>
      </c>
      <c r="K248" t="s">
        <v>453</v>
      </c>
      <c r="L248">
        <v>1191</v>
      </c>
      <c r="N248">
        <v>1013</v>
      </c>
      <c r="O248" t="s">
        <v>454</v>
      </c>
      <c r="P248" t="s">
        <v>454</v>
      </c>
      <c r="Q248">
        <v>1</v>
      </c>
      <c r="X248">
        <v>4.09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1</v>
      </c>
      <c r="AF248" t="s">
        <v>3</v>
      </c>
      <c r="AG248">
        <v>4.09</v>
      </c>
      <c r="AH248">
        <v>2</v>
      </c>
      <c r="AI248">
        <v>56622479</v>
      </c>
      <c r="AJ248">
        <v>10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ROW(Source!A124)</f>
        <v>124</v>
      </c>
      <c r="B249">
        <v>56622480</v>
      </c>
      <c r="C249">
        <v>56622478</v>
      </c>
      <c r="D249">
        <v>47767106</v>
      </c>
      <c r="E249">
        <v>1</v>
      </c>
      <c r="F249">
        <v>1</v>
      </c>
      <c r="G249">
        <v>27786564</v>
      </c>
      <c r="H249">
        <v>2</v>
      </c>
      <c r="I249" t="s">
        <v>455</v>
      </c>
      <c r="J249" t="s">
        <v>456</v>
      </c>
      <c r="K249" t="s">
        <v>457</v>
      </c>
      <c r="L249">
        <v>1368</v>
      </c>
      <c r="N249">
        <v>1011</v>
      </c>
      <c r="O249" t="s">
        <v>458</v>
      </c>
      <c r="P249" t="s">
        <v>458</v>
      </c>
      <c r="Q249">
        <v>1</v>
      </c>
      <c r="X249">
        <v>0.5</v>
      </c>
      <c r="Y249">
        <v>0</v>
      </c>
      <c r="Z249">
        <v>83.1</v>
      </c>
      <c r="AA249">
        <v>12.62</v>
      </c>
      <c r="AB249">
        <v>0</v>
      </c>
      <c r="AC249">
        <v>0</v>
      </c>
      <c r="AD249">
        <v>1</v>
      </c>
      <c r="AE249">
        <v>0</v>
      </c>
      <c r="AF249" t="s">
        <v>3</v>
      </c>
      <c r="AG249">
        <v>0.5</v>
      </c>
      <c r="AH249">
        <v>2</v>
      </c>
      <c r="AI249">
        <v>56622480</v>
      </c>
      <c r="AJ249">
        <v>11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ROW(Source!A124)</f>
        <v>124</v>
      </c>
      <c r="B250">
        <v>56622481</v>
      </c>
      <c r="C250">
        <v>56622478</v>
      </c>
      <c r="D250">
        <v>46724883</v>
      </c>
      <c r="E250">
        <v>1</v>
      </c>
      <c r="F250">
        <v>1</v>
      </c>
      <c r="G250">
        <v>27786564</v>
      </c>
      <c r="H250">
        <v>3</v>
      </c>
      <c r="I250" t="s">
        <v>459</v>
      </c>
      <c r="J250" t="s">
        <v>460</v>
      </c>
      <c r="K250" t="s">
        <v>461</v>
      </c>
      <c r="L250">
        <v>1354</v>
      </c>
      <c r="N250">
        <v>1010</v>
      </c>
      <c r="O250" t="s">
        <v>90</v>
      </c>
      <c r="P250" t="s">
        <v>90</v>
      </c>
      <c r="Q250">
        <v>1</v>
      </c>
      <c r="X250">
        <v>208</v>
      </c>
      <c r="Y250">
        <v>8.82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 t="s">
        <v>3</v>
      </c>
      <c r="AG250">
        <v>208</v>
      </c>
      <c r="AH250">
        <v>2</v>
      </c>
      <c r="AI250">
        <v>56622481</v>
      </c>
      <c r="AJ250">
        <v>12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ROW(Source!A125)</f>
        <v>125</v>
      </c>
      <c r="B251">
        <v>56622483</v>
      </c>
      <c r="C251">
        <v>56622482</v>
      </c>
      <c r="D251">
        <v>47634407</v>
      </c>
      <c r="E251">
        <v>27786564</v>
      </c>
      <c r="F251">
        <v>1</v>
      </c>
      <c r="G251">
        <v>27786564</v>
      </c>
      <c r="H251">
        <v>1</v>
      </c>
      <c r="I251" t="s">
        <v>452</v>
      </c>
      <c r="J251" t="s">
        <v>3</v>
      </c>
      <c r="K251" t="s">
        <v>453</v>
      </c>
      <c r="L251">
        <v>1191</v>
      </c>
      <c r="N251">
        <v>1013</v>
      </c>
      <c r="O251" t="s">
        <v>454</v>
      </c>
      <c r="P251" t="s">
        <v>454</v>
      </c>
      <c r="Q251">
        <v>1</v>
      </c>
      <c r="X251">
        <v>3.41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 t="s">
        <v>3</v>
      </c>
      <c r="AG251">
        <v>3.41</v>
      </c>
      <c r="AH251">
        <v>2</v>
      </c>
      <c r="AI251">
        <v>56622483</v>
      </c>
      <c r="AJ251">
        <v>13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ROW(Source!A125)</f>
        <v>125</v>
      </c>
      <c r="B252">
        <v>56622484</v>
      </c>
      <c r="C252">
        <v>56622482</v>
      </c>
      <c r="D252">
        <v>47767106</v>
      </c>
      <c r="E252">
        <v>1</v>
      </c>
      <c r="F252">
        <v>1</v>
      </c>
      <c r="G252">
        <v>27786564</v>
      </c>
      <c r="H252">
        <v>2</v>
      </c>
      <c r="I252" t="s">
        <v>455</v>
      </c>
      <c r="J252" t="s">
        <v>456</v>
      </c>
      <c r="K252" t="s">
        <v>457</v>
      </c>
      <c r="L252">
        <v>1368</v>
      </c>
      <c r="N252">
        <v>1011</v>
      </c>
      <c r="O252" t="s">
        <v>458</v>
      </c>
      <c r="P252" t="s">
        <v>458</v>
      </c>
      <c r="Q252">
        <v>1</v>
      </c>
      <c r="X252">
        <v>0.5</v>
      </c>
      <c r="Y252">
        <v>0</v>
      </c>
      <c r="Z252">
        <v>83.1</v>
      </c>
      <c r="AA252">
        <v>12.62</v>
      </c>
      <c r="AB252">
        <v>0</v>
      </c>
      <c r="AC252">
        <v>0</v>
      </c>
      <c r="AD252">
        <v>1</v>
      </c>
      <c r="AE252">
        <v>0</v>
      </c>
      <c r="AF252" t="s">
        <v>3</v>
      </c>
      <c r="AG252">
        <v>0.5</v>
      </c>
      <c r="AH252">
        <v>2</v>
      </c>
      <c r="AI252">
        <v>56622484</v>
      </c>
      <c r="AJ252">
        <v>14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ROW(Source!A125)</f>
        <v>125</v>
      </c>
      <c r="B253">
        <v>56622485</v>
      </c>
      <c r="C253">
        <v>56622482</v>
      </c>
      <c r="D253">
        <v>46724884</v>
      </c>
      <c r="E253">
        <v>1</v>
      </c>
      <c r="F253">
        <v>1</v>
      </c>
      <c r="G253">
        <v>27786564</v>
      </c>
      <c r="H253">
        <v>3</v>
      </c>
      <c r="I253" t="s">
        <v>462</v>
      </c>
      <c r="J253" t="s">
        <v>463</v>
      </c>
      <c r="K253" t="s">
        <v>464</v>
      </c>
      <c r="L253">
        <v>1354</v>
      </c>
      <c r="N253">
        <v>1010</v>
      </c>
      <c r="O253" t="s">
        <v>90</v>
      </c>
      <c r="P253" t="s">
        <v>90</v>
      </c>
      <c r="Q253">
        <v>1</v>
      </c>
      <c r="X253">
        <v>208</v>
      </c>
      <c r="Y253">
        <v>11.75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3</v>
      </c>
      <c r="AG253">
        <v>208</v>
      </c>
      <c r="AH253">
        <v>2</v>
      </c>
      <c r="AI253">
        <v>56622485</v>
      </c>
      <c r="AJ253">
        <v>15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ROW(Source!A126)</f>
        <v>126</v>
      </c>
      <c r="B254">
        <v>56622483</v>
      </c>
      <c r="C254">
        <v>56622482</v>
      </c>
      <c r="D254">
        <v>47634407</v>
      </c>
      <c r="E254">
        <v>27786564</v>
      </c>
      <c r="F254">
        <v>1</v>
      </c>
      <c r="G254">
        <v>27786564</v>
      </c>
      <c r="H254">
        <v>1</v>
      </c>
      <c r="I254" t="s">
        <v>452</v>
      </c>
      <c r="J254" t="s">
        <v>3</v>
      </c>
      <c r="K254" t="s">
        <v>453</v>
      </c>
      <c r="L254">
        <v>1191</v>
      </c>
      <c r="N254">
        <v>1013</v>
      </c>
      <c r="O254" t="s">
        <v>454</v>
      </c>
      <c r="P254" t="s">
        <v>454</v>
      </c>
      <c r="Q254">
        <v>1</v>
      </c>
      <c r="X254">
        <v>3.41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1</v>
      </c>
      <c r="AF254" t="s">
        <v>3</v>
      </c>
      <c r="AG254">
        <v>3.41</v>
      </c>
      <c r="AH254">
        <v>2</v>
      </c>
      <c r="AI254">
        <v>56622483</v>
      </c>
      <c r="AJ254">
        <v>16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ROW(Source!A126)</f>
        <v>126</v>
      </c>
      <c r="B255">
        <v>56622484</v>
      </c>
      <c r="C255">
        <v>56622482</v>
      </c>
      <c r="D255">
        <v>47767106</v>
      </c>
      <c r="E255">
        <v>1</v>
      </c>
      <c r="F255">
        <v>1</v>
      </c>
      <c r="G255">
        <v>27786564</v>
      </c>
      <c r="H255">
        <v>2</v>
      </c>
      <c r="I255" t="s">
        <v>455</v>
      </c>
      <c r="J255" t="s">
        <v>456</v>
      </c>
      <c r="K255" t="s">
        <v>457</v>
      </c>
      <c r="L255">
        <v>1368</v>
      </c>
      <c r="N255">
        <v>1011</v>
      </c>
      <c r="O255" t="s">
        <v>458</v>
      </c>
      <c r="P255" t="s">
        <v>458</v>
      </c>
      <c r="Q255">
        <v>1</v>
      </c>
      <c r="X255">
        <v>0.5</v>
      </c>
      <c r="Y255">
        <v>0</v>
      </c>
      <c r="Z255">
        <v>83.1</v>
      </c>
      <c r="AA255">
        <v>12.62</v>
      </c>
      <c r="AB255">
        <v>0</v>
      </c>
      <c r="AC255">
        <v>0</v>
      </c>
      <c r="AD255">
        <v>1</v>
      </c>
      <c r="AE255">
        <v>0</v>
      </c>
      <c r="AF255" t="s">
        <v>3</v>
      </c>
      <c r="AG255">
        <v>0.5</v>
      </c>
      <c r="AH255">
        <v>2</v>
      </c>
      <c r="AI255">
        <v>56622484</v>
      </c>
      <c r="AJ255">
        <v>17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f>ROW(Source!A126)</f>
        <v>126</v>
      </c>
      <c r="B256">
        <v>56622485</v>
      </c>
      <c r="C256">
        <v>56622482</v>
      </c>
      <c r="D256">
        <v>46724884</v>
      </c>
      <c r="E256">
        <v>1</v>
      </c>
      <c r="F256">
        <v>1</v>
      </c>
      <c r="G256">
        <v>27786564</v>
      </c>
      <c r="H256">
        <v>3</v>
      </c>
      <c r="I256" t="s">
        <v>462</v>
      </c>
      <c r="J256" t="s">
        <v>463</v>
      </c>
      <c r="K256" t="s">
        <v>464</v>
      </c>
      <c r="L256">
        <v>1354</v>
      </c>
      <c r="N256">
        <v>1010</v>
      </c>
      <c r="O256" t="s">
        <v>90</v>
      </c>
      <c r="P256" t="s">
        <v>90</v>
      </c>
      <c r="Q256">
        <v>1</v>
      </c>
      <c r="X256">
        <v>208</v>
      </c>
      <c r="Y256">
        <v>11.75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3</v>
      </c>
      <c r="AG256">
        <v>208</v>
      </c>
      <c r="AH256">
        <v>2</v>
      </c>
      <c r="AI256">
        <v>56622485</v>
      </c>
      <c r="AJ256">
        <v>18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">
      <c r="A257">
        <f>ROW(Source!A127)</f>
        <v>127</v>
      </c>
      <c r="B257">
        <v>56622487</v>
      </c>
      <c r="C257">
        <v>56622486</v>
      </c>
      <c r="D257">
        <v>47634407</v>
      </c>
      <c r="E257">
        <v>27786564</v>
      </c>
      <c r="F257">
        <v>1</v>
      </c>
      <c r="G257">
        <v>27786564</v>
      </c>
      <c r="H257">
        <v>1</v>
      </c>
      <c r="I257" t="s">
        <v>452</v>
      </c>
      <c r="J257" t="s">
        <v>3</v>
      </c>
      <c r="K257" t="s">
        <v>453</v>
      </c>
      <c r="L257">
        <v>1191</v>
      </c>
      <c r="N257">
        <v>1013</v>
      </c>
      <c r="O257" t="s">
        <v>454</v>
      </c>
      <c r="P257" t="s">
        <v>454</v>
      </c>
      <c r="Q257">
        <v>1</v>
      </c>
      <c r="X257">
        <v>3.41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1</v>
      </c>
      <c r="AF257" t="s">
        <v>3</v>
      </c>
      <c r="AG257">
        <v>3.41</v>
      </c>
      <c r="AH257">
        <v>2</v>
      </c>
      <c r="AI257">
        <v>56622487</v>
      </c>
      <c r="AJ257">
        <v>19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">
      <c r="A258">
        <f>ROW(Source!A127)</f>
        <v>127</v>
      </c>
      <c r="B258">
        <v>56622488</v>
      </c>
      <c r="C258">
        <v>56622486</v>
      </c>
      <c r="D258">
        <v>47767106</v>
      </c>
      <c r="E258">
        <v>1</v>
      </c>
      <c r="F258">
        <v>1</v>
      </c>
      <c r="G258">
        <v>27786564</v>
      </c>
      <c r="H258">
        <v>2</v>
      </c>
      <c r="I258" t="s">
        <v>455</v>
      </c>
      <c r="J258" t="s">
        <v>456</v>
      </c>
      <c r="K258" t="s">
        <v>457</v>
      </c>
      <c r="L258">
        <v>1368</v>
      </c>
      <c r="N258">
        <v>1011</v>
      </c>
      <c r="O258" t="s">
        <v>458</v>
      </c>
      <c r="P258" t="s">
        <v>458</v>
      </c>
      <c r="Q258">
        <v>1</v>
      </c>
      <c r="X258">
        <v>0.5</v>
      </c>
      <c r="Y258">
        <v>0</v>
      </c>
      <c r="Z258">
        <v>83.1</v>
      </c>
      <c r="AA258">
        <v>12.62</v>
      </c>
      <c r="AB258">
        <v>0</v>
      </c>
      <c r="AC258">
        <v>0</v>
      </c>
      <c r="AD258">
        <v>1</v>
      </c>
      <c r="AE258">
        <v>0</v>
      </c>
      <c r="AF258" t="s">
        <v>3</v>
      </c>
      <c r="AG258">
        <v>0.5</v>
      </c>
      <c r="AH258">
        <v>2</v>
      </c>
      <c r="AI258">
        <v>56622488</v>
      </c>
      <c r="AJ258">
        <v>20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f>ROW(Source!A127)</f>
        <v>127</v>
      </c>
      <c r="B259">
        <v>56622489</v>
      </c>
      <c r="C259">
        <v>56622486</v>
      </c>
      <c r="D259">
        <v>46724884</v>
      </c>
      <c r="E259">
        <v>1</v>
      </c>
      <c r="F259">
        <v>1</v>
      </c>
      <c r="G259">
        <v>27786564</v>
      </c>
      <c r="H259">
        <v>3</v>
      </c>
      <c r="I259" t="s">
        <v>462</v>
      </c>
      <c r="J259" t="s">
        <v>463</v>
      </c>
      <c r="K259" t="s">
        <v>464</v>
      </c>
      <c r="L259">
        <v>1354</v>
      </c>
      <c r="N259">
        <v>1010</v>
      </c>
      <c r="O259" t="s">
        <v>90</v>
      </c>
      <c r="P259" t="s">
        <v>90</v>
      </c>
      <c r="Q259">
        <v>1</v>
      </c>
      <c r="X259">
        <v>208</v>
      </c>
      <c r="Y259">
        <v>11.75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 t="s">
        <v>3</v>
      </c>
      <c r="AG259">
        <v>208</v>
      </c>
      <c r="AH259">
        <v>2</v>
      </c>
      <c r="AI259">
        <v>56622489</v>
      </c>
      <c r="AJ259">
        <v>21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f>ROW(Source!A128)</f>
        <v>128</v>
      </c>
      <c r="B260">
        <v>56622487</v>
      </c>
      <c r="C260">
        <v>56622486</v>
      </c>
      <c r="D260">
        <v>47634407</v>
      </c>
      <c r="E260">
        <v>27786564</v>
      </c>
      <c r="F260">
        <v>1</v>
      </c>
      <c r="G260">
        <v>27786564</v>
      </c>
      <c r="H260">
        <v>1</v>
      </c>
      <c r="I260" t="s">
        <v>452</v>
      </c>
      <c r="J260" t="s">
        <v>3</v>
      </c>
      <c r="K260" t="s">
        <v>453</v>
      </c>
      <c r="L260">
        <v>1191</v>
      </c>
      <c r="N260">
        <v>1013</v>
      </c>
      <c r="O260" t="s">
        <v>454</v>
      </c>
      <c r="P260" t="s">
        <v>454</v>
      </c>
      <c r="Q260">
        <v>1</v>
      </c>
      <c r="X260">
        <v>3.41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1</v>
      </c>
      <c r="AF260" t="s">
        <v>3</v>
      </c>
      <c r="AG260">
        <v>3.41</v>
      </c>
      <c r="AH260">
        <v>2</v>
      </c>
      <c r="AI260">
        <v>56622487</v>
      </c>
      <c r="AJ260">
        <v>22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f>ROW(Source!A128)</f>
        <v>128</v>
      </c>
      <c r="B261">
        <v>56622488</v>
      </c>
      <c r="C261">
        <v>56622486</v>
      </c>
      <c r="D261">
        <v>47767106</v>
      </c>
      <c r="E261">
        <v>1</v>
      </c>
      <c r="F261">
        <v>1</v>
      </c>
      <c r="G261">
        <v>27786564</v>
      </c>
      <c r="H261">
        <v>2</v>
      </c>
      <c r="I261" t="s">
        <v>455</v>
      </c>
      <c r="J261" t="s">
        <v>456</v>
      </c>
      <c r="K261" t="s">
        <v>457</v>
      </c>
      <c r="L261">
        <v>1368</v>
      </c>
      <c r="N261">
        <v>1011</v>
      </c>
      <c r="O261" t="s">
        <v>458</v>
      </c>
      <c r="P261" t="s">
        <v>458</v>
      </c>
      <c r="Q261">
        <v>1</v>
      </c>
      <c r="X261">
        <v>0.5</v>
      </c>
      <c r="Y261">
        <v>0</v>
      </c>
      <c r="Z261">
        <v>83.1</v>
      </c>
      <c r="AA261">
        <v>12.62</v>
      </c>
      <c r="AB261">
        <v>0</v>
      </c>
      <c r="AC261">
        <v>0</v>
      </c>
      <c r="AD261">
        <v>1</v>
      </c>
      <c r="AE261">
        <v>0</v>
      </c>
      <c r="AF261" t="s">
        <v>3</v>
      </c>
      <c r="AG261">
        <v>0.5</v>
      </c>
      <c r="AH261">
        <v>2</v>
      </c>
      <c r="AI261">
        <v>56622488</v>
      </c>
      <c r="AJ261">
        <v>23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">
      <c r="A262">
        <f>ROW(Source!A128)</f>
        <v>128</v>
      </c>
      <c r="B262">
        <v>56622489</v>
      </c>
      <c r="C262">
        <v>56622486</v>
      </c>
      <c r="D262">
        <v>46724884</v>
      </c>
      <c r="E262">
        <v>1</v>
      </c>
      <c r="F262">
        <v>1</v>
      </c>
      <c r="G262">
        <v>27786564</v>
      </c>
      <c r="H262">
        <v>3</v>
      </c>
      <c r="I262" t="s">
        <v>462</v>
      </c>
      <c r="J262" t="s">
        <v>463</v>
      </c>
      <c r="K262" t="s">
        <v>464</v>
      </c>
      <c r="L262">
        <v>1354</v>
      </c>
      <c r="N262">
        <v>1010</v>
      </c>
      <c r="O262" t="s">
        <v>90</v>
      </c>
      <c r="P262" t="s">
        <v>90</v>
      </c>
      <c r="Q262">
        <v>1</v>
      </c>
      <c r="X262">
        <v>208</v>
      </c>
      <c r="Y262">
        <v>11.75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3</v>
      </c>
      <c r="AG262">
        <v>208</v>
      </c>
      <c r="AH262">
        <v>2</v>
      </c>
      <c r="AI262">
        <v>56622489</v>
      </c>
      <c r="AJ262">
        <v>24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>
        <f>ROW(Source!A129)</f>
        <v>129</v>
      </c>
      <c r="B263">
        <v>56610660</v>
      </c>
      <c r="C263">
        <v>56610659</v>
      </c>
      <c r="D263">
        <v>47634407</v>
      </c>
      <c r="E263">
        <v>27786564</v>
      </c>
      <c r="F263">
        <v>1</v>
      </c>
      <c r="G263">
        <v>27786564</v>
      </c>
      <c r="H263">
        <v>1</v>
      </c>
      <c r="I263" t="s">
        <v>452</v>
      </c>
      <c r="J263" t="s">
        <v>3</v>
      </c>
      <c r="K263" t="s">
        <v>453</v>
      </c>
      <c r="L263">
        <v>1191</v>
      </c>
      <c r="N263">
        <v>1013</v>
      </c>
      <c r="O263" t="s">
        <v>454</v>
      </c>
      <c r="P263" t="s">
        <v>454</v>
      </c>
      <c r="Q263">
        <v>1</v>
      </c>
      <c r="X263">
        <v>3.54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1</v>
      </c>
      <c r="AF263" t="s">
        <v>22</v>
      </c>
      <c r="AG263">
        <v>3.7170000000000001</v>
      </c>
      <c r="AH263">
        <v>3</v>
      </c>
      <c r="AI263">
        <v>-1</v>
      </c>
      <c r="AJ263" t="s">
        <v>3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">
      <c r="A264">
        <f>ROW(Source!A129)</f>
        <v>129</v>
      </c>
      <c r="B264">
        <v>56610661</v>
      </c>
      <c r="C264">
        <v>56610659</v>
      </c>
      <c r="D264">
        <v>47766965</v>
      </c>
      <c r="E264">
        <v>1</v>
      </c>
      <c r="F264">
        <v>1</v>
      </c>
      <c r="G264">
        <v>27786564</v>
      </c>
      <c r="H264">
        <v>2</v>
      </c>
      <c r="I264" t="s">
        <v>566</v>
      </c>
      <c r="J264" t="s">
        <v>567</v>
      </c>
      <c r="K264" t="s">
        <v>568</v>
      </c>
      <c r="L264">
        <v>1368</v>
      </c>
      <c r="N264">
        <v>1011</v>
      </c>
      <c r="O264" t="s">
        <v>458</v>
      </c>
      <c r="P264" t="s">
        <v>458</v>
      </c>
      <c r="Q264">
        <v>1</v>
      </c>
      <c r="X264">
        <v>0.13</v>
      </c>
      <c r="Y264">
        <v>0</v>
      </c>
      <c r="Z264">
        <v>0.12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22</v>
      </c>
      <c r="AG264">
        <v>0.13650000000000001</v>
      </c>
      <c r="AH264">
        <v>3</v>
      </c>
      <c r="AI264">
        <v>-1</v>
      </c>
      <c r="AJ264" t="s">
        <v>3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">
      <c r="A265">
        <f>ROW(Source!A129)</f>
        <v>129</v>
      </c>
      <c r="B265">
        <v>56610662</v>
      </c>
      <c r="C265">
        <v>56610659</v>
      </c>
      <c r="D265">
        <v>37620224</v>
      </c>
      <c r="E265">
        <v>1</v>
      </c>
      <c r="F265">
        <v>1</v>
      </c>
      <c r="G265">
        <v>27786564</v>
      </c>
      <c r="H265">
        <v>3</v>
      </c>
      <c r="I265" t="s">
        <v>569</v>
      </c>
      <c r="J265" t="s">
        <v>570</v>
      </c>
      <c r="K265" t="s">
        <v>571</v>
      </c>
      <c r="L265">
        <v>1346</v>
      </c>
      <c r="N265">
        <v>1009</v>
      </c>
      <c r="O265" t="s">
        <v>101</v>
      </c>
      <c r="P265" t="s">
        <v>101</v>
      </c>
      <c r="Q265">
        <v>1</v>
      </c>
      <c r="X265">
        <v>0.39360000000000001</v>
      </c>
      <c r="Y265">
        <v>6.27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 t="s">
        <v>3</v>
      </c>
      <c r="AG265">
        <v>0.39360000000000001</v>
      </c>
      <c r="AH265">
        <v>3</v>
      </c>
      <c r="AI265">
        <v>-1</v>
      </c>
      <c r="AJ265" t="s">
        <v>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f>ROW(Source!A129)</f>
        <v>129</v>
      </c>
      <c r="B266">
        <v>56610663</v>
      </c>
      <c r="C266">
        <v>56610659</v>
      </c>
      <c r="D266">
        <v>46556430</v>
      </c>
      <c r="E266">
        <v>27786564</v>
      </c>
      <c r="F266">
        <v>1</v>
      </c>
      <c r="G266">
        <v>27786564</v>
      </c>
      <c r="H266">
        <v>3</v>
      </c>
      <c r="I266" t="s">
        <v>572</v>
      </c>
      <c r="J266" t="s">
        <v>3</v>
      </c>
      <c r="K266" t="s">
        <v>573</v>
      </c>
      <c r="L266">
        <v>1391</v>
      </c>
      <c r="N266">
        <v>1013</v>
      </c>
      <c r="O266" t="s">
        <v>241</v>
      </c>
      <c r="P266" t="s">
        <v>241</v>
      </c>
      <c r="Q266">
        <v>1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3</v>
      </c>
      <c r="AG266">
        <v>1</v>
      </c>
      <c r="AH266">
        <v>3</v>
      </c>
      <c r="AI266">
        <v>-1</v>
      </c>
      <c r="AJ266" t="s">
        <v>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>
        <f>ROW(Source!A130)</f>
        <v>130</v>
      </c>
      <c r="B267">
        <v>56610660</v>
      </c>
      <c r="C267">
        <v>56610659</v>
      </c>
      <c r="D267">
        <v>47634407</v>
      </c>
      <c r="E267">
        <v>27786564</v>
      </c>
      <c r="F267">
        <v>1</v>
      </c>
      <c r="G267">
        <v>27786564</v>
      </c>
      <c r="H267">
        <v>1</v>
      </c>
      <c r="I267" t="s">
        <v>452</v>
      </c>
      <c r="J267" t="s">
        <v>3</v>
      </c>
      <c r="K267" t="s">
        <v>453</v>
      </c>
      <c r="L267">
        <v>1191</v>
      </c>
      <c r="N267">
        <v>1013</v>
      </c>
      <c r="O267" t="s">
        <v>454</v>
      </c>
      <c r="P267" t="s">
        <v>454</v>
      </c>
      <c r="Q267">
        <v>1</v>
      </c>
      <c r="X267">
        <v>3.54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1</v>
      </c>
      <c r="AF267" t="s">
        <v>22</v>
      </c>
      <c r="AG267">
        <v>3.7170000000000001</v>
      </c>
      <c r="AH267">
        <v>3</v>
      </c>
      <c r="AI267">
        <v>-1</v>
      </c>
      <c r="AJ267" t="s">
        <v>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f>ROW(Source!A130)</f>
        <v>130</v>
      </c>
      <c r="B268">
        <v>56610661</v>
      </c>
      <c r="C268">
        <v>56610659</v>
      </c>
      <c r="D268">
        <v>47766965</v>
      </c>
      <c r="E268">
        <v>1</v>
      </c>
      <c r="F268">
        <v>1</v>
      </c>
      <c r="G268">
        <v>27786564</v>
      </c>
      <c r="H268">
        <v>2</v>
      </c>
      <c r="I268" t="s">
        <v>566</v>
      </c>
      <c r="J268" t="s">
        <v>567</v>
      </c>
      <c r="K268" t="s">
        <v>568</v>
      </c>
      <c r="L268">
        <v>1368</v>
      </c>
      <c r="N268">
        <v>1011</v>
      </c>
      <c r="O268" t="s">
        <v>458</v>
      </c>
      <c r="P268" t="s">
        <v>458</v>
      </c>
      <c r="Q268">
        <v>1</v>
      </c>
      <c r="X268">
        <v>0.13</v>
      </c>
      <c r="Y268">
        <v>0</v>
      </c>
      <c r="Z268">
        <v>0.12</v>
      </c>
      <c r="AA268">
        <v>0</v>
      </c>
      <c r="AB268">
        <v>0</v>
      </c>
      <c r="AC268">
        <v>0</v>
      </c>
      <c r="AD268">
        <v>1</v>
      </c>
      <c r="AE268">
        <v>0</v>
      </c>
      <c r="AF268" t="s">
        <v>22</v>
      </c>
      <c r="AG268">
        <v>0.13650000000000001</v>
      </c>
      <c r="AH268">
        <v>3</v>
      </c>
      <c r="AI268">
        <v>-1</v>
      </c>
      <c r="AJ268" t="s">
        <v>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f>ROW(Source!A130)</f>
        <v>130</v>
      </c>
      <c r="B269">
        <v>56610662</v>
      </c>
      <c r="C269">
        <v>56610659</v>
      </c>
      <c r="D269">
        <v>37620224</v>
      </c>
      <c r="E269">
        <v>1</v>
      </c>
      <c r="F269">
        <v>1</v>
      </c>
      <c r="G269">
        <v>27786564</v>
      </c>
      <c r="H269">
        <v>3</v>
      </c>
      <c r="I269" t="s">
        <v>569</v>
      </c>
      <c r="J269" t="s">
        <v>570</v>
      </c>
      <c r="K269" t="s">
        <v>571</v>
      </c>
      <c r="L269">
        <v>1346</v>
      </c>
      <c r="N269">
        <v>1009</v>
      </c>
      <c r="O269" t="s">
        <v>101</v>
      </c>
      <c r="P269" t="s">
        <v>101</v>
      </c>
      <c r="Q269">
        <v>1</v>
      </c>
      <c r="X269">
        <v>0.39360000000000001</v>
      </c>
      <c r="Y269">
        <v>6.27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 t="s">
        <v>3</v>
      </c>
      <c r="AG269">
        <v>0.39360000000000001</v>
      </c>
      <c r="AH269">
        <v>3</v>
      </c>
      <c r="AI269">
        <v>-1</v>
      </c>
      <c r="AJ269" t="s">
        <v>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f>ROW(Source!A130)</f>
        <v>130</v>
      </c>
      <c r="B270">
        <v>56610663</v>
      </c>
      <c r="C270">
        <v>56610659</v>
      </c>
      <c r="D270">
        <v>46556430</v>
      </c>
      <c r="E270">
        <v>27786564</v>
      </c>
      <c r="F270">
        <v>1</v>
      </c>
      <c r="G270">
        <v>27786564</v>
      </c>
      <c r="H270">
        <v>3</v>
      </c>
      <c r="I270" t="s">
        <v>572</v>
      </c>
      <c r="J270" t="s">
        <v>3</v>
      </c>
      <c r="K270" t="s">
        <v>573</v>
      </c>
      <c r="L270">
        <v>1391</v>
      </c>
      <c r="N270">
        <v>1013</v>
      </c>
      <c r="O270" t="s">
        <v>241</v>
      </c>
      <c r="P270" t="s">
        <v>241</v>
      </c>
      <c r="Q270">
        <v>1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 t="s">
        <v>3</v>
      </c>
      <c r="AG270">
        <v>1</v>
      </c>
      <c r="AH270">
        <v>3</v>
      </c>
      <c r="AI270">
        <v>-1</v>
      </c>
      <c r="AJ270" t="s">
        <v>3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f>ROW(Source!A133)</f>
        <v>133</v>
      </c>
      <c r="B271">
        <v>56610666</v>
      </c>
      <c r="C271">
        <v>56610665</v>
      </c>
      <c r="D271">
        <v>47634407</v>
      </c>
      <c r="E271">
        <v>27786564</v>
      </c>
      <c r="F271">
        <v>1</v>
      </c>
      <c r="G271">
        <v>27786564</v>
      </c>
      <c r="H271">
        <v>1</v>
      </c>
      <c r="I271" t="s">
        <v>452</v>
      </c>
      <c r="J271" t="s">
        <v>3</v>
      </c>
      <c r="K271" t="s">
        <v>453</v>
      </c>
      <c r="L271">
        <v>1191</v>
      </c>
      <c r="N271">
        <v>1013</v>
      </c>
      <c r="O271" t="s">
        <v>454</v>
      </c>
      <c r="P271" t="s">
        <v>454</v>
      </c>
      <c r="Q271">
        <v>1</v>
      </c>
      <c r="X271">
        <v>116.43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1</v>
      </c>
      <c r="AF271" t="s">
        <v>22</v>
      </c>
      <c r="AG271">
        <v>122.25150000000001</v>
      </c>
      <c r="AH271">
        <v>3</v>
      </c>
      <c r="AI271">
        <v>-1</v>
      </c>
      <c r="AJ271" t="s">
        <v>3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">
      <c r="A272">
        <f>ROW(Source!A133)</f>
        <v>133</v>
      </c>
      <c r="B272">
        <v>56610667</v>
      </c>
      <c r="C272">
        <v>56610665</v>
      </c>
      <c r="D272">
        <v>47767106</v>
      </c>
      <c r="E272">
        <v>1</v>
      </c>
      <c r="F272">
        <v>1</v>
      </c>
      <c r="G272">
        <v>27786564</v>
      </c>
      <c r="H272">
        <v>2</v>
      </c>
      <c r="I272" t="s">
        <v>455</v>
      </c>
      <c r="J272" t="s">
        <v>456</v>
      </c>
      <c r="K272" t="s">
        <v>457</v>
      </c>
      <c r="L272">
        <v>1368</v>
      </c>
      <c r="N272">
        <v>1011</v>
      </c>
      <c r="O272" t="s">
        <v>458</v>
      </c>
      <c r="P272" t="s">
        <v>458</v>
      </c>
      <c r="Q272">
        <v>1</v>
      </c>
      <c r="X272">
        <v>0.16</v>
      </c>
      <c r="Y272">
        <v>0</v>
      </c>
      <c r="Z272">
        <v>83.1</v>
      </c>
      <c r="AA272">
        <v>12.62</v>
      </c>
      <c r="AB272">
        <v>0</v>
      </c>
      <c r="AC272">
        <v>0</v>
      </c>
      <c r="AD272">
        <v>1</v>
      </c>
      <c r="AE272">
        <v>0</v>
      </c>
      <c r="AF272" t="s">
        <v>22</v>
      </c>
      <c r="AG272">
        <v>0.16800000000000001</v>
      </c>
      <c r="AH272">
        <v>3</v>
      </c>
      <c r="AI272">
        <v>-1</v>
      </c>
      <c r="AJ272" t="s">
        <v>3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">
      <c r="A273">
        <f>ROW(Source!A133)</f>
        <v>133</v>
      </c>
      <c r="B273">
        <v>56610668</v>
      </c>
      <c r="C273">
        <v>56610665</v>
      </c>
      <c r="D273">
        <v>30390462</v>
      </c>
      <c r="E273">
        <v>1</v>
      </c>
      <c r="F273">
        <v>1</v>
      </c>
      <c r="G273">
        <v>27786564</v>
      </c>
      <c r="H273">
        <v>3</v>
      </c>
      <c r="I273" t="s">
        <v>508</v>
      </c>
      <c r="J273" t="s">
        <v>509</v>
      </c>
      <c r="K273" t="s">
        <v>510</v>
      </c>
      <c r="L273">
        <v>1346</v>
      </c>
      <c r="N273">
        <v>1009</v>
      </c>
      <c r="O273" t="s">
        <v>101</v>
      </c>
      <c r="P273" t="s">
        <v>101</v>
      </c>
      <c r="Q273">
        <v>1</v>
      </c>
      <c r="X273">
        <v>5</v>
      </c>
      <c r="Y273">
        <v>1.61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3</v>
      </c>
      <c r="AG273">
        <v>5</v>
      </c>
      <c r="AH273">
        <v>3</v>
      </c>
      <c r="AI273">
        <v>-1</v>
      </c>
      <c r="AJ273" t="s">
        <v>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f>ROW(Source!A133)</f>
        <v>133</v>
      </c>
      <c r="B274">
        <v>56610669</v>
      </c>
      <c r="C274">
        <v>56610665</v>
      </c>
      <c r="D274">
        <v>46724002</v>
      </c>
      <c r="E274">
        <v>1</v>
      </c>
      <c r="F274">
        <v>1</v>
      </c>
      <c r="G274">
        <v>27786564</v>
      </c>
      <c r="H274">
        <v>3</v>
      </c>
      <c r="I274" t="s">
        <v>574</v>
      </c>
      <c r="J274" t="s">
        <v>575</v>
      </c>
      <c r="K274" t="s">
        <v>576</v>
      </c>
      <c r="L274">
        <v>1327</v>
      </c>
      <c r="N274">
        <v>1005</v>
      </c>
      <c r="O274" t="s">
        <v>514</v>
      </c>
      <c r="P274" t="s">
        <v>514</v>
      </c>
      <c r="Q274">
        <v>1</v>
      </c>
      <c r="X274">
        <v>5</v>
      </c>
      <c r="Y274">
        <v>127.33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 t="s">
        <v>3</v>
      </c>
      <c r="AG274">
        <v>5</v>
      </c>
      <c r="AH274">
        <v>3</v>
      </c>
      <c r="AI274">
        <v>-1</v>
      </c>
      <c r="AJ274" t="s">
        <v>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">
      <c r="A275">
        <f>ROW(Source!A133)</f>
        <v>133</v>
      </c>
      <c r="B275">
        <v>56610670</v>
      </c>
      <c r="C275">
        <v>56610665</v>
      </c>
      <c r="D275">
        <v>47765724</v>
      </c>
      <c r="E275">
        <v>1</v>
      </c>
      <c r="F275">
        <v>1</v>
      </c>
      <c r="G275">
        <v>27786564</v>
      </c>
      <c r="H275">
        <v>3</v>
      </c>
      <c r="I275" t="s">
        <v>577</v>
      </c>
      <c r="J275" t="s">
        <v>578</v>
      </c>
      <c r="K275" t="s">
        <v>579</v>
      </c>
      <c r="L275">
        <v>1354</v>
      </c>
      <c r="N275">
        <v>1010</v>
      </c>
      <c r="O275" t="s">
        <v>90</v>
      </c>
      <c r="P275" t="s">
        <v>90</v>
      </c>
      <c r="Q275">
        <v>1</v>
      </c>
      <c r="X275">
        <v>1.2</v>
      </c>
      <c r="Y275">
        <v>38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 t="s">
        <v>3</v>
      </c>
      <c r="AG275">
        <v>1.2</v>
      </c>
      <c r="AH275">
        <v>3</v>
      </c>
      <c r="AI275">
        <v>-1</v>
      </c>
      <c r="AJ275" t="s">
        <v>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f>ROW(Source!A133)</f>
        <v>133</v>
      </c>
      <c r="B276">
        <v>56610671</v>
      </c>
      <c r="C276">
        <v>56610665</v>
      </c>
      <c r="D276">
        <v>30394098</v>
      </c>
      <c r="E276">
        <v>1</v>
      </c>
      <c r="F276">
        <v>1</v>
      </c>
      <c r="G276">
        <v>27786564</v>
      </c>
      <c r="H276">
        <v>3</v>
      </c>
      <c r="I276" t="s">
        <v>580</v>
      </c>
      <c r="J276" t="s">
        <v>581</v>
      </c>
      <c r="K276" t="s">
        <v>582</v>
      </c>
      <c r="L276">
        <v>1296</v>
      </c>
      <c r="N276">
        <v>1013</v>
      </c>
      <c r="O276" t="s">
        <v>583</v>
      </c>
      <c r="P276" t="s">
        <v>583</v>
      </c>
      <c r="Q276">
        <v>1</v>
      </c>
      <c r="X276">
        <v>15</v>
      </c>
      <c r="Y276">
        <v>16.260000000000002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 t="s">
        <v>3</v>
      </c>
      <c r="AG276">
        <v>15</v>
      </c>
      <c r="AH276">
        <v>3</v>
      </c>
      <c r="AI276">
        <v>-1</v>
      </c>
      <c r="AJ276" t="s">
        <v>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f>ROW(Source!A133)</f>
        <v>133</v>
      </c>
      <c r="B277">
        <v>56610672</v>
      </c>
      <c r="C277">
        <v>56610665</v>
      </c>
      <c r="D277">
        <v>46556430</v>
      </c>
      <c r="E277">
        <v>27786564</v>
      </c>
      <c r="F277">
        <v>1</v>
      </c>
      <c r="G277">
        <v>27786564</v>
      </c>
      <c r="H277">
        <v>3</v>
      </c>
      <c r="I277" t="s">
        <v>572</v>
      </c>
      <c r="J277" t="s">
        <v>3</v>
      </c>
      <c r="K277" t="s">
        <v>584</v>
      </c>
      <c r="L277">
        <v>1391</v>
      </c>
      <c r="N277">
        <v>1013</v>
      </c>
      <c r="O277" t="s">
        <v>241</v>
      </c>
      <c r="P277" t="s">
        <v>241</v>
      </c>
      <c r="Q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 t="s">
        <v>3</v>
      </c>
      <c r="AG277">
        <v>0</v>
      </c>
      <c r="AH277">
        <v>3</v>
      </c>
      <c r="AI277">
        <v>-1</v>
      </c>
      <c r="AJ277" t="s">
        <v>3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f>ROW(Source!A134)</f>
        <v>134</v>
      </c>
      <c r="B278">
        <v>56610666</v>
      </c>
      <c r="C278">
        <v>56610665</v>
      </c>
      <c r="D278">
        <v>47634407</v>
      </c>
      <c r="E278">
        <v>27786564</v>
      </c>
      <c r="F278">
        <v>1</v>
      </c>
      <c r="G278">
        <v>27786564</v>
      </c>
      <c r="H278">
        <v>1</v>
      </c>
      <c r="I278" t="s">
        <v>452</v>
      </c>
      <c r="J278" t="s">
        <v>3</v>
      </c>
      <c r="K278" t="s">
        <v>453</v>
      </c>
      <c r="L278">
        <v>1191</v>
      </c>
      <c r="N278">
        <v>1013</v>
      </c>
      <c r="O278" t="s">
        <v>454</v>
      </c>
      <c r="P278" t="s">
        <v>454</v>
      </c>
      <c r="Q278">
        <v>1</v>
      </c>
      <c r="X278">
        <v>116.43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1</v>
      </c>
      <c r="AF278" t="s">
        <v>22</v>
      </c>
      <c r="AG278">
        <v>122.25150000000001</v>
      </c>
      <c r="AH278">
        <v>3</v>
      </c>
      <c r="AI278">
        <v>-1</v>
      </c>
      <c r="AJ278" t="s">
        <v>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f>ROW(Source!A134)</f>
        <v>134</v>
      </c>
      <c r="B279">
        <v>56610667</v>
      </c>
      <c r="C279">
        <v>56610665</v>
      </c>
      <c r="D279">
        <v>47767106</v>
      </c>
      <c r="E279">
        <v>1</v>
      </c>
      <c r="F279">
        <v>1</v>
      </c>
      <c r="G279">
        <v>27786564</v>
      </c>
      <c r="H279">
        <v>2</v>
      </c>
      <c r="I279" t="s">
        <v>455</v>
      </c>
      <c r="J279" t="s">
        <v>456</v>
      </c>
      <c r="K279" t="s">
        <v>457</v>
      </c>
      <c r="L279">
        <v>1368</v>
      </c>
      <c r="N279">
        <v>1011</v>
      </c>
      <c r="O279" t="s">
        <v>458</v>
      </c>
      <c r="P279" t="s">
        <v>458</v>
      </c>
      <c r="Q279">
        <v>1</v>
      </c>
      <c r="X279">
        <v>0.16</v>
      </c>
      <c r="Y279">
        <v>0</v>
      </c>
      <c r="Z279">
        <v>83.1</v>
      </c>
      <c r="AA279">
        <v>12.62</v>
      </c>
      <c r="AB279">
        <v>0</v>
      </c>
      <c r="AC279">
        <v>0</v>
      </c>
      <c r="AD279">
        <v>1</v>
      </c>
      <c r="AE279">
        <v>0</v>
      </c>
      <c r="AF279" t="s">
        <v>22</v>
      </c>
      <c r="AG279">
        <v>0.16800000000000001</v>
      </c>
      <c r="AH279">
        <v>3</v>
      </c>
      <c r="AI279">
        <v>-1</v>
      </c>
      <c r="AJ279" t="s">
        <v>3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f>ROW(Source!A134)</f>
        <v>134</v>
      </c>
      <c r="B280">
        <v>56610668</v>
      </c>
      <c r="C280">
        <v>56610665</v>
      </c>
      <c r="D280">
        <v>30390462</v>
      </c>
      <c r="E280">
        <v>1</v>
      </c>
      <c r="F280">
        <v>1</v>
      </c>
      <c r="G280">
        <v>27786564</v>
      </c>
      <c r="H280">
        <v>3</v>
      </c>
      <c r="I280" t="s">
        <v>508</v>
      </c>
      <c r="J280" t="s">
        <v>509</v>
      </c>
      <c r="K280" t="s">
        <v>510</v>
      </c>
      <c r="L280">
        <v>1346</v>
      </c>
      <c r="N280">
        <v>1009</v>
      </c>
      <c r="O280" t="s">
        <v>101</v>
      </c>
      <c r="P280" t="s">
        <v>101</v>
      </c>
      <c r="Q280">
        <v>1</v>
      </c>
      <c r="X280">
        <v>5</v>
      </c>
      <c r="Y280">
        <v>1.61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3</v>
      </c>
      <c r="AG280">
        <v>5</v>
      </c>
      <c r="AH280">
        <v>3</v>
      </c>
      <c r="AI280">
        <v>-1</v>
      </c>
      <c r="AJ280" t="s">
        <v>3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f>ROW(Source!A134)</f>
        <v>134</v>
      </c>
      <c r="B281">
        <v>56610669</v>
      </c>
      <c r="C281">
        <v>56610665</v>
      </c>
      <c r="D281">
        <v>46724002</v>
      </c>
      <c r="E281">
        <v>1</v>
      </c>
      <c r="F281">
        <v>1</v>
      </c>
      <c r="G281">
        <v>27786564</v>
      </c>
      <c r="H281">
        <v>3</v>
      </c>
      <c r="I281" t="s">
        <v>574</v>
      </c>
      <c r="J281" t="s">
        <v>575</v>
      </c>
      <c r="K281" t="s">
        <v>576</v>
      </c>
      <c r="L281">
        <v>1327</v>
      </c>
      <c r="N281">
        <v>1005</v>
      </c>
      <c r="O281" t="s">
        <v>514</v>
      </c>
      <c r="P281" t="s">
        <v>514</v>
      </c>
      <c r="Q281">
        <v>1</v>
      </c>
      <c r="X281">
        <v>5</v>
      </c>
      <c r="Y281">
        <v>127.33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3</v>
      </c>
      <c r="AG281">
        <v>5</v>
      </c>
      <c r="AH281">
        <v>3</v>
      </c>
      <c r="AI281">
        <v>-1</v>
      </c>
      <c r="AJ281" t="s">
        <v>3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f>ROW(Source!A134)</f>
        <v>134</v>
      </c>
      <c r="B282">
        <v>56610670</v>
      </c>
      <c r="C282">
        <v>56610665</v>
      </c>
      <c r="D282">
        <v>47765724</v>
      </c>
      <c r="E282">
        <v>1</v>
      </c>
      <c r="F282">
        <v>1</v>
      </c>
      <c r="G282">
        <v>27786564</v>
      </c>
      <c r="H282">
        <v>3</v>
      </c>
      <c r="I282" t="s">
        <v>577</v>
      </c>
      <c r="J282" t="s">
        <v>578</v>
      </c>
      <c r="K282" t="s">
        <v>579</v>
      </c>
      <c r="L282">
        <v>1354</v>
      </c>
      <c r="N282">
        <v>1010</v>
      </c>
      <c r="O282" t="s">
        <v>90</v>
      </c>
      <c r="P282" t="s">
        <v>90</v>
      </c>
      <c r="Q282">
        <v>1</v>
      </c>
      <c r="X282">
        <v>1.2</v>
      </c>
      <c r="Y282">
        <v>38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 t="s">
        <v>3</v>
      </c>
      <c r="AG282">
        <v>1.2</v>
      </c>
      <c r="AH282">
        <v>3</v>
      </c>
      <c r="AI282">
        <v>-1</v>
      </c>
      <c r="AJ282" t="s">
        <v>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f>ROW(Source!A134)</f>
        <v>134</v>
      </c>
      <c r="B283">
        <v>56610671</v>
      </c>
      <c r="C283">
        <v>56610665</v>
      </c>
      <c r="D283">
        <v>30394098</v>
      </c>
      <c r="E283">
        <v>1</v>
      </c>
      <c r="F283">
        <v>1</v>
      </c>
      <c r="G283">
        <v>27786564</v>
      </c>
      <c r="H283">
        <v>3</v>
      </c>
      <c r="I283" t="s">
        <v>580</v>
      </c>
      <c r="J283" t="s">
        <v>581</v>
      </c>
      <c r="K283" t="s">
        <v>582</v>
      </c>
      <c r="L283">
        <v>1296</v>
      </c>
      <c r="N283">
        <v>1013</v>
      </c>
      <c r="O283" t="s">
        <v>583</v>
      </c>
      <c r="P283" t="s">
        <v>583</v>
      </c>
      <c r="Q283">
        <v>1</v>
      </c>
      <c r="X283">
        <v>15</v>
      </c>
      <c r="Y283">
        <v>16.260000000000002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 t="s">
        <v>3</v>
      </c>
      <c r="AG283">
        <v>15</v>
      </c>
      <c r="AH283">
        <v>3</v>
      </c>
      <c r="AI283">
        <v>-1</v>
      </c>
      <c r="AJ283" t="s">
        <v>3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">
      <c r="A284">
        <f>ROW(Source!A134)</f>
        <v>134</v>
      </c>
      <c r="B284">
        <v>56610672</v>
      </c>
      <c r="C284">
        <v>56610665</v>
      </c>
      <c r="D284">
        <v>46556430</v>
      </c>
      <c r="E284">
        <v>27786564</v>
      </c>
      <c r="F284">
        <v>1</v>
      </c>
      <c r="G284">
        <v>27786564</v>
      </c>
      <c r="H284">
        <v>3</v>
      </c>
      <c r="I284" t="s">
        <v>572</v>
      </c>
      <c r="J284" t="s">
        <v>3</v>
      </c>
      <c r="K284" t="s">
        <v>584</v>
      </c>
      <c r="L284">
        <v>1391</v>
      </c>
      <c r="N284">
        <v>1013</v>
      </c>
      <c r="O284" t="s">
        <v>241</v>
      </c>
      <c r="P284" t="s">
        <v>241</v>
      </c>
      <c r="Q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 t="s">
        <v>3</v>
      </c>
      <c r="AG284">
        <v>0</v>
      </c>
      <c r="AH284">
        <v>3</v>
      </c>
      <c r="AI284">
        <v>-1</v>
      </c>
      <c r="AJ284" t="s">
        <v>3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f>ROW(Source!A137)</f>
        <v>137</v>
      </c>
      <c r="B285">
        <v>56610675</v>
      </c>
      <c r="C285">
        <v>56610674</v>
      </c>
      <c r="D285">
        <v>47634407</v>
      </c>
      <c r="E285">
        <v>27786564</v>
      </c>
      <c r="F285">
        <v>1</v>
      </c>
      <c r="G285">
        <v>27786564</v>
      </c>
      <c r="H285">
        <v>1</v>
      </c>
      <c r="I285" t="s">
        <v>452</v>
      </c>
      <c r="J285" t="s">
        <v>3</v>
      </c>
      <c r="K285" t="s">
        <v>453</v>
      </c>
      <c r="L285">
        <v>1191</v>
      </c>
      <c r="N285">
        <v>1013</v>
      </c>
      <c r="O285" t="s">
        <v>454</v>
      </c>
      <c r="P285" t="s">
        <v>454</v>
      </c>
      <c r="Q285">
        <v>1</v>
      </c>
      <c r="X285">
        <v>14.95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1</v>
      </c>
      <c r="AF285" t="s">
        <v>22</v>
      </c>
      <c r="AG285">
        <v>15.6975</v>
      </c>
      <c r="AH285">
        <v>3</v>
      </c>
      <c r="AI285">
        <v>-1</v>
      </c>
      <c r="AJ285" t="s">
        <v>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f>ROW(Source!A137)</f>
        <v>137</v>
      </c>
      <c r="B286">
        <v>56610676</v>
      </c>
      <c r="C286">
        <v>56610674</v>
      </c>
      <c r="D286">
        <v>47766965</v>
      </c>
      <c r="E286">
        <v>1</v>
      </c>
      <c r="F286">
        <v>1</v>
      </c>
      <c r="G286">
        <v>27786564</v>
      </c>
      <c r="H286">
        <v>2</v>
      </c>
      <c r="I286" t="s">
        <v>566</v>
      </c>
      <c r="J286" t="s">
        <v>567</v>
      </c>
      <c r="K286" t="s">
        <v>568</v>
      </c>
      <c r="L286">
        <v>1368</v>
      </c>
      <c r="N286">
        <v>1011</v>
      </c>
      <c r="O286" t="s">
        <v>458</v>
      </c>
      <c r="P286" t="s">
        <v>458</v>
      </c>
      <c r="Q286">
        <v>1</v>
      </c>
      <c r="X286">
        <v>1.4</v>
      </c>
      <c r="Y286">
        <v>0</v>
      </c>
      <c r="Z286">
        <v>0.12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22</v>
      </c>
      <c r="AG286">
        <v>1.47</v>
      </c>
      <c r="AH286">
        <v>3</v>
      </c>
      <c r="AI286">
        <v>-1</v>
      </c>
      <c r="AJ286" t="s">
        <v>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f>ROW(Source!A137)</f>
        <v>137</v>
      </c>
      <c r="B287">
        <v>56610677</v>
      </c>
      <c r="C287">
        <v>56610674</v>
      </c>
      <c r="D287">
        <v>47767106</v>
      </c>
      <c r="E287">
        <v>1</v>
      </c>
      <c r="F287">
        <v>1</v>
      </c>
      <c r="G287">
        <v>27786564</v>
      </c>
      <c r="H287">
        <v>2</v>
      </c>
      <c r="I287" t="s">
        <v>455</v>
      </c>
      <c r="J287" t="s">
        <v>456</v>
      </c>
      <c r="K287" t="s">
        <v>457</v>
      </c>
      <c r="L287">
        <v>1368</v>
      </c>
      <c r="N287">
        <v>1011</v>
      </c>
      <c r="O287" t="s">
        <v>458</v>
      </c>
      <c r="P287" t="s">
        <v>458</v>
      </c>
      <c r="Q287">
        <v>1</v>
      </c>
      <c r="X287">
        <v>0.02</v>
      </c>
      <c r="Y287">
        <v>0</v>
      </c>
      <c r="Z287">
        <v>83.1</v>
      </c>
      <c r="AA287">
        <v>12.62</v>
      </c>
      <c r="AB287">
        <v>0</v>
      </c>
      <c r="AC287">
        <v>0</v>
      </c>
      <c r="AD287">
        <v>1</v>
      </c>
      <c r="AE287">
        <v>0</v>
      </c>
      <c r="AF287" t="s">
        <v>22</v>
      </c>
      <c r="AG287">
        <v>2.1000000000000001E-2</v>
      </c>
      <c r="AH287">
        <v>3</v>
      </c>
      <c r="AI287">
        <v>-1</v>
      </c>
      <c r="AJ287" t="s">
        <v>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f>ROW(Source!A137)</f>
        <v>137</v>
      </c>
      <c r="B288">
        <v>56610678</v>
      </c>
      <c r="C288">
        <v>56610674</v>
      </c>
      <c r="D288">
        <v>37620224</v>
      </c>
      <c r="E288">
        <v>1</v>
      </c>
      <c r="F288">
        <v>1</v>
      </c>
      <c r="G288">
        <v>27786564</v>
      </c>
      <c r="H288">
        <v>3</v>
      </c>
      <c r="I288" t="s">
        <v>569</v>
      </c>
      <c r="J288" t="s">
        <v>570</v>
      </c>
      <c r="K288" t="s">
        <v>571</v>
      </c>
      <c r="L288">
        <v>1346</v>
      </c>
      <c r="N288">
        <v>1009</v>
      </c>
      <c r="O288" t="s">
        <v>101</v>
      </c>
      <c r="P288" t="s">
        <v>101</v>
      </c>
      <c r="Q288">
        <v>1</v>
      </c>
      <c r="X288">
        <v>4.3902999999999999</v>
      </c>
      <c r="Y288">
        <v>6.27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3</v>
      </c>
      <c r="AG288">
        <v>4.3902999999999999</v>
      </c>
      <c r="AH288">
        <v>3</v>
      </c>
      <c r="AI288">
        <v>-1</v>
      </c>
      <c r="AJ288" t="s">
        <v>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">
      <c r="A289">
        <f>ROW(Source!A137)</f>
        <v>137</v>
      </c>
      <c r="B289">
        <v>56610679</v>
      </c>
      <c r="C289">
        <v>56610674</v>
      </c>
      <c r="D289">
        <v>46556430</v>
      </c>
      <c r="E289">
        <v>27786564</v>
      </c>
      <c r="F289">
        <v>1</v>
      </c>
      <c r="G289">
        <v>27786564</v>
      </c>
      <c r="H289">
        <v>3</v>
      </c>
      <c r="I289" t="s">
        <v>572</v>
      </c>
      <c r="J289" t="s">
        <v>3</v>
      </c>
      <c r="K289" t="s">
        <v>585</v>
      </c>
      <c r="L289">
        <v>1391</v>
      </c>
      <c r="N289">
        <v>1013</v>
      </c>
      <c r="O289" t="s">
        <v>241</v>
      </c>
      <c r="P289" t="s">
        <v>241</v>
      </c>
      <c r="Q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3</v>
      </c>
      <c r="AG289">
        <v>1</v>
      </c>
      <c r="AH289">
        <v>3</v>
      </c>
      <c r="AI289">
        <v>-1</v>
      </c>
      <c r="AJ289" t="s">
        <v>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f>ROW(Source!A138)</f>
        <v>138</v>
      </c>
      <c r="B290">
        <v>56610675</v>
      </c>
      <c r="C290">
        <v>56610674</v>
      </c>
      <c r="D290">
        <v>47634407</v>
      </c>
      <c r="E290">
        <v>27786564</v>
      </c>
      <c r="F290">
        <v>1</v>
      </c>
      <c r="G290">
        <v>27786564</v>
      </c>
      <c r="H290">
        <v>1</v>
      </c>
      <c r="I290" t="s">
        <v>452</v>
      </c>
      <c r="J290" t="s">
        <v>3</v>
      </c>
      <c r="K290" t="s">
        <v>453</v>
      </c>
      <c r="L290">
        <v>1191</v>
      </c>
      <c r="N290">
        <v>1013</v>
      </c>
      <c r="O290" t="s">
        <v>454</v>
      </c>
      <c r="P290" t="s">
        <v>454</v>
      </c>
      <c r="Q290">
        <v>1</v>
      </c>
      <c r="X290">
        <v>14.95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22</v>
      </c>
      <c r="AG290">
        <v>15.6975</v>
      </c>
      <c r="AH290">
        <v>3</v>
      </c>
      <c r="AI290">
        <v>-1</v>
      </c>
      <c r="AJ290" t="s">
        <v>3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f>ROW(Source!A138)</f>
        <v>138</v>
      </c>
      <c r="B291">
        <v>56610676</v>
      </c>
      <c r="C291">
        <v>56610674</v>
      </c>
      <c r="D291">
        <v>47766965</v>
      </c>
      <c r="E291">
        <v>1</v>
      </c>
      <c r="F291">
        <v>1</v>
      </c>
      <c r="G291">
        <v>27786564</v>
      </c>
      <c r="H291">
        <v>2</v>
      </c>
      <c r="I291" t="s">
        <v>566</v>
      </c>
      <c r="J291" t="s">
        <v>567</v>
      </c>
      <c r="K291" t="s">
        <v>568</v>
      </c>
      <c r="L291">
        <v>1368</v>
      </c>
      <c r="N291">
        <v>1011</v>
      </c>
      <c r="O291" t="s">
        <v>458</v>
      </c>
      <c r="P291" t="s">
        <v>458</v>
      </c>
      <c r="Q291">
        <v>1</v>
      </c>
      <c r="X291">
        <v>1.4</v>
      </c>
      <c r="Y291">
        <v>0</v>
      </c>
      <c r="Z291">
        <v>0.12</v>
      </c>
      <c r="AA291">
        <v>0</v>
      </c>
      <c r="AB291">
        <v>0</v>
      </c>
      <c r="AC291">
        <v>0</v>
      </c>
      <c r="AD291">
        <v>1</v>
      </c>
      <c r="AE291">
        <v>0</v>
      </c>
      <c r="AF291" t="s">
        <v>22</v>
      </c>
      <c r="AG291">
        <v>1.47</v>
      </c>
      <c r="AH291">
        <v>3</v>
      </c>
      <c r="AI291">
        <v>-1</v>
      </c>
      <c r="AJ291" t="s">
        <v>3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f>ROW(Source!A138)</f>
        <v>138</v>
      </c>
      <c r="B292">
        <v>56610677</v>
      </c>
      <c r="C292">
        <v>56610674</v>
      </c>
      <c r="D292">
        <v>47767106</v>
      </c>
      <c r="E292">
        <v>1</v>
      </c>
      <c r="F292">
        <v>1</v>
      </c>
      <c r="G292">
        <v>27786564</v>
      </c>
      <c r="H292">
        <v>2</v>
      </c>
      <c r="I292" t="s">
        <v>455</v>
      </c>
      <c r="J292" t="s">
        <v>456</v>
      </c>
      <c r="K292" t="s">
        <v>457</v>
      </c>
      <c r="L292">
        <v>1368</v>
      </c>
      <c r="N292">
        <v>1011</v>
      </c>
      <c r="O292" t="s">
        <v>458</v>
      </c>
      <c r="P292" t="s">
        <v>458</v>
      </c>
      <c r="Q292">
        <v>1</v>
      </c>
      <c r="X292">
        <v>0.02</v>
      </c>
      <c r="Y292">
        <v>0</v>
      </c>
      <c r="Z292">
        <v>83.1</v>
      </c>
      <c r="AA292">
        <v>12.62</v>
      </c>
      <c r="AB292">
        <v>0</v>
      </c>
      <c r="AC292">
        <v>0</v>
      </c>
      <c r="AD292">
        <v>1</v>
      </c>
      <c r="AE292">
        <v>0</v>
      </c>
      <c r="AF292" t="s">
        <v>22</v>
      </c>
      <c r="AG292">
        <v>2.1000000000000001E-2</v>
      </c>
      <c r="AH292">
        <v>3</v>
      </c>
      <c r="AI292">
        <v>-1</v>
      </c>
      <c r="AJ292" t="s">
        <v>3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f>ROW(Source!A138)</f>
        <v>138</v>
      </c>
      <c r="B293">
        <v>56610678</v>
      </c>
      <c r="C293">
        <v>56610674</v>
      </c>
      <c r="D293">
        <v>37620224</v>
      </c>
      <c r="E293">
        <v>1</v>
      </c>
      <c r="F293">
        <v>1</v>
      </c>
      <c r="G293">
        <v>27786564</v>
      </c>
      <c r="H293">
        <v>3</v>
      </c>
      <c r="I293" t="s">
        <v>569</v>
      </c>
      <c r="J293" t="s">
        <v>570</v>
      </c>
      <c r="K293" t="s">
        <v>571</v>
      </c>
      <c r="L293">
        <v>1346</v>
      </c>
      <c r="N293">
        <v>1009</v>
      </c>
      <c r="O293" t="s">
        <v>101</v>
      </c>
      <c r="P293" t="s">
        <v>101</v>
      </c>
      <c r="Q293">
        <v>1</v>
      </c>
      <c r="X293">
        <v>4.3902999999999999</v>
      </c>
      <c r="Y293">
        <v>6.27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3</v>
      </c>
      <c r="AG293">
        <v>4.3902999999999999</v>
      </c>
      <c r="AH293">
        <v>3</v>
      </c>
      <c r="AI293">
        <v>-1</v>
      </c>
      <c r="AJ293" t="s">
        <v>3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>
        <f>ROW(Source!A138)</f>
        <v>138</v>
      </c>
      <c r="B294">
        <v>56610679</v>
      </c>
      <c r="C294">
        <v>56610674</v>
      </c>
      <c r="D294">
        <v>46556430</v>
      </c>
      <c r="E294">
        <v>27786564</v>
      </c>
      <c r="F294">
        <v>1</v>
      </c>
      <c r="G294">
        <v>27786564</v>
      </c>
      <c r="H294">
        <v>3</v>
      </c>
      <c r="I294" t="s">
        <v>572</v>
      </c>
      <c r="J294" t="s">
        <v>3</v>
      </c>
      <c r="K294" t="s">
        <v>585</v>
      </c>
      <c r="L294">
        <v>1391</v>
      </c>
      <c r="N294">
        <v>1013</v>
      </c>
      <c r="O294" t="s">
        <v>241</v>
      </c>
      <c r="P294" t="s">
        <v>241</v>
      </c>
      <c r="Q294">
        <v>1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 t="s">
        <v>3</v>
      </c>
      <c r="AG294">
        <v>1</v>
      </c>
      <c r="AH294">
        <v>3</v>
      </c>
      <c r="AI294">
        <v>-1</v>
      </c>
      <c r="AJ294" t="s">
        <v>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">
      <c r="A295">
        <f>ROW(Source!A141)</f>
        <v>141</v>
      </c>
      <c r="B295">
        <v>56610682</v>
      </c>
      <c r="C295">
        <v>56610681</v>
      </c>
      <c r="D295">
        <v>47634407</v>
      </c>
      <c r="E295">
        <v>27786564</v>
      </c>
      <c r="F295">
        <v>1</v>
      </c>
      <c r="G295">
        <v>27786564</v>
      </c>
      <c r="H295">
        <v>1</v>
      </c>
      <c r="I295" t="s">
        <v>452</v>
      </c>
      <c r="J295" t="s">
        <v>3</v>
      </c>
      <c r="K295" t="s">
        <v>453</v>
      </c>
      <c r="L295">
        <v>1191</v>
      </c>
      <c r="N295">
        <v>1013</v>
      </c>
      <c r="O295" t="s">
        <v>454</v>
      </c>
      <c r="P295" t="s">
        <v>454</v>
      </c>
      <c r="Q295">
        <v>1</v>
      </c>
      <c r="X295">
        <v>155.88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1</v>
      </c>
      <c r="AF295" t="s">
        <v>22</v>
      </c>
      <c r="AG295">
        <v>163.67400000000001</v>
      </c>
      <c r="AH295">
        <v>3</v>
      </c>
      <c r="AI295">
        <v>-1</v>
      </c>
      <c r="AJ295" t="s">
        <v>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f>ROW(Source!A141)</f>
        <v>141</v>
      </c>
      <c r="B296">
        <v>56610683</v>
      </c>
      <c r="C296">
        <v>56610681</v>
      </c>
      <c r="D296">
        <v>30415180</v>
      </c>
      <c r="E296">
        <v>1</v>
      </c>
      <c r="F296">
        <v>1</v>
      </c>
      <c r="G296">
        <v>27786564</v>
      </c>
      <c r="H296">
        <v>2</v>
      </c>
      <c r="I296" t="s">
        <v>586</v>
      </c>
      <c r="J296" t="s">
        <v>587</v>
      </c>
      <c r="K296" t="s">
        <v>588</v>
      </c>
      <c r="L296">
        <v>1367</v>
      </c>
      <c r="N296">
        <v>1011</v>
      </c>
      <c r="O296" t="s">
        <v>589</v>
      </c>
      <c r="P296" t="s">
        <v>589</v>
      </c>
      <c r="Q296">
        <v>1</v>
      </c>
      <c r="X296">
        <v>19.72</v>
      </c>
      <c r="Y296">
        <v>0</v>
      </c>
      <c r="Z296">
        <v>36.08</v>
      </c>
      <c r="AA296">
        <v>3.1</v>
      </c>
      <c r="AB296">
        <v>0</v>
      </c>
      <c r="AC296">
        <v>0</v>
      </c>
      <c r="AD296">
        <v>1</v>
      </c>
      <c r="AE296">
        <v>0</v>
      </c>
      <c r="AF296" t="s">
        <v>22</v>
      </c>
      <c r="AG296">
        <v>20.706</v>
      </c>
      <c r="AH296">
        <v>3</v>
      </c>
      <c r="AI296">
        <v>-1</v>
      </c>
      <c r="AJ296" t="s">
        <v>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">
      <c r="A297">
        <f>ROW(Source!A141)</f>
        <v>141</v>
      </c>
      <c r="B297">
        <v>56610684</v>
      </c>
      <c r="C297">
        <v>56610681</v>
      </c>
      <c r="D297">
        <v>47767106</v>
      </c>
      <c r="E297">
        <v>1</v>
      </c>
      <c r="F297">
        <v>1</v>
      </c>
      <c r="G297">
        <v>27786564</v>
      </c>
      <c r="H297">
        <v>2</v>
      </c>
      <c r="I297" t="s">
        <v>455</v>
      </c>
      <c r="J297" t="s">
        <v>456</v>
      </c>
      <c r="K297" t="s">
        <v>457</v>
      </c>
      <c r="L297">
        <v>1368</v>
      </c>
      <c r="N297">
        <v>1011</v>
      </c>
      <c r="O297" t="s">
        <v>458</v>
      </c>
      <c r="P297" t="s">
        <v>458</v>
      </c>
      <c r="Q297">
        <v>1</v>
      </c>
      <c r="X297">
        <v>0.05</v>
      </c>
      <c r="Y297">
        <v>0</v>
      </c>
      <c r="Z297">
        <v>83.1</v>
      </c>
      <c r="AA297">
        <v>12.62</v>
      </c>
      <c r="AB297">
        <v>0</v>
      </c>
      <c r="AC297">
        <v>0</v>
      </c>
      <c r="AD297">
        <v>1</v>
      </c>
      <c r="AE297">
        <v>0</v>
      </c>
      <c r="AF297" t="s">
        <v>22</v>
      </c>
      <c r="AG297">
        <v>5.2500000000000005E-2</v>
      </c>
      <c r="AH297">
        <v>3</v>
      </c>
      <c r="AI297">
        <v>-1</v>
      </c>
      <c r="AJ297" t="s">
        <v>3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">
      <c r="A298">
        <f>ROW(Source!A141)</f>
        <v>141</v>
      </c>
      <c r="B298">
        <v>56610685</v>
      </c>
      <c r="C298">
        <v>56610681</v>
      </c>
      <c r="D298">
        <v>30390462</v>
      </c>
      <c r="E298">
        <v>1</v>
      </c>
      <c r="F298">
        <v>1</v>
      </c>
      <c r="G298">
        <v>27786564</v>
      </c>
      <c r="H298">
        <v>3</v>
      </c>
      <c r="I298" t="s">
        <v>508</v>
      </c>
      <c r="J298" t="s">
        <v>509</v>
      </c>
      <c r="K298" t="s">
        <v>510</v>
      </c>
      <c r="L298">
        <v>1346</v>
      </c>
      <c r="N298">
        <v>1009</v>
      </c>
      <c r="O298" t="s">
        <v>101</v>
      </c>
      <c r="P298" t="s">
        <v>101</v>
      </c>
      <c r="Q298">
        <v>1</v>
      </c>
      <c r="X298">
        <v>10</v>
      </c>
      <c r="Y298">
        <v>1.61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 t="s">
        <v>3</v>
      </c>
      <c r="AG298">
        <v>10</v>
      </c>
      <c r="AH298">
        <v>3</v>
      </c>
      <c r="AI298">
        <v>-1</v>
      </c>
      <c r="AJ298" t="s">
        <v>3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">
      <c r="A299">
        <f>ROW(Source!A141)</f>
        <v>141</v>
      </c>
      <c r="B299">
        <v>56610686</v>
      </c>
      <c r="C299">
        <v>56610681</v>
      </c>
      <c r="D299">
        <v>46724002</v>
      </c>
      <c r="E299">
        <v>1</v>
      </c>
      <c r="F299">
        <v>1</v>
      </c>
      <c r="G299">
        <v>27786564</v>
      </c>
      <c r="H299">
        <v>3</v>
      </c>
      <c r="I299" t="s">
        <v>574</v>
      </c>
      <c r="J299" t="s">
        <v>575</v>
      </c>
      <c r="K299" t="s">
        <v>576</v>
      </c>
      <c r="L299">
        <v>1327</v>
      </c>
      <c r="N299">
        <v>1005</v>
      </c>
      <c r="O299" t="s">
        <v>514</v>
      </c>
      <c r="P299" t="s">
        <v>514</v>
      </c>
      <c r="Q299">
        <v>1</v>
      </c>
      <c r="X299">
        <v>1</v>
      </c>
      <c r="Y299">
        <v>127.33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 t="s">
        <v>3</v>
      </c>
      <c r="AG299">
        <v>1</v>
      </c>
      <c r="AH299">
        <v>3</v>
      </c>
      <c r="AI299">
        <v>-1</v>
      </c>
      <c r="AJ299" t="s">
        <v>3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f>ROW(Source!A141)</f>
        <v>141</v>
      </c>
      <c r="B300">
        <v>56610687</v>
      </c>
      <c r="C300">
        <v>56610681</v>
      </c>
      <c r="D300">
        <v>37620224</v>
      </c>
      <c r="E300">
        <v>1</v>
      </c>
      <c r="F300">
        <v>1</v>
      </c>
      <c r="G300">
        <v>27786564</v>
      </c>
      <c r="H300">
        <v>3</v>
      </c>
      <c r="I300" t="s">
        <v>569</v>
      </c>
      <c r="J300" t="s">
        <v>570</v>
      </c>
      <c r="K300" t="s">
        <v>571</v>
      </c>
      <c r="L300">
        <v>1346</v>
      </c>
      <c r="N300">
        <v>1009</v>
      </c>
      <c r="O300" t="s">
        <v>101</v>
      </c>
      <c r="P300" t="s">
        <v>101</v>
      </c>
      <c r="Q300">
        <v>1</v>
      </c>
      <c r="X300">
        <v>30.6</v>
      </c>
      <c r="Y300">
        <v>6.27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 t="s">
        <v>3</v>
      </c>
      <c r="AG300">
        <v>30.6</v>
      </c>
      <c r="AH300">
        <v>3</v>
      </c>
      <c r="AI300">
        <v>-1</v>
      </c>
      <c r="AJ300" t="s">
        <v>3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f>ROW(Source!A141)</f>
        <v>141</v>
      </c>
      <c r="B301">
        <v>56610688</v>
      </c>
      <c r="C301">
        <v>56610681</v>
      </c>
      <c r="D301">
        <v>30394098</v>
      </c>
      <c r="E301">
        <v>1</v>
      </c>
      <c r="F301">
        <v>1</v>
      </c>
      <c r="G301">
        <v>27786564</v>
      </c>
      <c r="H301">
        <v>3</v>
      </c>
      <c r="I301" t="s">
        <v>580</v>
      </c>
      <c r="J301" t="s">
        <v>581</v>
      </c>
      <c r="K301" t="s">
        <v>582</v>
      </c>
      <c r="L301">
        <v>1296</v>
      </c>
      <c r="N301">
        <v>1013</v>
      </c>
      <c r="O301" t="s">
        <v>583</v>
      </c>
      <c r="P301" t="s">
        <v>583</v>
      </c>
      <c r="Q301">
        <v>1</v>
      </c>
      <c r="X301">
        <v>5</v>
      </c>
      <c r="Y301">
        <v>16.260000000000002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 t="s">
        <v>3</v>
      </c>
      <c r="AG301">
        <v>5</v>
      </c>
      <c r="AH301">
        <v>3</v>
      </c>
      <c r="AI301">
        <v>-1</v>
      </c>
      <c r="AJ301" t="s">
        <v>3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f>ROW(Source!A141)</f>
        <v>141</v>
      </c>
      <c r="B302">
        <v>56610689</v>
      </c>
      <c r="C302">
        <v>56610681</v>
      </c>
      <c r="D302">
        <v>46735801</v>
      </c>
      <c r="E302">
        <v>1</v>
      </c>
      <c r="F302">
        <v>1</v>
      </c>
      <c r="G302">
        <v>27786564</v>
      </c>
      <c r="H302">
        <v>3</v>
      </c>
      <c r="I302" t="s">
        <v>590</v>
      </c>
      <c r="J302" t="s">
        <v>591</v>
      </c>
      <c r="K302" t="s">
        <v>592</v>
      </c>
      <c r="L302">
        <v>1355</v>
      </c>
      <c r="N302">
        <v>1010</v>
      </c>
      <c r="O302" t="s">
        <v>593</v>
      </c>
      <c r="P302" t="s">
        <v>593</v>
      </c>
      <c r="Q302">
        <v>100</v>
      </c>
      <c r="X302">
        <v>2</v>
      </c>
      <c r="Y302">
        <v>59.47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3</v>
      </c>
      <c r="AG302">
        <v>2</v>
      </c>
      <c r="AH302">
        <v>3</v>
      </c>
      <c r="AI302">
        <v>-1</v>
      </c>
      <c r="AJ302" t="s">
        <v>3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">
      <c r="A303">
        <f>ROW(Source!A141)</f>
        <v>141</v>
      </c>
      <c r="B303">
        <v>56610690</v>
      </c>
      <c r="C303">
        <v>56610681</v>
      </c>
      <c r="D303">
        <v>30382931</v>
      </c>
      <c r="E303">
        <v>27786564</v>
      </c>
      <c r="F303">
        <v>1</v>
      </c>
      <c r="G303">
        <v>27786564</v>
      </c>
      <c r="H303">
        <v>3</v>
      </c>
      <c r="I303" t="s">
        <v>594</v>
      </c>
      <c r="J303" t="s">
        <v>3</v>
      </c>
      <c r="K303" t="s">
        <v>595</v>
      </c>
      <c r="L303">
        <v>1391</v>
      </c>
      <c r="N303">
        <v>1013</v>
      </c>
      <c r="O303" t="s">
        <v>241</v>
      </c>
      <c r="P303" t="s">
        <v>241</v>
      </c>
      <c r="Q303">
        <v>1</v>
      </c>
      <c r="X303">
        <v>100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 t="s">
        <v>3</v>
      </c>
      <c r="AG303">
        <v>100</v>
      </c>
      <c r="AH303">
        <v>3</v>
      </c>
      <c r="AI303">
        <v>-1</v>
      </c>
      <c r="AJ303" t="s">
        <v>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">
      <c r="A304">
        <f>ROW(Source!A142)</f>
        <v>142</v>
      </c>
      <c r="B304">
        <v>56610682</v>
      </c>
      <c r="C304">
        <v>56610681</v>
      </c>
      <c r="D304">
        <v>47634407</v>
      </c>
      <c r="E304">
        <v>27786564</v>
      </c>
      <c r="F304">
        <v>1</v>
      </c>
      <c r="G304">
        <v>27786564</v>
      </c>
      <c r="H304">
        <v>1</v>
      </c>
      <c r="I304" t="s">
        <v>452</v>
      </c>
      <c r="J304" t="s">
        <v>3</v>
      </c>
      <c r="K304" t="s">
        <v>453</v>
      </c>
      <c r="L304">
        <v>1191</v>
      </c>
      <c r="N304">
        <v>1013</v>
      </c>
      <c r="O304" t="s">
        <v>454</v>
      </c>
      <c r="P304" t="s">
        <v>454</v>
      </c>
      <c r="Q304">
        <v>1</v>
      </c>
      <c r="X304">
        <v>155.88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1</v>
      </c>
      <c r="AF304" t="s">
        <v>22</v>
      </c>
      <c r="AG304">
        <v>163.67400000000001</v>
      </c>
      <c r="AH304">
        <v>3</v>
      </c>
      <c r="AI304">
        <v>-1</v>
      </c>
      <c r="AJ304" t="s">
        <v>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f>ROW(Source!A142)</f>
        <v>142</v>
      </c>
      <c r="B305">
        <v>56610683</v>
      </c>
      <c r="C305">
        <v>56610681</v>
      </c>
      <c r="D305">
        <v>30415180</v>
      </c>
      <c r="E305">
        <v>1</v>
      </c>
      <c r="F305">
        <v>1</v>
      </c>
      <c r="G305">
        <v>27786564</v>
      </c>
      <c r="H305">
        <v>2</v>
      </c>
      <c r="I305" t="s">
        <v>586</v>
      </c>
      <c r="J305" t="s">
        <v>587</v>
      </c>
      <c r="K305" t="s">
        <v>588</v>
      </c>
      <c r="L305">
        <v>1367</v>
      </c>
      <c r="N305">
        <v>1011</v>
      </c>
      <c r="O305" t="s">
        <v>589</v>
      </c>
      <c r="P305" t="s">
        <v>589</v>
      </c>
      <c r="Q305">
        <v>1</v>
      </c>
      <c r="X305">
        <v>19.72</v>
      </c>
      <c r="Y305">
        <v>0</v>
      </c>
      <c r="Z305">
        <v>36.08</v>
      </c>
      <c r="AA305">
        <v>3.1</v>
      </c>
      <c r="AB305">
        <v>0</v>
      </c>
      <c r="AC305">
        <v>0</v>
      </c>
      <c r="AD305">
        <v>1</v>
      </c>
      <c r="AE305">
        <v>0</v>
      </c>
      <c r="AF305" t="s">
        <v>22</v>
      </c>
      <c r="AG305">
        <v>20.706</v>
      </c>
      <c r="AH305">
        <v>3</v>
      </c>
      <c r="AI305">
        <v>-1</v>
      </c>
      <c r="AJ305" t="s">
        <v>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">
      <c r="A306">
        <f>ROW(Source!A142)</f>
        <v>142</v>
      </c>
      <c r="B306">
        <v>56610684</v>
      </c>
      <c r="C306">
        <v>56610681</v>
      </c>
      <c r="D306">
        <v>47767106</v>
      </c>
      <c r="E306">
        <v>1</v>
      </c>
      <c r="F306">
        <v>1</v>
      </c>
      <c r="G306">
        <v>27786564</v>
      </c>
      <c r="H306">
        <v>2</v>
      </c>
      <c r="I306" t="s">
        <v>455</v>
      </c>
      <c r="J306" t="s">
        <v>456</v>
      </c>
      <c r="K306" t="s">
        <v>457</v>
      </c>
      <c r="L306">
        <v>1368</v>
      </c>
      <c r="N306">
        <v>1011</v>
      </c>
      <c r="O306" t="s">
        <v>458</v>
      </c>
      <c r="P306" t="s">
        <v>458</v>
      </c>
      <c r="Q306">
        <v>1</v>
      </c>
      <c r="X306">
        <v>0.05</v>
      </c>
      <c r="Y306">
        <v>0</v>
      </c>
      <c r="Z306">
        <v>83.1</v>
      </c>
      <c r="AA306">
        <v>12.62</v>
      </c>
      <c r="AB306">
        <v>0</v>
      </c>
      <c r="AC306">
        <v>0</v>
      </c>
      <c r="AD306">
        <v>1</v>
      </c>
      <c r="AE306">
        <v>0</v>
      </c>
      <c r="AF306" t="s">
        <v>22</v>
      </c>
      <c r="AG306">
        <v>5.2500000000000005E-2</v>
      </c>
      <c r="AH306">
        <v>3</v>
      </c>
      <c r="AI306">
        <v>-1</v>
      </c>
      <c r="AJ306" t="s">
        <v>3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">
      <c r="A307">
        <f>ROW(Source!A142)</f>
        <v>142</v>
      </c>
      <c r="B307">
        <v>56610685</v>
      </c>
      <c r="C307">
        <v>56610681</v>
      </c>
      <c r="D307">
        <v>30390462</v>
      </c>
      <c r="E307">
        <v>1</v>
      </c>
      <c r="F307">
        <v>1</v>
      </c>
      <c r="G307">
        <v>27786564</v>
      </c>
      <c r="H307">
        <v>3</v>
      </c>
      <c r="I307" t="s">
        <v>508</v>
      </c>
      <c r="J307" t="s">
        <v>509</v>
      </c>
      <c r="K307" t="s">
        <v>510</v>
      </c>
      <c r="L307">
        <v>1346</v>
      </c>
      <c r="N307">
        <v>1009</v>
      </c>
      <c r="O307" t="s">
        <v>101</v>
      </c>
      <c r="P307" t="s">
        <v>101</v>
      </c>
      <c r="Q307">
        <v>1</v>
      </c>
      <c r="X307">
        <v>10</v>
      </c>
      <c r="Y307">
        <v>1.61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 t="s">
        <v>3</v>
      </c>
      <c r="AG307">
        <v>10</v>
      </c>
      <c r="AH307">
        <v>3</v>
      </c>
      <c r="AI307">
        <v>-1</v>
      </c>
      <c r="AJ307" t="s">
        <v>3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f>ROW(Source!A142)</f>
        <v>142</v>
      </c>
      <c r="B308">
        <v>56610686</v>
      </c>
      <c r="C308">
        <v>56610681</v>
      </c>
      <c r="D308">
        <v>46724002</v>
      </c>
      <c r="E308">
        <v>1</v>
      </c>
      <c r="F308">
        <v>1</v>
      </c>
      <c r="G308">
        <v>27786564</v>
      </c>
      <c r="H308">
        <v>3</v>
      </c>
      <c r="I308" t="s">
        <v>574</v>
      </c>
      <c r="J308" t="s">
        <v>575</v>
      </c>
      <c r="K308" t="s">
        <v>576</v>
      </c>
      <c r="L308">
        <v>1327</v>
      </c>
      <c r="N308">
        <v>1005</v>
      </c>
      <c r="O308" t="s">
        <v>514</v>
      </c>
      <c r="P308" t="s">
        <v>514</v>
      </c>
      <c r="Q308">
        <v>1</v>
      </c>
      <c r="X308">
        <v>1</v>
      </c>
      <c r="Y308">
        <v>127.33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3</v>
      </c>
      <c r="AG308">
        <v>1</v>
      </c>
      <c r="AH308">
        <v>3</v>
      </c>
      <c r="AI308">
        <v>-1</v>
      </c>
      <c r="AJ308" t="s">
        <v>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f>ROW(Source!A142)</f>
        <v>142</v>
      </c>
      <c r="B309">
        <v>56610687</v>
      </c>
      <c r="C309">
        <v>56610681</v>
      </c>
      <c r="D309">
        <v>37620224</v>
      </c>
      <c r="E309">
        <v>1</v>
      </c>
      <c r="F309">
        <v>1</v>
      </c>
      <c r="G309">
        <v>27786564</v>
      </c>
      <c r="H309">
        <v>3</v>
      </c>
      <c r="I309" t="s">
        <v>569</v>
      </c>
      <c r="J309" t="s">
        <v>570</v>
      </c>
      <c r="K309" t="s">
        <v>571</v>
      </c>
      <c r="L309">
        <v>1346</v>
      </c>
      <c r="N309">
        <v>1009</v>
      </c>
      <c r="O309" t="s">
        <v>101</v>
      </c>
      <c r="P309" t="s">
        <v>101</v>
      </c>
      <c r="Q309">
        <v>1</v>
      </c>
      <c r="X309">
        <v>30.6</v>
      </c>
      <c r="Y309">
        <v>6.27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3</v>
      </c>
      <c r="AG309">
        <v>30.6</v>
      </c>
      <c r="AH309">
        <v>3</v>
      </c>
      <c r="AI309">
        <v>-1</v>
      </c>
      <c r="AJ309" t="s">
        <v>3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">
      <c r="A310">
        <f>ROW(Source!A142)</f>
        <v>142</v>
      </c>
      <c r="B310">
        <v>56610688</v>
      </c>
      <c r="C310">
        <v>56610681</v>
      </c>
      <c r="D310">
        <v>30394098</v>
      </c>
      <c r="E310">
        <v>1</v>
      </c>
      <c r="F310">
        <v>1</v>
      </c>
      <c r="G310">
        <v>27786564</v>
      </c>
      <c r="H310">
        <v>3</v>
      </c>
      <c r="I310" t="s">
        <v>580</v>
      </c>
      <c r="J310" t="s">
        <v>581</v>
      </c>
      <c r="K310" t="s">
        <v>582</v>
      </c>
      <c r="L310">
        <v>1296</v>
      </c>
      <c r="N310">
        <v>1013</v>
      </c>
      <c r="O310" t="s">
        <v>583</v>
      </c>
      <c r="P310" t="s">
        <v>583</v>
      </c>
      <c r="Q310">
        <v>1</v>
      </c>
      <c r="X310">
        <v>5</v>
      </c>
      <c r="Y310">
        <v>16.260000000000002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 t="s">
        <v>3</v>
      </c>
      <c r="AG310">
        <v>5</v>
      </c>
      <c r="AH310">
        <v>3</v>
      </c>
      <c r="AI310">
        <v>-1</v>
      </c>
      <c r="AJ310" t="s">
        <v>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f>ROW(Source!A142)</f>
        <v>142</v>
      </c>
      <c r="B311">
        <v>56610689</v>
      </c>
      <c r="C311">
        <v>56610681</v>
      </c>
      <c r="D311">
        <v>46735801</v>
      </c>
      <c r="E311">
        <v>1</v>
      </c>
      <c r="F311">
        <v>1</v>
      </c>
      <c r="G311">
        <v>27786564</v>
      </c>
      <c r="H311">
        <v>3</v>
      </c>
      <c r="I311" t="s">
        <v>590</v>
      </c>
      <c r="J311" t="s">
        <v>591</v>
      </c>
      <c r="K311" t="s">
        <v>592</v>
      </c>
      <c r="L311">
        <v>1355</v>
      </c>
      <c r="N311">
        <v>1010</v>
      </c>
      <c r="O311" t="s">
        <v>593</v>
      </c>
      <c r="P311" t="s">
        <v>593</v>
      </c>
      <c r="Q311">
        <v>100</v>
      </c>
      <c r="X311">
        <v>2</v>
      </c>
      <c r="Y311">
        <v>59.47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 t="s">
        <v>3</v>
      </c>
      <c r="AG311">
        <v>2</v>
      </c>
      <c r="AH311">
        <v>3</v>
      </c>
      <c r="AI311">
        <v>-1</v>
      </c>
      <c r="AJ311" t="s">
        <v>3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">
      <c r="A312">
        <f>ROW(Source!A142)</f>
        <v>142</v>
      </c>
      <c r="B312">
        <v>56610690</v>
      </c>
      <c r="C312">
        <v>56610681</v>
      </c>
      <c r="D312">
        <v>30382931</v>
      </c>
      <c r="E312">
        <v>27786564</v>
      </c>
      <c r="F312">
        <v>1</v>
      </c>
      <c r="G312">
        <v>27786564</v>
      </c>
      <c r="H312">
        <v>3</v>
      </c>
      <c r="I312" t="s">
        <v>594</v>
      </c>
      <c r="J312" t="s">
        <v>3</v>
      </c>
      <c r="K312" t="s">
        <v>595</v>
      </c>
      <c r="L312">
        <v>1391</v>
      </c>
      <c r="N312">
        <v>1013</v>
      </c>
      <c r="O312" t="s">
        <v>241</v>
      </c>
      <c r="P312" t="s">
        <v>241</v>
      </c>
      <c r="Q312">
        <v>1</v>
      </c>
      <c r="X312">
        <v>100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 t="s">
        <v>3</v>
      </c>
      <c r="AG312">
        <v>100</v>
      </c>
      <c r="AH312">
        <v>3</v>
      </c>
      <c r="AI312">
        <v>-1</v>
      </c>
      <c r="AJ312" t="s">
        <v>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f>ROW(Source!A143)</f>
        <v>143</v>
      </c>
      <c r="B313">
        <v>56610692</v>
      </c>
      <c r="C313">
        <v>56610691</v>
      </c>
      <c r="D313">
        <v>47634407</v>
      </c>
      <c r="E313">
        <v>27786564</v>
      </c>
      <c r="F313">
        <v>1</v>
      </c>
      <c r="G313">
        <v>27786564</v>
      </c>
      <c r="H313">
        <v>1</v>
      </c>
      <c r="I313" t="s">
        <v>452</v>
      </c>
      <c r="J313" t="s">
        <v>3</v>
      </c>
      <c r="K313" t="s">
        <v>453</v>
      </c>
      <c r="L313">
        <v>1191</v>
      </c>
      <c r="N313">
        <v>1013</v>
      </c>
      <c r="O313" t="s">
        <v>454</v>
      </c>
      <c r="P313" t="s">
        <v>454</v>
      </c>
      <c r="Q313">
        <v>1</v>
      </c>
      <c r="X313">
        <v>155.88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 t="s">
        <v>22</v>
      </c>
      <c r="AG313">
        <v>163.67400000000001</v>
      </c>
      <c r="AH313">
        <v>3</v>
      </c>
      <c r="AI313">
        <v>-1</v>
      </c>
      <c r="AJ313" t="s">
        <v>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">
      <c r="A314">
        <f>ROW(Source!A143)</f>
        <v>143</v>
      </c>
      <c r="B314">
        <v>56610693</v>
      </c>
      <c r="C314">
        <v>56610691</v>
      </c>
      <c r="D314">
        <v>30415180</v>
      </c>
      <c r="E314">
        <v>1</v>
      </c>
      <c r="F314">
        <v>1</v>
      </c>
      <c r="G314">
        <v>27786564</v>
      </c>
      <c r="H314">
        <v>2</v>
      </c>
      <c r="I314" t="s">
        <v>586</v>
      </c>
      <c r="J314" t="s">
        <v>587</v>
      </c>
      <c r="K314" t="s">
        <v>588</v>
      </c>
      <c r="L314">
        <v>1367</v>
      </c>
      <c r="N314">
        <v>1011</v>
      </c>
      <c r="O314" t="s">
        <v>589</v>
      </c>
      <c r="P314" t="s">
        <v>589</v>
      </c>
      <c r="Q314">
        <v>1</v>
      </c>
      <c r="X314">
        <v>19.72</v>
      </c>
      <c r="Y314">
        <v>0</v>
      </c>
      <c r="Z314">
        <v>36.08</v>
      </c>
      <c r="AA314">
        <v>3.1</v>
      </c>
      <c r="AB314">
        <v>0</v>
      </c>
      <c r="AC314">
        <v>0</v>
      </c>
      <c r="AD314">
        <v>1</v>
      </c>
      <c r="AE314">
        <v>0</v>
      </c>
      <c r="AF314" t="s">
        <v>22</v>
      </c>
      <c r="AG314">
        <v>20.706</v>
      </c>
      <c r="AH314">
        <v>3</v>
      </c>
      <c r="AI314">
        <v>-1</v>
      </c>
      <c r="AJ314" t="s">
        <v>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f>ROW(Source!A143)</f>
        <v>143</v>
      </c>
      <c r="B315">
        <v>56610694</v>
      </c>
      <c r="C315">
        <v>56610691</v>
      </c>
      <c r="D315">
        <v>47767106</v>
      </c>
      <c r="E315">
        <v>1</v>
      </c>
      <c r="F315">
        <v>1</v>
      </c>
      <c r="G315">
        <v>27786564</v>
      </c>
      <c r="H315">
        <v>2</v>
      </c>
      <c r="I315" t="s">
        <v>455</v>
      </c>
      <c r="J315" t="s">
        <v>456</v>
      </c>
      <c r="K315" t="s">
        <v>457</v>
      </c>
      <c r="L315">
        <v>1368</v>
      </c>
      <c r="N315">
        <v>1011</v>
      </c>
      <c r="O315" t="s">
        <v>458</v>
      </c>
      <c r="P315" t="s">
        <v>458</v>
      </c>
      <c r="Q315">
        <v>1</v>
      </c>
      <c r="X315">
        <v>0.05</v>
      </c>
      <c r="Y315">
        <v>0</v>
      </c>
      <c r="Z315">
        <v>83.1</v>
      </c>
      <c r="AA315">
        <v>12.62</v>
      </c>
      <c r="AB315">
        <v>0</v>
      </c>
      <c r="AC315">
        <v>0</v>
      </c>
      <c r="AD315">
        <v>1</v>
      </c>
      <c r="AE315">
        <v>0</v>
      </c>
      <c r="AF315" t="s">
        <v>22</v>
      </c>
      <c r="AG315">
        <v>5.2500000000000005E-2</v>
      </c>
      <c r="AH315">
        <v>3</v>
      </c>
      <c r="AI315">
        <v>-1</v>
      </c>
      <c r="AJ315" t="s">
        <v>3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f>ROW(Source!A143)</f>
        <v>143</v>
      </c>
      <c r="B316">
        <v>56610695</v>
      </c>
      <c r="C316">
        <v>56610691</v>
      </c>
      <c r="D316">
        <v>30390462</v>
      </c>
      <c r="E316">
        <v>1</v>
      </c>
      <c r="F316">
        <v>1</v>
      </c>
      <c r="G316">
        <v>27786564</v>
      </c>
      <c r="H316">
        <v>3</v>
      </c>
      <c r="I316" t="s">
        <v>508</v>
      </c>
      <c r="J316" t="s">
        <v>509</v>
      </c>
      <c r="K316" t="s">
        <v>510</v>
      </c>
      <c r="L316">
        <v>1346</v>
      </c>
      <c r="N316">
        <v>1009</v>
      </c>
      <c r="O316" t="s">
        <v>101</v>
      </c>
      <c r="P316" t="s">
        <v>101</v>
      </c>
      <c r="Q316">
        <v>1</v>
      </c>
      <c r="X316">
        <v>10</v>
      </c>
      <c r="Y316">
        <v>1.61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3</v>
      </c>
      <c r="AG316">
        <v>10</v>
      </c>
      <c r="AH316">
        <v>3</v>
      </c>
      <c r="AI316">
        <v>-1</v>
      </c>
      <c r="AJ316" t="s">
        <v>3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">
      <c r="A317">
        <f>ROW(Source!A143)</f>
        <v>143</v>
      </c>
      <c r="B317">
        <v>56610696</v>
      </c>
      <c r="C317">
        <v>56610691</v>
      </c>
      <c r="D317">
        <v>46724002</v>
      </c>
      <c r="E317">
        <v>1</v>
      </c>
      <c r="F317">
        <v>1</v>
      </c>
      <c r="G317">
        <v>27786564</v>
      </c>
      <c r="H317">
        <v>3</v>
      </c>
      <c r="I317" t="s">
        <v>574</v>
      </c>
      <c r="J317" t="s">
        <v>575</v>
      </c>
      <c r="K317" t="s">
        <v>576</v>
      </c>
      <c r="L317">
        <v>1327</v>
      </c>
      <c r="N317">
        <v>1005</v>
      </c>
      <c r="O317" t="s">
        <v>514</v>
      </c>
      <c r="P317" t="s">
        <v>514</v>
      </c>
      <c r="Q317">
        <v>1</v>
      </c>
      <c r="X317">
        <v>1</v>
      </c>
      <c r="Y317">
        <v>127.33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 t="s">
        <v>3</v>
      </c>
      <c r="AG317">
        <v>1</v>
      </c>
      <c r="AH317">
        <v>3</v>
      </c>
      <c r="AI317">
        <v>-1</v>
      </c>
      <c r="AJ317" t="s">
        <v>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f>ROW(Source!A143)</f>
        <v>143</v>
      </c>
      <c r="B318">
        <v>56610697</v>
      </c>
      <c r="C318">
        <v>56610691</v>
      </c>
      <c r="D318">
        <v>37620224</v>
      </c>
      <c r="E318">
        <v>1</v>
      </c>
      <c r="F318">
        <v>1</v>
      </c>
      <c r="G318">
        <v>27786564</v>
      </c>
      <c r="H318">
        <v>3</v>
      </c>
      <c r="I318" t="s">
        <v>569</v>
      </c>
      <c r="J318" t="s">
        <v>570</v>
      </c>
      <c r="K318" t="s">
        <v>571</v>
      </c>
      <c r="L318">
        <v>1346</v>
      </c>
      <c r="N318">
        <v>1009</v>
      </c>
      <c r="O318" t="s">
        <v>101</v>
      </c>
      <c r="P318" t="s">
        <v>101</v>
      </c>
      <c r="Q318">
        <v>1</v>
      </c>
      <c r="X318">
        <v>30.6</v>
      </c>
      <c r="Y318">
        <v>6.27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3</v>
      </c>
      <c r="AG318">
        <v>30.6</v>
      </c>
      <c r="AH318">
        <v>3</v>
      </c>
      <c r="AI318">
        <v>-1</v>
      </c>
      <c r="AJ318" t="s">
        <v>3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f>ROW(Source!A143)</f>
        <v>143</v>
      </c>
      <c r="B319">
        <v>56610698</v>
      </c>
      <c r="C319">
        <v>56610691</v>
      </c>
      <c r="D319">
        <v>30394098</v>
      </c>
      <c r="E319">
        <v>1</v>
      </c>
      <c r="F319">
        <v>1</v>
      </c>
      <c r="G319">
        <v>27786564</v>
      </c>
      <c r="H319">
        <v>3</v>
      </c>
      <c r="I319" t="s">
        <v>580</v>
      </c>
      <c r="J319" t="s">
        <v>581</v>
      </c>
      <c r="K319" t="s">
        <v>582</v>
      </c>
      <c r="L319">
        <v>1296</v>
      </c>
      <c r="N319">
        <v>1013</v>
      </c>
      <c r="O319" t="s">
        <v>583</v>
      </c>
      <c r="P319" t="s">
        <v>583</v>
      </c>
      <c r="Q319">
        <v>1</v>
      </c>
      <c r="X319">
        <v>5</v>
      </c>
      <c r="Y319">
        <v>16.260000000000002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 t="s">
        <v>3</v>
      </c>
      <c r="AG319">
        <v>5</v>
      </c>
      <c r="AH319">
        <v>3</v>
      </c>
      <c r="AI319">
        <v>-1</v>
      </c>
      <c r="AJ319" t="s">
        <v>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f>ROW(Source!A143)</f>
        <v>143</v>
      </c>
      <c r="B320">
        <v>56610699</v>
      </c>
      <c r="C320">
        <v>56610691</v>
      </c>
      <c r="D320">
        <v>46735801</v>
      </c>
      <c r="E320">
        <v>1</v>
      </c>
      <c r="F320">
        <v>1</v>
      </c>
      <c r="G320">
        <v>27786564</v>
      </c>
      <c r="H320">
        <v>3</v>
      </c>
      <c r="I320" t="s">
        <v>590</v>
      </c>
      <c r="J320" t="s">
        <v>591</v>
      </c>
      <c r="K320" t="s">
        <v>592</v>
      </c>
      <c r="L320">
        <v>1355</v>
      </c>
      <c r="N320">
        <v>1010</v>
      </c>
      <c r="O320" t="s">
        <v>593</v>
      </c>
      <c r="P320" t="s">
        <v>593</v>
      </c>
      <c r="Q320">
        <v>100</v>
      </c>
      <c r="X320">
        <v>2</v>
      </c>
      <c r="Y320">
        <v>59.47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 t="s">
        <v>3</v>
      </c>
      <c r="AG320">
        <v>2</v>
      </c>
      <c r="AH320">
        <v>3</v>
      </c>
      <c r="AI320">
        <v>-1</v>
      </c>
      <c r="AJ320" t="s">
        <v>3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f>ROW(Source!A143)</f>
        <v>143</v>
      </c>
      <c r="B321">
        <v>56610700</v>
      </c>
      <c r="C321">
        <v>56610691</v>
      </c>
      <c r="D321">
        <v>30382931</v>
      </c>
      <c r="E321">
        <v>27786564</v>
      </c>
      <c r="F321">
        <v>1</v>
      </c>
      <c r="G321">
        <v>27786564</v>
      </c>
      <c r="H321">
        <v>3</v>
      </c>
      <c r="I321" t="s">
        <v>594</v>
      </c>
      <c r="J321" t="s">
        <v>3</v>
      </c>
      <c r="K321" t="s">
        <v>595</v>
      </c>
      <c r="L321">
        <v>1391</v>
      </c>
      <c r="N321">
        <v>1013</v>
      </c>
      <c r="O321" t="s">
        <v>241</v>
      </c>
      <c r="P321" t="s">
        <v>241</v>
      </c>
      <c r="Q321">
        <v>1</v>
      </c>
      <c r="X321">
        <v>100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 t="s">
        <v>3</v>
      </c>
      <c r="AG321">
        <v>100</v>
      </c>
      <c r="AH321">
        <v>3</v>
      </c>
      <c r="AI321">
        <v>-1</v>
      </c>
      <c r="AJ321" t="s">
        <v>3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f>ROW(Source!A144)</f>
        <v>144</v>
      </c>
      <c r="B322">
        <v>56610692</v>
      </c>
      <c r="C322">
        <v>56610691</v>
      </c>
      <c r="D322">
        <v>47634407</v>
      </c>
      <c r="E322">
        <v>27786564</v>
      </c>
      <c r="F322">
        <v>1</v>
      </c>
      <c r="G322">
        <v>27786564</v>
      </c>
      <c r="H322">
        <v>1</v>
      </c>
      <c r="I322" t="s">
        <v>452</v>
      </c>
      <c r="J322" t="s">
        <v>3</v>
      </c>
      <c r="K322" t="s">
        <v>453</v>
      </c>
      <c r="L322">
        <v>1191</v>
      </c>
      <c r="N322">
        <v>1013</v>
      </c>
      <c r="O322" t="s">
        <v>454</v>
      </c>
      <c r="P322" t="s">
        <v>454</v>
      </c>
      <c r="Q322">
        <v>1</v>
      </c>
      <c r="X322">
        <v>155.88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1</v>
      </c>
      <c r="AF322" t="s">
        <v>22</v>
      </c>
      <c r="AG322">
        <v>163.67400000000001</v>
      </c>
      <c r="AH322">
        <v>3</v>
      </c>
      <c r="AI322">
        <v>-1</v>
      </c>
      <c r="AJ322" t="s">
        <v>3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">
      <c r="A323">
        <f>ROW(Source!A144)</f>
        <v>144</v>
      </c>
      <c r="B323">
        <v>56610693</v>
      </c>
      <c r="C323">
        <v>56610691</v>
      </c>
      <c r="D323">
        <v>30415180</v>
      </c>
      <c r="E323">
        <v>1</v>
      </c>
      <c r="F323">
        <v>1</v>
      </c>
      <c r="G323">
        <v>27786564</v>
      </c>
      <c r="H323">
        <v>2</v>
      </c>
      <c r="I323" t="s">
        <v>586</v>
      </c>
      <c r="J323" t="s">
        <v>587</v>
      </c>
      <c r="K323" t="s">
        <v>588</v>
      </c>
      <c r="L323">
        <v>1367</v>
      </c>
      <c r="N323">
        <v>1011</v>
      </c>
      <c r="O323" t="s">
        <v>589</v>
      </c>
      <c r="P323" t="s">
        <v>589</v>
      </c>
      <c r="Q323">
        <v>1</v>
      </c>
      <c r="X323">
        <v>19.72</v>
      </c>
      <c r="Y323">
        <v>0</v>
      </c>
      <c r="Z323">
        <v>36.08</v>
      </c>
      <c r="AA323">
        <v>3.1</v>
      </c>
      <c r="AB323">
        <v>0</v>
      </c>
      <c r="AC323">
        <v>0</v>
      </c>
      <c r="AD323">
        <v>1</v>
      </c>
      <c r="AE323">
        <v>0</v>
      </c>
      <c r="AF323" t="s">
        <v>22</v>
      </c>
      <c r="AG323">
        <v>20.706</v>
      </c>
      <c r="AH323">
        <v>3</v>
      </c>
      <c r="AI323">
        <v>-1</v>
      </c>
      <c r="AJ323" t="s">
        <v>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f>ROW(Source!A144)</f>
        <v>144</v>
      </c>
      <c r="B324">
        <v>56610694</v>
      </c>
      <c r="C324">
        <v>56610691</v>
      </c>
      <c r="D324">
        <v>47767106</v>
      </c>
      <c r="E324">
        <v>1</v>
      </c>
      <c r="F324">
        <v>1</v>
      </c>
      <c r="G324">
        <v>27786564</v>
      </c>
      <c r="H324">
        <v>2</v>
      </c>
      <c r="I324" t="s">
        <v>455</v>
      </c>
      <c r="J324" t="s">
        <v>456</v>
      </c>
      <c r="K324" t="s">
        <v>457</v>
      </c>
      <c r="L324">
        <v>1368</v>
      </c>
      <c r="N324">
        <v>1011</v>
      </c>
      <c r="O324" t="s">
        <v>458</v>
      </c>
      <c r="P324" t="s">
        <v>458</v>
      </c>
      <c r="Q324">
        <v>1</v>
      </c>
      <c r="X324">
        <v>0.05</v>
      </c>
      <c r="Y324">
        <v>0</v>
      </c>
      <c r="Z324">
        <v>83.1</v>
      </c>
      <c r="AA324">
        <v>12.62</v>
      </c>
      <c r="AB324">
        <v>0</v>
      </c>
      <c r="AC324">
        <v>0</v>
      </c>
      <c r="AD324">
        <v>1</v>
      </c>
      <c r="AE324">
        <v>0</v>
      </c>
      <c r="AF324" t="s">
        <v>22</v>
      </c>
      <c r="AG324">
        <v>5.2500000000000005E-2</v>
      </c>
      <c r="AH324">
        <v>3</v>
      </c>
      <c r="AI324">
        <v>-1</v>
      </c>
      <c r="AJ324" t="s">
        <v>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f>ROW(Source!A144)</f>
        <v>144</v>
      </c>
      <c r="B325">
        <v>56610695</v>
      </c>
      <c r="C325">
        <v>56610691</v>
      </c>
      <c r="D325">
        <v>30390462</v>
      </c>
      <c r="E325">
        <v>1</v>
      </c>
      <c r="F325">
        <v>1</v>
      </c>
      <c r="G325">
        <v>27786564</v>
      </c>
      <c r="H325">
        <v>3</v>
      </c>
      <c r="I325" t="s">
        <v>508</v>
      </c>
      <c r="J325" t="s">
        <v>509</v>
      </c>
      <c r="K325" t="s">
        <v>510</v>
      </c>
      <c r="L325">
        <v>1346</v>
      </c>
      <c r="N325">
        <v>1009</v>
      </c>
      <c r="O325" t="s">
        <v>101</v>
      </c>
      <c r="P325" t="s">
        <v>101</v>
      </c>
      <c r="Q325">
        <v>1</v>
      </c>
      <c r="X325">
        <v>10</v>
      </c>
      <c r="Y325">
        <v>1.61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 t="s">
        <v>3</v>
      </c>
      <c r="AG325">
        <v>10</v>
      </c>
      <c r="AH325">
        <v>3</v>
      </c>
      <c r="AI325">
        <v>-1</v>
      </c>
      <c r="AJ325" t="s">
        <v>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f>ROW(Source!A144)</f>
        <v>144</v>
      </c>
      <c r="B326">
        <v>56610696</v>
      </c>
      <c r="C326">
        <v>56610691</v>
      </c>
      <c r="D326">
        <v>46724002</v>
      </c>
      <c r="E326">
        <v>1</v>
      </c>
      <c r="F326">
        <v>1</v>
      </c>
      <c r="G326">
        <v>27786564</v>
      </c>
      <c r="H326">
        <v>3</v>
      </c>
      <c r="I326" t="s">
        <v>574</v>
      </c>
      <c r="J326" t="s">
        <v>575</v>
      </c>
      <c r="K326" t="s">
        <v>576</v>
      </c>
      <c r="L326">
        <v>1327</v>
      </c>
      <c r="N326">
        <v>1005</v>
      </c>
      <c r="O326" t="s">
        <v>514</v>
      </c>
      <c r="P326" t="s">
        <v>514</v>
      </c>
      <c r="Q326">
        <v>1</v>
      </c>
      <c r="X326">
        <v>1</v>
      </c>
      <c r="Y326">
        <v>127.33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 t="s">
        <v>3</v>
      </c>
      <c r="AG326">
        <v>1</v>
      </c>
      <c r="AH326">
        <v>3</v>
      </c>
      <c r="AI326">
        <v>-1</v>
      </c>
      <c r="AJ326" t="s">
        <v>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">
      <c r="A327">
        <f>ROW(Source!A144)</f>
        <v>144</v>
      </c>
      <c r="B327">
        <v>56610697</v>
      </c>
      <c r="C327">
        <v>56610691</v>
      </c>
      <c r="D327">
        <v>37620224</v>
      </c>
      <c r="E327">
        <v>1</v>
      </c>
      <c r="F327">
        <v>1</v>
      </c>
      <c r="G327">
        <v>27786564</v>
      </c>
      <c r="H327">
        <v>3</v>
      </c>
      <c r="I327" t="s">
        <v>569</v>
      </c>
      <c r="J327" t="s">
        <v>570</v>
      </c>
      <c r="K327" t="s">
        <v>571</v>
      </c>
      <c r="L327">
        <v>1346</v>
      </c>
      <c r="N327">
        <v>1009</v>
      </c>
      <c r="O327" t="s">
        <v>101</v>
      </c>
      <c r="P327" t="s">
        <v>101</v>
      </c>
      <c r="Q327">
        <v>1</v>
      </c>
      <c r="X327">
        <v>30.6</v>
      </c>
      <c r="Y327">
        <v>6.27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 t="s">
        <v>3</v>
      </c>
      <c r="AG327">
        <v>30.6</v>
      </c>
      <c r="AH327">
        <v>3</v>
      </c>
      <c r="AI327">
        <v>-1</v>
      </c>
      <c r="AJ327" t="s">
        <v>3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f>ROW(Source!A144)</f>
        <v>144</v>
      </c>
      <c r="B328">
        <v>56610698</v>
      </c>
      <c r="C328">
        <v>56610691</v>
      </c>
      <c r="D328">
        <v>30394098</v>
      </c>
      <c r="E328">
        <v>1</v>
      </c>
      <c r="F328">
        <v>1</v>
      </c>
      <c r="G328">
        <v>27786564</v>
      </c>
      <c r="H328">
        <v>3</v>
      </c>
      <c r="I328" t="s">
        <v>580</v>
      </c>
      <c r="J328" t="s">
        <v>581</v>
      </c>
      <c r="K328" t="s">
        <v>582</v>
      </c>
      <c r="L328">
        <v>1296</v>
      </c>
      <c r="N328">
        <v>1013</v>
      </c>
      <c r="O328" t="s">
        <v>583</v>
      </c>
      <c r="P328" t="s">
        <v>583</v>
      </c>
      <c r="Q328">
        <v>1</v>
      </c>
      <c r="X328">
        <v>5</v>
      </c>
      <c r="Y328">
        <v>16.260000000000002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 t="s">
        <v>3</v>
      </c>
      <c r="AG328">
        <v>5</v>
      </c>
      <c r="AH328">
        <v>3</v>
      </c>
      <c r="AI328">
        <v>-1</v>
      </c>
      <c r="AJ328" t="s">
        <v>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">
      <c r="A329">
        <f>ROW(Source!A144)</f>
        <v>144</v>
      </c>
      <c r="B329">
        <v>56610699</v>
      </c>
      <c r="C329">
        <v>56610691</v>
      </c>
      <c r="D329">
        <v>46735801</v>
      </c>
      <c r="E329">
        <v>1</v>
      </c>
      <c r="F329">
        <v>1</v>
      </c>
      <c r="G329">
        <v>27786564</v>
      </c>
      <c r="H329">
        <v>3</v>
      </c>
      <c r="I329" t="s">
        <v>590</v>
      </c>
      <c r="J329" t="s">
        <v>591</v>
      </c>
      <c r="K329" t="s">
        <v>592</v>
      </c>
      <c r="L329">
        <v>1355</v>
      </c>
      <c r="N329">
        <v>1010</v>
      </c>
      <c r="O329" t="s">
        <v>593</v>
      </c>
      <c r="P329" t="s">
        <v>593</v>
      </c>
      <c r="Q329">
        <v>100</v>
      </c>
      <c r="X329">
        <v>2</v>
      </c>
      <c r="Y329">
        <v>59.47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 t="s">
        <v>3</v>
      </c>
      <c r="AG329">
        <v>2</v>
      </c>
      <c r="AH329">
        <v>3</v>
      </c>
      <c r="AI329">
        <v>-1</v>
      </c>
      <c r="AJ329" t="s">
        <v>3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>
        <f>ROW(Source!A144)</f>
        <v>144</v>
      </c>
      <c r="B330">
        <v>56610700</v>
      </c>
      <c r="C330">
        <v>56610691</v>
      </c>
      <c r="D330">
        <v>30382931</v>
      </c>
      <c r="E330">
        <v>27786564</v>
      </c>
      <c r="F330">
        <v>1</v>
      </c>
      <c r="G330">
        <v>27786564</v>
      </c>
      <c r="H330">
        <v>3</v>
      </c>
      <c r="I330" t="s">
        <v>594</v>
      </c>
      <c r="J330" t="s">
        <v>3</v>
      </c>
      <c r="K330" t="s">
        <v>595</v>
      </c>
      <c r="L330">
        <v>1391</v>
      </c>
      <c r="N330">
        <v>1013</v>
      </c>
      <c r="O330" t="s">
        <v>241</v>
      </c>
      <c r="P330" t="s">
        <v>241</v>
      </c>
      <c r="Q330">
        <v>1</v>
      </c>
      <c r="X330">
        <v>100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 t="s">
        <v>3</v>
      </c>
      <c r="AG330">
        <v>100</v>
      </c>
      <c r="AH330">
        <v>3</v>
      </c>
      <c r="AI330">
        <v>-1</v>
      </c>
      <c r="AJ330" t="s">
        <v>3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">
      <c r="A331">
        <f>ROW(Source!A186)</f>
        <v>186</v>
      </c>
      <c r="B331">
        <v>56610703</v>
      </c>
      <c r="C331">
        <v>56610702</v>
      </c>
      <c r="D331">
        <v>47634407</v>
      </c>
      <c r="E331">
        <v>27786564</v>
      </c>
      <c r="F331">
        <v>1</v>
      </c>
      <c r="G331">
        <v>27786564</v>
      </c>
      <c r="H331">
        <v>1</v>
      </c>
      <c r="I331" t="s">
        <v>452</v>
      </c>
      <c r="J331" t="s">
        <v>3</v>
      </c>
      <c r="K331" t="s">
        <v>453</v>
      </c>
      <c r="L331">
        <v>1191</v>
      </c>
      <c r="N331">
        <v>1013</v>
      </c>
      <c r="O331" t="s">
        <v>454</v>
      </c>
      <c r="P331" t="s">
        <v>454</v>
      </c>
      <c r="Q331">
        <v>1</v>
      </c>
      <c r="X331">
        <v>155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1</v>
      </c>
      <c r="AF331" t="s">
        <v>22</v>
      </c>
      <c r="AG331">
        <v>162.75</v>
      </c>
      <c r="AH331">
        <v>3</v>
      </c>
      <c r="AI331">
        <v>-1</v>
      </c>
      <c r="AJ331" t="s">
        <v>3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f>ROW(Source!A186)</f>
        <v>186</v>
      </c>
      <c r="B332">
        <v>56610704</v>
      </c>
      <c r="C332">
        <v>56610702</v>
      </c>
      <c r="D332">
        <v>47766768</v>
      </c>
      <c r="E332">
        <v>1</v>
      </c>
      <c r="F332">
        <v>1</v>
      </c>
      <c r="G332">
        <v>27786564</v>
      </c>
      <c r="H332">
        <v>2</v>
      </c>
      <c r="I332" t="s">
        <v>596</v>
      </c>
      <c r="J332" t="s">
        <v>597</v>
      </c>
      <c r="K332" t="s">
        <v>598</v>
      </c>
      <c r="L332">
        <v>1368</v>
      </c>
      <c r="N332">
        <v>1011</v>
      </c>
      <c r="O332" t="s">
        <v>458</v>
      </c>
      <c r="P332" t="s">
        <v>458</v>
      </c>
      <c r="Q332">
        <v>1</v>
      </c>
      <c r="X332">
        <v>37.5</v>
      </c>
      <c r="Y332">
        <v>0</v>
      </c>
      <c r="Z332">
        <v>41.45</v>
      </c>
      <c r="AA332">
        <v>12.62</v>
      </c>
      <c r="AB332">
        <v>0</v>
      </c>
      <c r="AC332">
        <v>0</v>
      </c>
      <c r="AD332">
        <v>1</v>
      </c>
      <c r="AE332">
        <v>0</v>
      </c>
      <c r="AF332" t="s">
        <v>22</v>
      </c>
      <c r="AG332">
        <v>39.375</v>
      </c>
      <c r="AH332">
        <v>3</v>
      </c>
      <c r="AI332">
        <v>-1</v>
      </c>
      <c r="AJ332" t="s">
        <v>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">
      <c r="A333">
        <f>ROW(Source!A186)</f>
        <v>186</v>
      </c>
      <c r="B333">
        <v>56610705</v>
      </c>
      <c r="C333">
        <v>56610702</v>
      </c>
      <c r="D333">
        <v>47767181</v>
      </c>
      <c r="E333">
        <v>1</v>
      </c>
      <c r="F333">
        <v>1</v>
      </c>
      <c r="G333">
        <v>27786564</v>
      </c>
      <c r="H333">
        <v>2</v>
      </c>
      <c r="I333" t="s">
        <v>599</v>
      </c>
      <c r="J333" t="s">
        <v>600</v>
      </c>
      <c r="K333" t="s">
        <v>601</v>
      </c>
      <c r="L333">
        <v>1368</v>
      </c>
      <c r="N333">
        <v>1011</v>
      </c>
      <c r="O333" t="s">
        <v>458</v>
      </c>
      <c r="P333" t="s">
        <v>458</v>
      </c>
      <c r="Q333">
        <v>1</v>
      </c>
      <c r="X333">
        <v>75</v>
      </c>
      <c r="Y333">
        <v>0</v>
      </c>
      <c r="Z333">
        <v>0.5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22</v>
      </c>
      <c r="AG333">
        <v>78.75</v>
      </c>
      <c r="AH333">
        <v>3</v>
      </c>
      <c r="AI333">
        <v>-1</v>
      </c>
      <c r="AJ333" t="s">
        <v>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f>ROW(Source!A186)</f>
        <v>186</v>
      </c>
      <c r="B334">
        <v>56610706</v>
      </c>
      <c r="C334">
        <v>56610702</v>
      </c>
      <c r="D334">
        <v>47766620</v>
      </c>
      <c r="E334">
        <v>1</v>
      </c>
      <c r="F334">
        <v>1</v>
      </c>
      <c r="G334">
        <v>27786564</v>
      </c>
      <c r="H334">
        <v>2</v>
      </c>
      <c r="I334" t="s">
        <v>602</v>
      </c>
      <c r="J334" t="s">
        <v>603</v>
      </c>
      <c r="K334" t="s">
        <v>604</v>
      </c>
      <c r="L334">
        <v>1368</v>
      </c>
      <c r="N334">
        <v>1011</v>
      </c>
      <c r="O334" t="s">
        <v>458</v>
      </c>
      <c r="P334" t="s">
        <v>458</v>
      </c>
      <c r="Q334">
        <v>1</v>
      </c>
      <c r="X334">
        <v>1.55</v>
      </c>
      <c r="Y334">
        <v>0</v>
      </c>
      <c r="Z334">
        <v>219.56</v>
      </c>
      <c r="AA334">
        <v>18.62</v>
      </c>
      <c r="AB334">
        <v>0</v>
      </c>
      <c r="AC334">
        <v>0</v>
      </c>
      <c r="AD334">
        <v>1</v>
      </c>
      <c r="AE334">
        <v>0</v>
      </c>
      <c r="AF334" t="s">
        <v>22</v>
      </c>
      <c r="AG334">
        <v>1.6275000000000002</v>
      </c>
      <c r="AH334">
        <v>3</v>
      </c>
      <c r="AI334">
        <v>-1</v>
      </c>
      <c r="AJ334" t="s">
        <v>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">
      <c r="A335">
        <f>ROW(Source!A186)</f>
        <v>186</v>
      </c>
      <c r="B335">
        <v>56610707</v>
      </c>
      <c r="C335">
        <v>56610702</v>
      </c>
      <c r="D335">
        <v>47634960</v>
      </c>
      <c r="E335">
        <v>27786564</v>
      </c>
      <c r="F335">
        <v>1</v>
      </c>
      <c r="G335">
        <v>27786564</v>
      </c>
      <c r="H335">
        <v>2</v>
      </c>
      <c r="I335" t="s">
        <v>468</v>
      </c>
      <c r="J335" t="s">
        <v>3</v>
      </c>
      <c r="K335" t="s">
        <v>469</v>
      </c>
      <c r="L335">
        <v>1344</v>
      </c>
      <c r="N335">
        <v>1008</v>
      </c>
      <c r="O335" t="s">
        <v>470</v>
      </c>
      <c r="P335" t="s">
        <v>470</v>
      </c>
      <c r="Q335">
        <v>1</v>
      </c>
      <c r="X335">
        <v>3.74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22</v>
      </c>
      <c r="AG335">
        <v>3.9270000000000005</v>
      </c>
      <c r="AH335">
        <v>3</v>
      </c>
      <c r="AI335">
        <v>-1</v>
      </c>
      <c r="AJ335" t="s">
        <v>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">
      <c r="A336">
        <f>ROW(Source!A187)</f>
        <v>187</v>
      </c>
      <c r="B336">
        <v>56610703</v>
      </c>
      <c r="C336">
        <v>56610702</v>
      </c>
      <c r="D336">
        <v>47634407</v>
      </c>
      <c r="E336">
        <v>27786564</v>
      </c>
      <c r="F336">
        <v>1</v>
      </c>
      <c r="G336">
        <v>27786564</v>
      </c>
      <c r="H336">
        <v>1</v>
      </c>
      <c r="I336" t="s">
        <v>452</v>
      </c>
      <c r="J336" t="s">
        <v>3</v>
      </c>
      <c r="K336" t="s">
        <v>453</v>
      </c>
      <c r="L336">
        <v>1191</v>
      </c>
      <c r="N336">
        <v>1013</v>
      </c>
      <c r="O336" t="s">
        <v>454</v>
      </c>
      <c r="P336" t="s">
        <v>454</v>
      </c>
      <c r="Q336">
        <v>1</v>
      </c>
      <c r="X336">
        <v>155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1</v>
      </c>
      <c r="AF336" t="s">
        <v>22</v>
      </c>
      <c r="AG336">
        <v>162.75</v>
      </c>
      <c r="AH336">
        <v>3</v>
      </c>
      <c r="AI336">
        <v>-1</v>
      </c>
      <c r="AJ336" t="s">
        <v>3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">
      <c r="A337">
        <f>ROW(Source!A187)</f>
        <v>187</v>
      </c>
      <c r="B337">
        <v>56610704</v>
      </c>
      <c r="C337">
        <v>56610702</v>
      </c>
      <c r="D337">
        <v>47766768</v>
      </c>
      <c r="E337">
        <v>1</v>
      </c>
      <c r="F337">
        <v>1</v>
      </c>
      <c r="G337">
        <v>27786564</v>
      </c>
      <c r="H337">
        <v>2</v>
      </c>
      <c r="I337" t="s">
        <v>596</v>
      </c>
      <c r="J337" t="s">
        <v>597</v>
      </c>
      <c r="K337" t="s">
        <v>598</v>
      </c>
      <c r="L337">
        <v>1368</v>
      </c>
      <c r="N337">
        <v>1011</v>
      </c>
      <c r="O337" t="s">
        <v>458</v>
      </c>
      <c r="P337" t="s">
        <v>458</v>
      </c>
      <c r="Q337">
        <v>1</v>
      </c>
      <c r="X337">
        <v>37.5</v>
      </c>
      <c r="Y337">
        <v>0</v>
      </c>
      <c r="Z337">
        <v>41.45</v>
      </c>
      <c r="AA337">
        <v>12.62</v>
      </c>
      <c r="AB337">
        <v>0</v>
      </c>
      <c r="AC337">
        <v>0</v>
      </c>
      <c r="AD337">
        <v>1</v>
      </c>
      <c r="AE337">
        <v>0</v>
      </c>
      <c r="AF337" t="s">
        <v>22</v>
      </c>
      <c r="AG337">
        <v>39.375</v>
      </c>
      <c r="AH337">
        <v>3</v>
      </c>
      <c r="AI337">
        <v>-1</v>
      </c>
      <c r="AJ337" t="s">
        <v>3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">
      <c r="A338">
        <f>ROW(Source!A187)</f>
        <v>187</v>
      </c>
      <c r="B338">
        <v>56610705</v>
      </c>
      <c r="C338">
        <v>56610702</v>
      </c>
      <c r="D338">
        <v>47767181</v>
      </c>
      <c r="E338">
        <v>1</v>
      </c>
      <c r="F338">
        <v>1</v>
      </c>
      <c r="G338">
        <v>27786564</v>
      </c>
      <c r="H338">
        <v>2</v>
      </c>
      <c r="I338" t="s">
        <v>599</v>
      </c>
      <c r="J338" t="s">
        <v>600</v>
      </c>
      <c r="K338" t="s">
        <v>601</v>
      </c>
      <c r="L338">
        <v>1368</v>
      </c>
      <c r="N338">
        <v>1011</v>
      </c>
      <c r="O338" t="s">
        <v>458</v>
      </c>
      <c r="P338" t="s">
        <v>458</v>
      </c>
      <c r="Q338">
        <v>1</v>
      </c>
      <c r="X338">
        <v>75</v>
      </c>
      <c r="Y338">
        <v>0</v>
      </c>
      <c r="Z338">
        <v>0.5</v>
      </c>
      <c r="AA338">
        <v>0</v>
      </c>
      <c r="AB338">
        <v>0</v>
      </c>
      <c r="AC338">
        <v>0</v>
      </c>
      <c r="AD338">
        <v>1</v>
      </c>
      <c r="AE338">
        <v>0</v>
      </c>
      <c r="AF338" t="s">
        <v>22</v>
      </c>
      <c r="AG338">
        <v>78.75</v>
      </c>
      <c r="AH338">
        <v>3</v>
      </c>
      <c r="AI338">
        <v>-1</v>
      </c>
      <c r="AJ338" t="s">
        <v>3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">
      <c r="A339">
        <f>ROW(Source!A187)</f>
        <v>187</v>
      </c>
      <c r="B339">
        <v>56610706</v>
      </c>
      <c r="C339">
        <v>56610702</v>
      </c>
      <c r="D339">
        <v>47766620</v>
      </c>
      <c r="E339">
        <v>1</v>
      </c>
      <c r="F339">
        <v>1</v>
      </c>
      <c r="G339">
        <v>27786564</v>
      </c>
      <c r="H339">
        <v>2</v>
      </c>
      <c r="I339" t="s">
        <v>602</v>
      </c>
      <c r="J339" t="s">
        <v>603</v>
      </c>
      <c r="K339" t="s">
        <v>604</v>
      </c>
      <c r="L339">
        <v>1368</v>
      </c>
      <c r="N339">
        <v>1011</v>
      </c>
      <c r="O339" t="s">
        <v>458</v>
      </c>
      <c r="P339" t="s">
        <v>458</v>
      </c>
      <c r="Q339">
        <v>1</v>
      </c>
      <c r="X339">
        <v>1.55</v>
      </c>
      <c r="Y339">
        <v>0</v>
      </c>
      <c r="Z339">
        <v>219.56</v>
      </c>
      <c r="AA339">
        <v>18.62</v>
      </c>
      <c r="AB339">
        <v>0</v>
      </c>
      <c r="AC339">
        <v>0</v>
      </c>
      <c r="AD339">
        <v>1</v>
      </c>
      <c r="AE339">
        <v>0</v>
      </c>
      <c r="AF339" t="s">
        <v>22</v>
      </c>
      <c r="AG339">
        <v>1.6275000000000002</v>
      </c>
      <c r="AH339">
        <v>3</v>
      </c>
      <c r="AI339">
        <v>-1</v>
      </c>
      <c r="AJ339" t="s">
        <v>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>
        <f>ROW(Source!A187)</f>
        <v>187</v>
      </c>
      <c r="B340">
        <v>56610707</v>
      </c>
      <c r="C340">
        <v>56610702</v>
      </c>
      <c r="D340">
        <v>47634960</v>
      </c>
      <c r="E340">
        <v>27786564</v>
      </c>
      <c r="F340">
        <v>1</v>
      </c>
      <c r="G340">
        <v>27786564</v>
      </c>
      <c r="H340">
        <v>2</v>
      </c>
      <c r="I340" t="s">
        <v>468</v>
      </c>
      <c r="J340" t="s">
        <v>3</v>
      </c>
      <c r="K340" t="s">
        <v>469</v>
      </c>
      <c r="L340">
        <v>1344</v>
      </c>
      <c r="N340">
        <v>1008</v>
      </c>
      <c r="O340" t="s">
        <v>470</v>
      </c>
      <c r="P340" t="s">
        <v>470</v>
      </c>
      <c r="Q340">
        <v>1</v>
      </c>
      <c r="X340">
        <v>3.74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1</v>
      </c>
      <c r="AE340">
        <v>0</v>
      </c>
      <c r="AF340" t="s">
        <v>22</v>
      </c>
      <c r="AG340">
        <v>3.9270000000000005</v>
      </c>
      <c r="AH340">
        <v>3</v>
      </c>
      <c r="AI340">
        <v>-1</v>
      </c>
      <c r="AJ340" t="s">
        <v>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">
      <c r="A341">
        <f>ROW(Source!A188)</f>
        <v>188</v>
      </c>
      <c r="B341">
        <v>56610709</v>
      </c>
      <c r="C341">
        <v>56610708</v>
      </c>
      <c r="D341">
        <v>47634407</v>
      </c>
      <c r="E341">
        <v>27786564</v>
      </c>
      <c r="F341">
        <v>1</v>
      </c>
      <c r="G341">
        <v>27786564</v>
      </c>
      <c r="H341">
        <v>1</v>
      </c>
      <c r="I341" t="s">
        <v>452</v>
      </c>
      <c r="J341" t="s">
        <v>3</v>
      </c>
      <c r="K341" t="s">
        <v>453</v>
      </c>
      <c r="L341">
        <v>1191</v>
      </c>
      <c r="N341">
        <v>1013</v>
      </c>
      <c r="O341" t="s">
        <v>454</v>
      </c>
      <c r="P341" t="s">
        <v>454</v>
      </c>
      <c r="Q341">
        <v>1</v>
      </c>
      <c r="X341">
        <v>49.5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1</v>
      </c>
      <c r="AF341" t="s">
        <v>22</v>
      </c>
      <c r="AG341">
        <v>51.975000000000001</v>
      </c>
      <c r="AH341">
        <v>3</v>
      </c>
      <c r="AI341">
        <v>-1</v>
      </c>
      <c r="AJ341" t="s">
        <v>3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">
      <c r="A342">
        <f>ROW(Source!A188)</f>
        <v>188</v>
      </c>
      <c r="B342">
        <v>56610710</v>
      </c>
      <c r="C342">
        <v>56610708</v>
      </c>
      <c r="D342">
        <v>47766400</v>
      </c>
      <c r="E342">
        <v>1</v>
      </c>
      <c r="F342">
        <v>1</v>
      </c>
      <c r="G342">
        <v>27786564</v>
      </c>
      <c r="H342">
        <v>2</v>
      </c>
      <c r="I342" t="s">
        <v>474</v>
      </c>
      <c r="J342" t="s">
        <v>475</v>
      </c>
      <c r="K342" t="s">
        <v>476</v>
      </c>
      <c r="L342">
        <v>1368</v>
      </c>
      <c r="N342">
        <v>1011</v>
      </c>
      <c r="O342" t="s">
        <v>458</v>
      </c>
      <c r="P342" t="s">
        <v>458</v>
      </c>
      <c r="Q342">
        <v>1</v>
      </c>
      <c r="X342">
        <v>2.87</v>
      </c>
      <c r="Y342">
        <v>0</v>
      </c>
      <c r="Z342">
        <v>145.59</v>
      </c>
      <c r="AA342">
        <v>14.54</v>
      </c>
      <c r="AB342">
        <v>0</v>
      </c>
      <c r="AC342">
        <v>0</v>
      </c>
      <c r="AD342">
        <v>1</v>
      </c>
      <c r="AE342">
        <v>0</v>
      </c>
      <c r="AF342" t="s">
        <v>22</v>
      </c>
      <c r="AG342">
        <v>3.0135000000000001</v>
      </c>
      <c r="AH342">
        <v>3</v>
      </c>
      <c r="AI342">
        <v>-1</v>
      </c>
      <c r="AJ342" t="s">
        <v>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">
      <c r="A343">
        <f>ROW(Source!A188)</f>
        <v>188</v>
      </c>
      <c r="B343">
        <v>56610711</v>
      </c>
      <c r="C343">
        <v>56610708</v>
      </c>
      <c r="D343">
        <v>47766383</v>
      </c>
      <c r="E343">
        <v>1</v>
      </c>
      <c r="F343">
        <v>1</v>
      </c>
      <c r="G343">
        <v>27786564</v>
      </c>
      <c r="H343">
        <v>2</v>
      </c>
      <c r="I343" t="s">
        <v>605</v>
      </c>
      <c r="J343" t="s">
        <v>606</v>
      </c>
      <c r="K343" t="s">
        <v>607</v>
      </c>
      <c r="L343">
        <v>1368</v>
      </c>
      <c r="N343">
        <v>1011</v>
      </c>
      <c r="O343" t="s">
        <v>458</v>
      </c>
      <c r="P343" t="s">
        <v>458</v>
      </c>
      <c r="Q343">
        <v>1</v>
      </c>
      <c r="X343">
        <v>7.86</v>
      </c>
      <c r="Y343">
        <v>0</v>
      </c>
      <c r="Z343">
        <v>245.8</v>
      </c>
      <c r="AA343">
        <v>16.93</v>
      </c>
      <c r="AB343">
        <v>0</v>
      </c>
      <c r="AC343">
        <v>0</v>
      </c>
      <c r="AD343">
        <v>1</v>
      </c>
      <c r="AE343">
        <v>0</v>
      </c>
      <c r="AF343" t="s">
        <v>22</v>
      </c>
      <c r="AG343">
        <v>8.2530000000000001</v>
      </c>
      <c r="AH343">
        <v>3</v>
      </c>
      <c r="AI343">
        <v>-1</v>
      </c>
      <c r="AJ343" t="s">
        <v>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">
      <c r="A344">
        <f>ROW(Source!A188)</f>
        <v>188</v>
      </c>
      <c r="B344">
        <v>56610712</v>
      </c>
      <c r="C344">
        <v>56610708</v>
      </c>
      <c r="D344">
        <v>47634960</v>
      </c>
      <c r="E344">
        <v>27786564</v>
      </c>
      <c r="F344">
        <v>1</v>
      </c>
      <c r="G344">
        <v>27786564</v>
      </c>
      <c r="H344">
        <v>2</v>
      </c>
      <c r="I344" t="s">
        <v>468</v>
      </c>
      <c r="J344" t="s">
        <v>3</v>
      </c>
      <c r="K344" t="s">
        <v>469</v>
      </c>
      <c r="L344">
        <v>1344</v>
      </c>
      <c r="N344">
        <v>1008</v>
      </c>
      <c r="O344" t="s">
        <v>470</v>
      </c>
      <c r="P344" t="s">
        <v>470</v>
      </c>
      <c r="Q344">
        <v>1</v>
      </c>
      <c r="X344">
        <v>5.21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22</v>
      </c>
      <c r="AG344">
        <v>5.4705000000000004</v>
      </c>
      <c r="AH344">
        <v>3</v>
      </c>
      <c r="AI344">
        <v>-1</v>
      </c>
      <c r="AJ344" t="s">
        <v>3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">
      <c r="A345">
        <f>ROW(Source!A189)</f>
        <v>189</v>
      </c>
      <c r="B345">
        <v>56610709</v>
      </c>
      <c r="C345">
        <v>56610708</v>
      </c>
      <c r="D345">
        <v>47634407</v>
      </c>
      <c r="E345">
        <v>27786564</v>
      </c>
      <c r="F345">
        <v>1</v>
      </c>
      <c r="G345">
        <v>27786564</v>
      </c>
      <c r="H345">
        <v>1</v>
      </c>
      <c r="I345" t="s">
        <v>452</v>
      </c>
      <c r="J345" t="s">
        <v>3</v>
      </c>
      <c r="K345" t="s">
        <v>453</v>
      </c>
      <c r="L345">
        <v>1191</v>
      </c>
      <c r="N345">
        <v>1013</v>
      </c>
      <c r="O345" t="s">
        <v>454</v>
      </c>
      <c r="P345" t="s">
        <v>454</v>
      </c>
      <c r="Q345">
        <v>1</v>
      </c>
      <c r="X345">
        <v>49.5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1</v>
      </c>
      <c r="AF345" t="s">
        <v>22</v>
      </c>
      <c r="AG345">
        <v>51.975000000000001</v>
      </c>
      <c r="AH345">
        <v>3</v>
      </c>
      <c r="AI345">
        <v>-1</v>
      </c>
      <c r="AJ345" t="s">
        <v>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">
      <c r="A346">
        <f>ROW(Source!A189)</f>
        <v>189</v>
      </c>
      <c r="B346">
        <v>56610710</v>
      </c>
      <c r="C346">
        <v>56610708</v>
      </c>
      <c r="D346">
        <v>47766400</v>
      </c>
      <c r="E346">
        <v>1</v>
      </c>
      <c r="F346">
        <v>1</v>
      </c>
      <c r="G346">
        <v>27786564</v>
      </c>
      <c r="H346">
        <v>2</v>
      </c>
      <c r="I346" t="s">
        <v>474</v>
      </c>
      <c r="J346" t="s">
        <v>475</v>
      </c>
      <c r="K346" t="s">
        <v>476</v>
      </c>
      <c r="L346">
        <v>1368</v>
      </c>
      <c r="N346">
        <v>1011</v>
      </c>
      <c r="O346" t="s">
        <v>458</v>
      </c>
      <c r="P346" t="s">
        <v>458</v>
      </c>
      <c r="Q346">
        <v>1</v>
      </c>
      <c r="X346">
        <v>2.87</v>
      </c>
      <c r="Y346">
        <v>0</v>
      </c>
      <c r="Z346">
        <v>145.59</v>
      </c>
      <c r="AA346">
        <v>14.54</v>
      </c>
      <c r="AB346">
        <v>0</v>
      </c>
      <c r="AC346">
        <v>0</v>
      </c>
      <c r="AD346">
        <v>1</v>
      </c>
      <c r="AE346">
        <v>0</v>
      </c>
      <c r="AF346" t="s">
        <v>22</v>
      </c>
      <c r="AG346">
        <v>3.0135000000000001</v>
      </c>
      <c r="AH346">
        <v>3</v>
      </c>
      <c r="AI346">
        <v>-1</v>
      </c>
      <c r="AJ346" t="s">
        <v>3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">
      <c r="A347">
        <f>ROW(Source!A189)</f>
        <v>189</v>
      </c>
      <c r="B347">
        <v>56610711</v>
      </c>
      <c r="C347">
        <v>56610708</v>
      </c>
      <c r="D347">
        <v>47766383</v>
      </c>
      <c r="E347">
        <v>1</v>
      </c>
      <c r="F347">
        <v>1</v>
      </c>
      <c r="G347">
        <v>27786564</v>
      </c>
      <c r="H347">
        <v>2</v>
      </c>
      <c r="I347" t="s">
        <v>605</v>
      </c>
      <c r="J347" t="s">
        <v>606</v>
      </c>
      <c r="K347" t="s">
        <v>607</v>
      </c>
      <c r="L347">
        <v>1368</v>
      </c>
      <c r="N347">
        <v>1011</v>
      </c>
      <c r="O347" t="s">
        <v>458</v>
      </c>
      <c r="P347" t="s">
        <v>458</v>
      </c>
      <c r="Q347">
        <v>1</v>
      </c>
      <c r="X347">
        <v>7.86</v>
      </c>
      <c r="Y347">
        <v>0</v>
      </c>
      <c r="Z347">
        <v>245.8</v>
      </c>
      <c r="AA347">
        <v>16.93</v>
      </c>
      <c r="AB347">
        <v>0</v>
      </c>
      <c r="AC347">
        <v>0</v>
      </c>
      <c r="AD347">
        <v>1</v>
      </c>
      <c r="AE347">
        <v>0</v>
      </c>
      <c r="AF347" t="s">
        <v>22</v>
      </c>
      <c r="AG347">
        <v>8.2530000000000001</v>
      </c>
      <c r="AH347">
        <v>3</v>
      </c>
      <c r="AI347">
        <v>-1</v>
      </c>
      <c r="AJ347" t="s">
        <v>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">
      <c r="A348">
        <f>ROW(Source!A189)</f>
        <v>189</v>
      </c>
      <c r="B348">
        <v>56610712</v>
      </c>
      <c r="C348">
        <v>56610708</v>
      </c>
      <c r="D348">
        <v>47634960</v>
      </c>
      <c r="E348">
        <v>27786564</v>
      </c>
      <c r="F348">
        <v>1</v>
      </c>
      <c r="G348">
        <v>27786564</v>
      </c>
      <c r="H348">
        <v>2</v>
      </c>
      <c r="I348" t="s">
        <v>468</v>
      </c>
      <c r="J348" t="s">
        <v>3</v>
      </c>
      <c r="K348" t="s">
        <v>469</v>
      </c>
      <c r="L348">
        <v>1344</v>
      </c>
      <c r="N348">
        <v>1008</v>
      </c>
      <c r="O348" t="s">
        <v>470</v>
      </c>
      <c r="P348" t="s">
        <v>470</v>
      </c>
      <c r="Q348">
        <v>1</v>
      </c>
      <c r="X348">
        <v>5.21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1</v>
      </c>
      <c r="AE348">
        <v>0</v>
      </c>
      <c r="AF348" t="s">
        <v>22</v>
      </c>
      <c r="AG348">
        <v>5.4705000000000004</v>
      </c>
      <c r="AH348">
        <v>3</v>
      </c>
      <c r="AI348">
        <v>-1</v>
      </c>
      <c r="AJ348" t="s">
        <v>3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">
      <c r="A349">
        <f>ROW(Source!A190)</f>
        <v>190</v>
      </c>
      <c r="B349">
        <v>56610714</v>
      </c>
      <c r="C349">
        <v>56610713</v>
      </c>
      <c r="D349">
        <v>47634960</v>
      </c>
      <c r="E349">
        <v>27786564</v>
      </c>
      <c r="F349">
        <v>1</v>
      </c>
      <c r="G349">
        <v>27786564</v>
      </c>
      <c r="H349">
        <v>2</v>
      </c>
      <c r="I349" t="s">
        <v>468</v>
      </c>
      <c r="J349" t="s">
        <v>3</v>
      </c>
      <c r="K349" t="s">
        <v>469</v>
      </c>
      <c r="L349">
        <v>1344</v>
      </c>
      <c r="N349">
        <v>1008</v>
      </c>
      <c r="O349" t="s">
        <v>470</v>
      </c>
      <c r="P349" t="s">
        <v>470</v>
      </c>
      <c r="Q349">
        <v>1</v>
      </c>
      <c r="X349">
        <v>8.86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22</v>
      </c>
      <c r="AG349">
        <v>9.302999999999999</v>
      </c>
      <c r="AH349">
        <v>3</v>
      </c>
      <c r="AI349">
        <v>-1</v>
      </c>
      <c r="AJ349" t="s">
        <v>3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">
      <c r="A350">
        <f>ROW(Source!A191)</f>
        <v>191</v>
      </c>
      <c r="B350">
        <v>56610714</v>
      </c>
      <c r="C350">
        <v>56610713</v>
      </c>
      <c r="D350">
        <v>47634960</v>
      </c>
      <c r="E350">
        <v>27786564</v>
      </c>
      <c r="F350">
        <v>1</v>
      </c>
      <c r="G350">
        <v>27786564</v>
      </c>
      <c r="H350">
        <v>2</v>
      </c>
      <c r="I350" t="s">
        <v>468</v>
      </c>
      <c r="J350" t="s">
        <v>3</v>
      </c>
      <c r="K350" t="s">
        <v>469</v>
      </c>
      <c r="L350">
        <v>1344</v>
      </c>
      <c r="N350">
        <v>1008</v>
      </c>
      <c r="O350" t="s">
        <v>470</v>
      </c>
      <c r="P350" t="s">
        <v>470</v>
      </c>
      <c r="Q350">
        <v>1</v>
      </c>
      <c r="X350">
        <v>8.86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22</v>
      </c>
      <c r="AG350">
        <v>9.302999999999999</v>
      </c>
      <c r="AH350">
        <v>3</v>
      </c>
      <c r="AI350">
        <v>-1</v>
      </c>
      <c r="AJ350" t="s">
        <v>3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">
      <c r="A351">
        <f>ROW(Source!A192)</f>
        <v>192</v>
      </c>
      <c r="B351">
        <v>56610717</v>
      </c>
      <c r="C351">
        <v>56610715</v>
      </c>
      <c r="D351">
        <v>47634407</v>
      </c>
      <c r="E351">
        <v>27786564</v>
      </c>
      <c r="F351">
        <v>1</v>
      </c>
      <c r="G351">
        <v>27786564</v>
      </c>
      <c r="H351">
        <v>1</v>
      </c>
      <c r="I351" t="s">
        <v>452</v>
      </c>
      <c r="J351" t="s">
        <v>3</v>
      </c>
      <c r="K351" t="s">
        <v>453</v>
      </c>
      <c r="L351">
        <v>1191</v>
      </c>
      <c r="N351">
        <v>1013</v>
      </c>
      <c r="O351" t="s">
        <v>454</v>
      </c>
      <c r="P351" t="s">
        <v>454</v>
      </c>
      <c r="Q351">
        <v>1</v>
      </c>
      <c r="X351">
        <v>14.4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1</v>
      </c>
      <c r="AF351" t="s">
        <v>22</v>
      </c>
      <c r="AG351">
        <v>15.120000000000001</v>
      </c>
      <c r="AH351">
        <v>3</v>
      </c>
      <c r="AI351">
        <v>-1</v>
      </c>
      <c r="AJ351" t="s">
        <v>3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">
      <c r="A352">
        <f>ROW(Source!A192)</f>
        <v>192</v>
      </c>
      <c r="B352">
        <v>56610718</v>
      </c>
      <c r="C352">
        <v>56610715</v>
      </c>
      <c r="D352">
        <v>47766419</v>
      </c>
      <c r="E352">
        <v>1</v>
      </c>
      <c r="F352">
        <v>1</v>
      </c>
      <c r="G352">
        <v>27786564</v>
      </c>
      <c r="H352">
        <v>2</v>
      </c>
      <c r="I352" t="s">
        <v>608</v>
      </c>
      <c r="J352" t="s">
        <v>609</v>
      </c>
      <c r="K352" t="s">
        <v>610</v>
      </c>
      <c r="L352">
        <v>1368</v>
      </c>
      <c r="N352">
        <v>1011</v>
      </c>
      <c r="O352" t="s">
        <v>458</v>
      </c>
      <c r="P352" t="s">
        <v>458</v>
      </c>
      <c r="Q352">
        <v>1</v>
      </c>
      <c r="X352">
        <v>1.66</v>
      </c>
      <c r="Y352">
        <v>0</v>
      </c>
      <c r="Z352">
        <v>120.32</v>
      </c>
      <c r="AA352">
        <v>12.62</v>
      </c>
      <c r="AB352">
        <v>0</v>
      </c>
      <c r="AC352">
        <v>0</v>
      </c>
      <c r="AD352">
        <v>1</v>
      </c>
      <c r="AE352">
        <v>0</v>
      </c>
      <c r="AF352" t="s">
        <v>22</v>
      </c>
      <c r="AG352">
        <v>1.7429999999999999</v>
      </c>
      <c r="AH352">
        <v>3</v>
      </c>
      <c r="AI352">
        <v>-1</v>
      </c>
      <c r="AJ352" t="s">
        <v>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">
      <c r="A353">
        <f>ROW(Source!A192)</f>
        <v>192</v>
      </c>
      <c r="B353">
        <v>56610719</v>
      </c>
      <c r="C353">
        <v>56610715</v>
      </c>
      <c r="D353">
        <v>47766660</v>
      </c>
      <c r="E353">
        <v>1</v>
      </c>
      <c r="F353">
        <v>1</v>
      </c>
      <c r="G353">
        <v>27786564</v>
      </c>
      <c r="H353">
        <v>2</v>
      </c>
      <c r="I353" t="s">
        <v>611</v>
      </c>
      <c r="J353" t="s">
        <v>612</v>
      </c>
      <c r="K353" t="s">
        <v>613</v>
      </c>
      <c r="L353">
        <v>1368</v>
      </c>
      <c r="N353">
        <v>1011</v>
      </c>
      <c r="O353" t="s">
        <v>458</v>
      </c>
      <c r="P353" t="s">
        <v>458</v>
      </c>
      <c r="Q353">
        <v>1</v>
      </c>
      <c r="X353">
        <v>1.66</v>
      </c>
      <c r="Y353">
        <v>0</v>
      </c>
      <c r="Z353">
        <v>281.32</v>
      </c>
      <c r="AA353">
        <v>16.93</v>
      </c>
      <c r="AB353">
        <v>0</v>
      </c>
      <c r="AC353">
        <v>0</v>
      </c>
      <c r="AD353">
        <v>1</v>
      </c>
      <c r="AE353">
        <v>0</v>
      </c>
      <c r="AF353" t="s">
        <v>22</v>
      </c>
      <c r="AG353">
        <v>1.7429999999999999</v>
      </c>
      <c r="AH353">
        <v>3</v>
      </c>
      <c r="AI353">
        <v>-1</v>
      </c>
      <c r="AJ353" t="s">
        <v>3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">
      <c r="A354">
        <f>ROW(Source!A192)</f>
        <v>192</v>
      </c>
      <c r="B354">
        <v>56610720</v>
      </c>
      <c r="C354">
        <v>56610715</v>
      </c>
      <c r="D354">
        <v>47766605</v>
      </c>
      <c r="E354">
        <v>1</v>
      </c>
      <c r="F354">
        <v>1</v>
      </c>
      <c r="G354">
        <v>27786564</v>
      </c>
      <c r="H354">
        <v>2</v>
      </c>
      <c r="I354" t="s">
        <v>614</v>
      </c>
      <c r="J354" t="s">
        <v>615</v>
      </c>
      <c r="K354" t="s">
        <v>616</v>
      </c>
      <c r="L354">
        <v>1368</v>
      </c>
      <c r="N354">
        <v>1011</v>
      </c>
      <c r="O354" t="s">
        <v>458</v>
      </c>
      <c r="P354" t="s">
        <v>458</v>
      </c>
      <c r="Q354">
        <v>1</v>
      </c>
      <c r="X354">
        <v>0.65</v>
      </c>
      <c r="Y354">
        <v>0</v>
      </c>
      <c r="Z354">
        <v>140.38</v>
      </c>
      <c r="AA354">
        <v>12.62</v>
      </c>
      <c r="AB354">
        <v>0</v>
      </c>
      <c r="AC354">
        <v>0</v>
      </c>
      <c r="AD354">
        <v>1</v>
      </c>
      <c r="AE354">
        <v>0</v>
      </c>
      <c r="AF354" t="s">
        <v>22</v>
      </c>
      <c r="AG354">
        <v>0.68250000000000011</v>
      </c>
      <c r="AH354">
        <v>3</v>
      </c>
      <c r="AI354">
        <v>-1</v>
      </c>
      <c r="AJ354" t="s">
        <v>3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">
      <c r="A355">
        <f>ROW(Source!A192)</f>
        <v>192</v>
      </c>
      <c r="B355">
        <v>56610721</v>
      </c>
      <c r="C355">
        <v>56610715</v>
      </c>
      <c r="D355">
        <v>47766620</v>
      </c>
      <c r="E355">
        <v>1</v>
      </c>
      <c r="F355">
        <v>1</v>
      </c>
      <c r="G355">
        <v>27786564</v>
      </c>
      <c r="H355">
        <v>2</v>
      </c>
      <c r="I355" t="s">
        <v>602</v>
      </c>
      <c r="J355" t="s">
        <v>603</v>
      </c>
      <c r="K355" t="s">
        <v>604</v>
      </c>
      <c r="L355">
        <v>1368</v>
      </c>
      <c r="N355">
        <v>1011</v>
      </c>
      <c r="O355" t="s">
        <v>458</v>
      </c>
      <c r="P355" t="s">
        <v>458</v>
      </c>
      <c r="Q355">
        <v>1</v>
      </c>
      <c r="X355">
        <v>1.55</v>
      </c>
      <c r="Y355">
        <v>0</v>
      </c>
      <c r="Z355">
        <v>219.56</v>
      </c>
      <c r="AA355">
        <v>18.62</v>
      </c>
      <c r="AB355">
        <v>0</v>
      </c>
      <c r="AC355">
        <v>0</v>
      </c>
      <c r="AD355">
        <v>1</v>
      </c>
      <c r="AE355">
        <v>0</v>
      </c>
      <c r="AF355" t="s">
        <v>22</v>
      </c>
      <c r="AG355">
        <v>1.6275000000000002</v>
      </c>
      <c r="AH355">
        <v>3</v>
      </c>
      <c r="AI355">
        <v>-1</v>
      </c>
      <c r="AJ355" t="s">
        <v>3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">
      <c r="A356">
        <f>ROW(Source!A192)</f>
        <v>192</v>
      </c>
      <c r="B356">
        <v>56610722</v>
      </c>
      <c r="C356">
        <v>56610715</v>
      </c>
      <c r="D356">
        <v>47766599</v>
      </c>
      <c r="E356">
        <v>1</v>
      </c>
      <c r="F356">
        <v>1</v>
      </c>
      <c r="G356">
        <v>27786564</v>
      </c>
      <c r="H356">
        <v>2</v>
      </c>
      <c r="I356" t="s">
        <v>617</v>
      </c>
      <c r="J356" t="s">
        <v>618</v>
      </c>
      <c r="K356" t="s">
        <v>619</v>
      </c>
      <c r="L356">
        <v>1368</v>
      </c>
      <c r="N356">
        <v>1011</v>
      </c>
      <c r="O356" t="s">
        <v>458</v>
      </c>
      <c r="P356" t="s">
        <v>458</v>
      </c>
      <c r="Q356">
        <v>1</v>
      </c>
      <c r="X356">
        <v>0.52</v>
      </c>
      <c r="Y356">
        <v>0</v>
      </c>
      <c r="Z356">
        <v>180.35</v>
      </c>
      <c r="AA356">
        <v>16.93</v>
      </c>
      <c r="AB356">
        <v>0</v>
      </c>
      <c r="AC356">
        <v>0</v>
      </c>
      <c r="AD356">
        <v>1</v>
      </c>
      <c r="AE356">
        <v>0</v>
      </c>
      <c r="AF356" t="s">
        <v>22</v>
      </c>
      <c r="AG356">
        <v>0.54600000000000004</v>
      </c>
      <c r="AH356">
        <v>3</v>
      </c>
      <c r="AI356">
        <v>-1</v>
      </c>
      <c r="AJ356" t="s">
        <v>3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">
      <c r="A357">
        <f>ROW(Source!A192)</f>
        <v>192</v>
      </c>
      <c r="B357">
        <v>56610723</v>
      </c>
      <c r="C357">
        <v>56610715</v>
      </c>
      <c r="D357">
        <v>30390465</v>
      </c>
      <c r="E357">
        <v>1</v>
      </c>
      <c r="F357">
        <v>1</v>
      </c>
      <c r="G357">
        <v>27786564</v>
      </c>
      <c r="H357">
        <v>3</v>
      </c>
      <c r="I357" t="s">
        <v>620</v>
      </c>
      <c r="J357" t="s">
        <v>621</v>
      </c>
      <c r="K357" t="s">
        <v>622</v>
      </c>
      <c r="L357">
        <v>1339</v>
      </c>
      <c r="N357">
        <v>1007</v>
      </c>
      <c r="O357" t="s">
        <v>85</v>
      </c>
      <c r="P357" t="s">
        <v>85</v>
      </c>
      <c r="Q357">
        <v>1</v>
      </c>
      <c r="X357">
        <v>5</v>
      </c>
      <c r="Y357">
        <v>7.07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 t="s">
        <v>3</v>
      </c>
      <c r="AG357">
        <v>5</v>
      </c>
      <c r="AH357">
        <v>3</v>
      </c>
      <c r="AI357">
        <v>-1</v>
      </c>
      <c r="AJ357" t="s">
        <v>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">
      <c r="A358">
        <f>ROW(Source!A192)</f>
        <v>192</v>
      </c>
      <c r="B358">
        <v>56610724</v>
      </c>
      <c r="C358">
        <v>56610715</v>
      </c>
      <c r="D358">
        <v>30384156</v>
      </c>
      <c r="E358">
        <v>27786564</v>
      </c>
      <c r="F358">
        <v>1</v>
      </c>
      <c r="G358">
        <v>27786564</v>
      </c>
      <c r="H358">
        <v>3</v>
      </c>
      <c r="I358" t="s">
        <v>520</v>
      </c>
      <c r="J358" t="s">
        <v>3</v>
      </c>
      <c r="K358" t="s">
        <v>521</v>
      </c>
      <c r="L358">
        <v>1339</v>
      </c>
      <c r="N358">
        <v>1007</v>
      </c>
      <c r="O358" t="s">
        <v>85</v>
      </c>
      <c r="P358" t="s">
        <v>85</v>
      </c>
      <c r="Q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3</v>
      </c>
      <c r="AG358">
        <v>0</v>
      </c>
      <c r="AH358">
        <v>3</v>
      </c>
      <c r="AI358">
        <v>-1</v>
      </c>
      <c r="AJ358" t="s">
        <v>3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">
      <c r="A359">
        <f>ROW(Source!A193)</f>
        <v>193</v>
      </c>
      <c r="B359">
        <v>56610717</v>
      </c>
      <c r="C359">
        <v>56610715</v>
      </c>
      <c r="D359">
        <v>47634407</v>
      </c>
      <c r="E359">
        <v>27786564</v>
      </c>
      <c r="F359">
        <v>1</v>
      </c>
      <c r="G359">
        <v>27786564</v>
      </c>
      <c r="H359">
        <v>1</v>
      </c>
      <c r="I359" t="s">
        <v>452</v>
      </c>
      <c r="J359" t="s">
        <v>3</v>
      </c>
      <c r="K359" t="s">
        <v>453</v>
      </c>
      <c r="L359">
        <v>1191</v>
      </c>
      <c r="N359">
        <v>1013</v>
      </c>
      <c r="O359" t="s">
        <v>454</v>
      </c>
      <c r="P359" t="s">
        <v>454</v>
      </c>
      <c r="Q359">
        <v>1</v>
      </c>
      <c r="X359">
        <v>14.4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1</v>
      </c>
      <c r="AF359" t="s">
        <v>22</v>
      </c>
      <c r="AG359">
        <v>15.120000000000001</v>
      </c>
      <c r="AH359">
        <v>3</v>
      </c>
      <c r="AI359">
        <v>-1</v>
      </c>
      <c r="AJ359" t="s">
        <v>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">
      <c r="A360">
        <f>ROW(Source!A193)</f>
        <v>193</v>
      </c>
      <c r="B360">
        <v>56610718</v>
      </c>
      <c r="C360">
        <v>56610715</v>
      </c>
      <c r="D360">
        <v>47766419</v>
      </c>
      <c r="E360">
        <v>1</v>
      </c>
      <c r="F360">
        <v>1</v>
      </c>
      <c r="G360">
        <v>27786564</v>
      </c>
      <c r="H360">
        <v>2</v>
      </c>
      <c r="I360" t="s">
        <v>608</v>
      </c>
      <c r="J360" t="s">
        <v>609</v>
      </c>
      <c r="K360" t="s">
        <v>610</v>
      </c>
      <c r="L360">
        <v>1368</v>
      </c>
      <c r="N360">
        <v>1011</v>
      </c>
      <c r="O360" t="s">
        <v>458</v>
      </c>
      <c r="P360" t="s">
        <v>458</v>
      </c>
      <c r="Q360">
        <v>1</v>
      </c>
      <c r="X360">
        <v>1.66</v>
      </c>
      <c r="Y360">
        <v>0</v>
      </c>
      <c r="Z360">
        <v>120.32</v>
      </c>
      <c r="AA360">
        <v>12.62</v>
      </c>
      <c r="AB360">
        <v>0</v>
      </c>
      <c r="AC360">
        <v>0</v>
      </c>
      <c r="AD360">
        <v>1</v>
      </c>
      <c r="AE360">
        <v>0</v>
      </c>
      <c r="AF360" t="s">
        <v>22</v>
      </c>
      <c r="AG360">
        <v>1.7429999999999999</v>
      </c>
      <c r="AH360">
        <v>3</v>
      </c>
      <c r="AI360">
        <v>-1</v>
      </c>
      <c r="AJ360" t="s">
        <v>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">
      <c r="A361">
        <f>ROW(Source!A193)</f>
        <v>193</v>
      </c>
      <c r="B361">
        <v>56610719</v>
      </c>
      <c r="C361">
        <v>56610715</v>
      </c>
      <c r="D361">
        <v>47766660</v>
      </c>
      <c r="E361">
        <v>1</v>
      </c>
      <c r="F361">
        <v>1</v>
      </c>
      <c r="G361">
        <v>27786564</v>
      </c>
      <c r="H361">
        <v>2</v>
      </c>
      <c r="I361" t="s">
        <v>611</v>
      </c>
      <c r="J361" t="s">
        <v>612</v>
      </c>
      <c r="K361" t="s">
        <v>613</v>
      </c>
      <c r="L361">
        <v>1368</v>
      </c>
      <c r="N361">
        <v>1011</v>
      </c>
      <c r="O361" t="s">
        <v>458</v>
      </c>
      <c r="P361" t="s">
        <v>458</v>
      </c>
      <c r="Q361">
        <v>1</v>
      </c>
      <c r="X361">
        <v>1.66</v>
      </c>
      <c r="Y361">
        <v>0</v>
      </c>
      <c r="Z361">
        <v>281.32</v>
      </c>
      <c r="AA361">
        <v>16.93</v>
      </c>
      <c r="AB361">
        <v>0</v>
      </c>
      <c r="AC361">
        <v>0</v>
      </c>
      <c r="AD361">
        <v>1</v>
      </c>
      <c r="AE361">
        <v>0</v>
      </c>
      <c r="AF361" t="s">
        <v>22</v>
      </c>
      <c r="AG361">
        <v>1.7429999999999999</v>
      </c>
      <c r="AH361">
        <v>3</v>
      </c>
      <c r="AI361">
        <v>-1</v>
      </c>
      <c r="AJ361" t="s">
        <v>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">
      <c r="A362">
        <f>ROW(Source!A193)</f>
        <v>193</v>
      </c>
      <c r="B362">
        <v>56610720</v>
      </c>
      <c r="C362">
        <v>56610715</v>
      </c>
      <c r="D362">
        <v>47766605</v>
      </c>
      <c r="E362">
        <v>1</v>
      </c>
      <c r="F362">
        <v>1</v>
      </c>
      <c r="G362">
        <v>27786564</v>
      </c>
      <c r="H362">
        <v>2</v>
      </c>
      <c r="I362" t="s">
        <v>614</v>
      </c>
      <c r="J362" t="s">
        <v>615</v>
      </c>
      <c r="K362" t="s">
        <v>616</v>
      </c>
      <c r="L362">
        <v>1368</v>
      </c>
      <c r="N362">
        <v>1011</v>
      </c>
      <c r="O362" t="s">
        <v>458</v>
      </c>
      <c r="P362" t="s">
        <v>458</v>
      </c>
      <c r="Q362">
        <v>1</v>
      </c>
      <c r="X362">
        <v>0.65</v>
      </c>
      <c r="Y362">
        <v>0</v>
      </c>
      <c r="Z362">
        <v>140.38</v>
      </c>
      <c r="AA362">
        <v>12.62</v>
      </c>
      <c r="AB362">
        <v>0</v>
      </c>
      <c r="AC362">
        <v>0</v>
      </c>
      <c r="AD362">
        <v>1</v>
      </c>
      <c r="AE362">
        <v>0</v>
      </c>
      <c r="AF362" t="s">
        <v>22</v>
      </c>
      <c r="AG362">
        <v>0.68250000000000011</v>
      </c>
      <c r="AH362">
        <v>3</v>
      </c>
      <c r="AI362">
        <v>-1</v>
      </c>
      <c r="AJ362" t="s">
        <v>3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">
      <c r="A363">
        <f>ROW(Source!A193)</f>
        <v>193</v>
      </c>
      <c r="B363">
        <v>56610721</v>
      </c>
      <c r="C363">
        <v>56610715</v>
      </c>
      <c r="D363">
        <v>47766620</v>
      </c>
      <c r="E363">
        <v>1</v>
      </c>
      <c r="F363">
        <v>1</v>
      </c>
      <c r="G363">
        <v>27786564</v>
      </c>
      <c r="H363">
        <v>2</v>
      </c>
      <c r="I363" t="s">
        <v>602</v>
      </c>
      <c r="J363" t="s">
        <v>603</v>
      </c>
      <c r="K363" t="s">
        <v>604</v>
      </c>
      <c r="L363">
        <v>1368</v>
      </c>
      <c r="N363">
        <v>1011</v>
      </c>
      <c r="O363" t="s">
        <v>458</v>
      </c>
      <c r="P363" t="s">
        <v>458</v>
      </c>
      <c r="Q363">
        <v>1</v>
      </c>
      <c r="X363">
        <v>1.55</v>
      </c>
      <c r="Y363">
        <v>0</v>
      </c>
      <c r="Z363">
        <v>219.56</v>
      </c>
      <c r="AA363">
        <v>18.62</v>
      </c>
      <c r="AB363">
        <v>0</v>
      </c>
      <c r="AC363">
        <v>0</v>
      </c>
      <c r="AD363">
        <v>1</v>
      </c>
      <c r="AE363">
        <v>0</v>
      </c>
      <c r="AF363" t="s">
        <v>22</v>
      </c>
      <c r="AG363">
        <v>1.6275000000000002</v>
      </c>
      <c r="AH363">
        <v>3</v>
      </c>
      <c r="AI363">
        <v>-1</v>
      </c>
      <c r="AJ363" t="s">
        <v>3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">
      <c r="A364">
        <f>ROW(Source!A193)</f>
        <v>193</v>
      </c>
      <c r="B364">
        <v>56610722</v>
      </c>
      <c r="C364">
        <v>56610715</v>
      </c>
      <c r="D364">
        <v>47766599</v>
      </c>
      <c r="E364">
        <v>1</v>
      </c>
      <c r="F364">
        <v>1</v>
      </c>
      <c r="G364">
        <v>27786564</v>
      </c>
      <c r="H364">
        <v>2</v>
      </c>
      <c r="I364" t="s">
        <v>617</v>
      </c>
      <c r="J364" t="s">
        <v>618</v>
      </c>
      <c r="K364" t="s">
        <v>619</v>
      </c>
      <c r="L364">
        <v>1368</v>
      </c>
      <c r="N364">
        <v>1011</v>
      </c>
      <c r="O364" t="s">
        <v>458</v>
      </c>
      <c r="P364" t="s">
        <v>458</v>
      </c>
      <c r="Q364">
        <v>1</v>
      </c>
      <c r="X364">
        <v>0.52</v>
      </c>
      <c r="Y364">
        <v>0</v>
      </c>
      <c r="Z364">
        <v>180.35</v>
      </c>
      <c r="AA364">
        <v>16.93</v>
      </c>
      <c r="AB364">
        <v>0</v>
      </c>
      <c r="AC364">
        <v>0</v>
      </c>
      <c r="AD364">
        <v>1</v>
      </c>
      <c r="AE364">
        <v>0</v>
      </c>
      <c r="AF364" t="s">
        <v>22</v>
      </c>
      <c r="AG364">
        <v>0.54600000000000004</v>
      </c>
      <c r="AH364">
        <v>3</v>
      </c>
      <c r="AI364">
        <v>-1</v>
      </c>
      <c r="AJ364" t="s">
        <v>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">
      <c r="A365">
        <f>ROW(Source!A193)</f>
        <v>193</v>
      </c>
      <c r="B365">
        <v>56610723</v>
      </c>
      <c r="C365">
        <v>56610715</v>
      </c>
      <c r="D365">
        <v>30390465</v>
      </c>
      <c r="E365">
        <v>1</v>
      </c>
      <c r="F365">
        <v>1</v>
      </c>
      <c r="G365">
        <v>27786564</v>
      </c>
      <c r="H365">
        <v>3</v>
      </c>
      <c r="I365" t="s">
        <v>620</v>
      </c>
      <c r="J365" t="s">
        <v>621</v>
      </c>
      <c r="K365" t="s">
        <v>622</v>
      </c>
      <c r="L365">
        <v>1339</v>
      </c>
      <c r="N365">
        <v>1007</v>
      </c>
      <c r="O365" t="s">
        <v>85</v>
      </c>
      <c r="P365" t="s">
        <v>85</v>
      </c>
      <c r="Q365">
        <v>1</v>
      </c>
      <c r="X365">
        <v>5</v>
      </c>
      <c r="Y365">
        <v>7.07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 t="s">
        <v>3</v>
      </c>
      <c r="AG365">
        <v>5</v>
      </c>
      <c r="AH365">
        <v>3</v>
      </c>
      <c r="AI365">
        <v>-1</v>
      </c>
      <c r="AJ365" t="s">
        <v>3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">
      <c r="A366">
        <f>ROW(Source!A193)</f>
        <v>193</v>
      </c>
      <c r="B366">
        <v>56610724</v>
      </c>
      <c r="C366">
        <v>56610715</v>
      </c>
      <c r="D366">
        <v>30384156</v>
      </c>
      <c r="E366">
        <v>27786564</v>
      </c>
      <c r="F366">
        <v>1</v>
      </c>
      <c r="G366">
        <v>27786564</v>
      </c>
      <c r="H366">
        <v>3</v>
      </c>
      <c r="I366" t="s">
        <v>520</v>
      </c>
      <c r="J366" t="s">
        <v>3</v>
      </c>
      <c r="K366" t="s">
        <v>521</v>
      </c>
      <c r="L366">
        <v>1339</v>
      </c>
      <c r="N366">
        <v>1007</v>
      </c>
      <c r="O366" t="s">
        <v>85</v>
      </c>
      <c r="P366" t="s">
        <v>85</v>
      </c>
      <c r="Q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3</v>
      </c>
      <c r="AG366">
        <v>0</v>
      </c>
      <c r="AH366">
        <v>3</v>
      </c>
      <c r="AI366">
        <v>-1</v>
      </c>
      <c r="AJ366" t="s">
        <v>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">
      <c r="A367">
        <f>ROW(Source!A196)</f>
        <v>196</v>
      </c>
      <c r="B367">
        <v>56610728</v>
      </c>
      <c r="C367">
        <v>56610726</v>
      </c>
      <c r="D367">
        <v>47634407</v>
      </c>
      <c r="E367">
        <v>27786564</v>
      </c>
      <c r="F367">
        <v>1</v>
      </c>
      <c r="G367">
        <v>27786564</v>
      </c>
      <c r="H367">
        <v>1</v>
      </c>
      <c r="I367" t="s">
        <v>452</v>
      </c>
      <c r="J367" t="s">
        <v>3</v>
      </c>
      <c r="K367" t="s">
        <v>453</v>
      </c>
      <c r="L367">
        <v>1191</v>
      </c>
      <c r="N367">
        <v>1013</v>
      </c>
      <c r="O367" t="s">
        <v>454</v>
      </c>
      <c r="P367" t="s">
        <v>454</v>
      </c>
      <c r="Q367">
        <v>1</v>
      </c>
      <c r="X367">
        <v>267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1</v>
      </c>
      <c r="AF367" t="s">
        <v>22</v>
      </c>
      <c r="AG367">
        <v>280.35000000000002</v>
      </c>
      <c r="AH367">
        <v>3</v>
      </c>
      <c r="AI367">
        <v>-1</v>
      </c>
      <c r="AJ367" t="s">
        <v>3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">
      <c r="A368">
        <f>ROW(Source!A196)</f>
        <v>196</v>
      </c>
      <c r="B368">
        <v>56610729</v>
      </c>
      <c r="C368">
        <v>56610726</v>
      </c>
      <c r="D368">
        <v>47767106</v>
      </c>
      <c r="E368">
        <v>1</v>
      </c>
      <c r="F368">
        <v>1</v>
      </c>
      <c r="G368">
        <v>27786564</v>
      </c>
      <c r="H368">
        <v>2</v>
      </c>
      <c r="I368" t="s">
        <v>455</v>
      </c>
      <c r="J368" t="s">
        <v>456</v>
      </c>
      <c r="K368" t="s">
        <v>457</v>
      </c>
      <c r="L368">
        <v>1368</v>
      </c>
      <c r="N368">
        <v>1011</v>
      </c>
      <c r="O368" t="s">
        <v>458</v>
      </c>
      <c r="P368" t="s">
        <v>458</v>
      </c>
      <c r="Q368">
        <v>1</v>
      </c>
      <c r="X368">
        <v>0.59</v>
      </c>
      <c r="Y368">
        <v>0</v>
      </c>
      <c r="Z368">
        <v>83.1</v>
      </c>
      <c r="AA368">
        <v>12.62</v>
      </c>
      <c r="AB368">
        <v>0</v>
      </c>
      <c r="AC368">
        <v>0</v>
      </c>
      <c r="AD368">
        <v>1</v>
      </c>
      <c r="AE368">
        <v>0</v>
      </c>
      <c r="AF368" t="s">
        <v>22</v>
      </c>
      <c r="AG368">
        <v>0.61949999999999994</v>
      </c>
      <c r="AH368">
        <v>3</v>
      </c>
      <c r="AI368">
        <v>-1</v>
      </c>
      <c r="AJ368" t="s">
        <v>3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">
      <c r="A369">
        <f>ROW(Source!A196)</f>
        <v>196</v>
      </c>
      <c r="B369">
        <v>56610730</v>
      </c>
      <c r="C369">
        <v>56610726</v>
      </c>
      <c r="D369">
        <v>47766454</v>
      </c>
      <c r="E369">
        <v>1</v>
      </c>
      <c r="F369">
        <v>1</v>
      </c>
      <c r="G369">
        <v>27786564</v>
      </c>
      <c r="H369">
        <v>2</v>
      </c>
      <c r="I369" t="s">
        <v>491</v>
      </c>
      <c r="J369" t="s">
        <v>492</v>
      </c>
      <c r="K369" t="s">
        <v>493</v>
      </c>
      <c r="L369">
        <v>1368</v>
      </c>
      <c r="N369">
        <v>1011</v>
      </c>
      <c r="O369" t="s">
        <v>458</v>
      </c>
      <c r="P369" t="s">
        <v>458</v>
      </c>
      <c r="Q369">
        <v>1</v>
      </c>
      <c r="X369">
        <v>0.45</v>
      </c>
      <c r="Y369">
        <v>0</v>
      </c>
      <c r="Z369">
        <v>179.17</v>
      </c>
      <c r="AA369">
        <v>16.93</v>
      </c>
      <c r="AB369">
        <v>0</v>
      </c>
      <c r="AC369">
        <v>0</v>
      </c>
      <c r="AD369">
        <v>1</v>
      </c>
      <c r="AE369">
        <v>0</v>
      </c>
      <c r="AF369" t="s">
        <v>22</v>
      </c>
      <c r="AG369">
        <v>0.47250000000000003</v>
      </c>
      <c r="AH369">
        <v>3</v>
      </c>
      <c r="AI369">
        <v>-1</v>
      </c>
      <c r="AJ369" t="s">
        <v>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">
      <c r="A370">
        <f>ROW(Source!A196)</f>
        <v>196</v>
      </c>
      <c r="B370">
        <v>56610731</v>
      </c>
      <c r="C370">
        <v>56610726</v>
      </c>
      <c r="D370">
        <v>50545252</v>
      </c>
      <c r="E370">
        <v>1</v>
      </c>
      <c r="F370">
        <v>1</v>
      </c>
      <c r="G370">
        <v>27786564</v>
      </c>
      <c r="H370">
        <v>2</v>
      </c>
      <c r="I370" t="s">
        <v>614</v>
      </c>
      <c r="J370" t="s">
        <v>623</v>
      </c>
      <c r="K370" t="s">
        <v>616</v>
      </c>
      <c r="L370">
        <v>1368</v>
      </c>
      <c r="N370">
        <v>1011</v>
      </c>
      <c r="O370" t="s">
        <v>458</v>
      </c>
      <c r="P370" t="s">
        <v>458</v>
      </c>
      <c r="Q370">
        <v>1</v>
      </c>
      <c r="X370">
        <v>11.76</v>
      </c>
      <c r="Y370">
        <v>0</v>
      </c>
      <c r="Z370">
        <v>140.38</v>
      </c>
      <c r="AA370">
        <v>12.62</v>
      </c>
      <c r="AB370">
        <v>0</v>
      </c>
      <c r="AC370">
        <v>0</v>
      </c>
      <c r="AD370">
        <v>1</v>
      </c>
      <c r="AE370">
        <v>0</v>
      </c>
      <c r="AF370" t="s">
        <v>22</v>
      </c>
      <c r="AG370">
        <v>12.348000000000001</v>
      </c>
      <c r="AH370">
        <v>3</v>
      </c>
      <c r="AI370">
        <v>-1</v>
      </c>
      <c r="AJ370" t="s">
        <v>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">
      <c r="A371">
        <f>ROW(Source!A196)</f>
        <v>196</v>
      </c>
      <c r="B371">
        <v>56610732</v>
      </c>
      <c r="C371">
        <v>56610726</v>
      </c>
      <c r="D371">
        <v>47766627</v>
      </c>
      <c r="E371">
        <v>1</v>
      </c>
      <c r="F371">
        <v>1</v>
      </c>
      <c r="G371">
        <v>27786564</v>
      </c>
      <c r="H371">
        <v>2</v>
      </c>
      <c r="I371" t="s">
        <v>624</v>
      </c>
      <c r="J371" t="s">
        <v>625</v>
      </c>
      <c r="K371" t="s">
        <v>626</v>
      </c>
      <c r="L371">
        <v>1368</v>
      </c>
      <c r="N371">
        <v>1011</v>
      </c>
      <c r="O371" t="s">
        <v>458</v>
      </c>
      <c r="P371" t="s">
        <v>458</v>
      </c>
      <c r="Q371">
        <v>1</v>
      </c>
      <c r="X371">
        <v>10.8</v>
      </c>
      <c r="Y371">
        <v>0</v>
      </c>
      <c r="Z371">
        <v>20.51</v>
      </c>
      <c r="AA371">
        <v>0</v>
      </c>
      <c r="AB371">
        <v>0</v>
      </c>
      <c r="AC371">
        <v>0</v>
      </c>
      <c r="AD371">
        <v>1</v>
      </c>
      <c r="AE371">
        <v>0</v>
      </c>
      <c r="AF371" t="s">
        <v>22</v>
      </c>
      <c r="AG371">
        <v>11.340000000000002</v>
      </c>
      <c r="AH371">
        <v>3</v>
      </c>
      <c r="AI371">
        <v>-1</v>
      </c>
      <c r="AJ371" t="s">
        <v>3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">
      <c r="A372">
        <f>ROW(Source!A196)</f>
        <v>196</v>
      </c>
      <c r="B372">
        <v>56610733</v>
      </c>
      <c r="C372">
        <v>56610726</v>
      </c>
      <c r="D372">
        <v>47766687</v>
      </c>
      <c r="E372">
        <v>1</v>
      </c>
      <c r="F372">
        <v>1</v>
      </c>
      <c r="G372">
        <v>27786564</v>
      </c>
      <c r="H372">
        <v>2</v>
      </c>
      <c r="I372" t="s">
        <v>627</v>
      </c>
      <c r="J372" t="s">
        <v>628</v>
      </c>
      <c r="K372" t="s">
        <v>629</v>
      </c>
      <c r="L372">
        <v>1368</v>
      </c>
      <c r="N372">
        <v>1011</v>
      </c>
      <c r="O372" t="s">
        <v>458</v>
      </c>
      <c r="P372" t="s">
        <v>458</v>
      </c>
      <c r="Q372">
        <v>1</v>
      </c>
      <c r="X372">
        <v>17.399999999999999</v>
      </c>
      <c r="Y372">
        <v>0</v>
      </c>
      <c r="Z372">
        <v>0.23</v>
      </c>
      <c r="AA372">
        <v>0</v>
      </c>
      <c r="AB372">
        <v>0</v>
      </c>
      <c r="AC372">
        <v>0</v>
      </c>
      <c r="AD372">
        <v>1</v>
      </c>
      <c r="AE372">
        <v>0</v>
      </c>
      <c r="AF372" t="s">
        <v>22</v>
      </c>
      <c r="AG372">
        <v>18.27</v>
      </c>
      <c r="AH372">
        <v>3</v>
      </c>
      <c r="AI372">
        <v>-1</v>
      </c>
      <c r="AJ372" t="s">
        <v>3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">
      <c r="A373">
        <f>ROW(Source!A196)</f>
        <v>196</v>
      </c>
      <c r="B373">
        <v>56610734</v>
      </c>
      <c r="C373">
        <v>56610726</v>
      </c>
      <c r="D373">
        <v>49868265</v>
      </c>
      <c r="E373">
        <v>1</v>
      </c>
      <c r="F373">
        <v>1</v>
      </c>
      <c r="G373">
        <v>27786564</v>
      </c>
      <c r="H373">
        <v>3</v>
      </c>
      <c r="I373" t="s">
        <v>630</v>
      </c>
      <c r="J373" t="s">
        <v>631</v>
      </c>
      <c r="K373" t="s">
        <v>632</v>
      </c>
      <c r="L373">
        <v>1327</v>
      </c>
      <c r="N373">
        <v>1005</v>
      </c>
      <c r="O373" t="s">
        <v>514</v>
      </c>
      <c r="P373" t="s">
        <v>514</v>
      </c>
      <c r="Q373">
        <v>1</v>
      </c>
      <c r="X373">
        <v>12</v>
      </c>
      <c r="Y373">
        <v>5.04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 t="s">
        <v>3</v>
      </c>
      <c r="AG373">
        <v>12</v>
      </c>
      <c r="AH373">
        <v>3</v>
      </c>
      <c r="AI373">
        <v>-1</v>
      </c>
      <c r="AJ373" t="s">
        <v>3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">
      <c r="A374">
        <f>ROW(Source!A196)</f>
        <v>196</v>
      </c>
      <c r="B374">
        <v>56610735</v>
      </c>
      <c r="C374">
        <v>56610726</v>
      </c>
      <c r="D374">
        <v>30390465</v>
      </c>
      <c r="E374">
        <v>1</v>
      </c>
      <c r="F374">
        <v>1</v>
      </c>
      <c r="G374">
        <v>27786564</v>
      </c>
      <c r="H374">
        <v>3</v>
      </c>
      <c r="I374" t="s">
        <v>620</v>
      </c>
      <c r="J374" t="s">
        <v>621</v>
      </c>
      <c r="K374" t="s">
        <v>622</v>
      </c>
      <c r="L374">
        <v>1339</v>
      </c>
      <c r="N374">
        <v>1007</v>
      </c>
      <c r="O374" t="s">
        <v>85</v>
      </c>
      <c r="P374" t="s">
        <v>85</v>
      </c>
      <c r="Q374">
        <v>1</v>
      </c>
      <c r="X374">
        <v>178</v>
      </c>
      <c r="Y374">
        <v>7.07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3</v>
      </c>
      <c r="AG374">
        <v>178</v>
      </c>
      <c r="AH374">
        <v>3</v>
      </c>
      <c r="AI374">
        <v>-1</v>
      </c>
      <c r="AJ374" t="s">
        <v>3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">
      <c r="A375">
        <f>ROW(Source!A196)</f>
        <v>196</v>
      </c>
      <c r="B375">
        <v>56610736</v>
      </c>
      <c r="C375">
        <v>56610726</v>
      </c>
      <c r="D375">
        <v>49868167</v>
      </c>
      <c r="E375">
        <v>1</v>
      </c>
      <c r="F375">
        <v>1</v>
      </c>
      <c r="G375">
        <v>27786564</v>
      </c>
      <c r="H375">
        <v>3</v>
      </c>
      <c r="I375" t="s">
        <v>633</v>
      </c>
      <c r="J375" t="s">
        <v>634</v>
      </c>
      <c r="K375" t="s">
        <v>635</v>
      </c>
      <c r="L375">
        <v>1348</v>
      </c>
      <c r="N375">
        <v>1009</v>
      </c>
      <c r="O375" t="s">
        <v>318</v>
      </c>
      <c r="P375" t="s">
        <v>318</v>
      </c>
      <c r="Q375">
        <v>1000</v>
      </c>
      <c r="X375">
        <v>0.09</v>
      </c>
      <c r="Y375">
        <v>3386.07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 t="s">
        <v>3</v>
      </c>
      <c r="AG375">
        <v>0.09</v>
      </c>
      <c r="AH375">
        <v>3</v>
      </c>
      <c r="AI375">
        <v>-1</v>
      </c>
      <c r="AJ375" t="s">
        <v>3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">
      <c r="A376">
        <f>ROW(Source!A196)</f>
        <v>196</v>
      </c>
      <c r="B376">
        <v>56610737</v>
      </c>
      <c r="C376">
        <v>56610726</v>
      </c>
      <c r="D376">
        <v>49108184</v>
      </c>
      <c r="E376">
        <v>1</v>
      </c>
      <c r="F376">
        <v>1</v>
      </c>
      <c r="G376">
        <v>27786564</v>
      </c>
      <c r="H376">
        <v>3</v>
      </c>
      <c r="I376" t="s">
        <v>83</v>
      </c>
      <c r="J376" t="s">
        <v>86</v>
      </c>
      <c r="K376" t="s">
        <v>84</v>
      </c>
      <c r="L376">
        <v>1339</v>
      </c>
      <c r="N376">
        <v>1007</v>
      </c>
      <c r="O376" t="s">
        <v>85</v>
      </c>
      <c r="P376" t="s">
        <v>85</v>
      </c>
      <c r="Q376">
        <v>1</v>
      </c>
      <c r="X376">
        <v>40</v>
      </c>
      <c r="Y376">
        <v>104.99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 t="s">
        <v>3</v>
      </c>
      <c r="AG376">
        <v>40</v>
      </c>
      <c r="AH376">
        <v>3</v>
      </c>
      <c r="AI376">
        <v>-1</v>
      </c>
      <c r="AJ376" t="s">
        <v>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">
      <c r="A377">
        <f>ROW(Source!A196)</f>
        <v>196</v>
      </c>
      <c r="B377">
        <v>56610738</v>
      </c>
      <c r="C377">
        <v>56610726</v>
      </c>
      <c r="D377">
        <v>46727938</v>
      </c>
      <c r="E377">
        <v>1</v>
      </c>
      <c r="F377">
        <v>1</v>
      </c>
      <c r="G377">
        <v>27786564</v>
      </c>
      <c r="H377">
        <v>3</v>
      </c>
      <c r="I377" t="s">
        <v>636</v>
      </c>
      <c r="J377" t="s">
        <v>637</v>
      </c>
      <c r="K377" t="s">
        <v>638</v>
      </c>
      <c r="L377">
        <v>1327</v>
      </c>
      <c r="N377">
        <v>1005</v>
      </c>
      <c r="O377" t="s">
        <v>514</v>
      </c>
      <c r="P377" t="s">
        <v>514</v>
      </c>
      <c r="Q377">
        <v>1</v>
      </c>
      <c r="X377">
        <v>10.199999999999999</v>
      </c>
      <c r="Y377">
        <v>90.15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 t="s">
        <v>3</v>
      </c>
      <c r="AG377">
        <v>10.199999999999999</v>
      </c>
      <c r="AH377">
        <v>3</v>
      </c>
      <c r="AI377">
        <v>-1</v>
      </c>
      <c r="AJ377" t="s">
        <v>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">
      <c r="A378">
        <f>ROW(Source!A196)</f>
        <v>196</v>
      </c>
      <c r="B378">
        <v>56610739</v>
      </c>
      <c r="C378">
        <v>56610726</v>
      </c>
      <c r="D378">
        <v>30385148</v>
      </c>
      <c r="E378">
        <v>27786564</v>
      </c>
      <c r="F378">
        <v>1</v>
      </c>
      <c r="G378">
        <v>27786564</v>
      </c>
      <c r="H378">
        <v>3</v>
      </c>
      <c r="I378" t="s">
        <v>639</v>
      </c>
      <c r="J378" t="s">
        <v>3</v>
      </c>
      <c r="K378" t="s">
        <v>640</v>
      </c>
      <c r="L378">
        <v>1339</v>
      </c>
      <c r="N378">
        <v>1007</v>
      </c>
      <c r="O378" t="s">
        <v>85</v>
      </c>
      <c r="P378" t="s">
        <v>85</v>
      </c>
      <c r="Q378">
        <v>1</v>
      </c>
      <c r="X378">
        <v>162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 t="s">
        <v>3</v>
      </c>
      <c r="AG378">
        <v>162</v>
      </c>
      <c r="AH378">
        <v>3</v>
      </c>
      <c r="AI378">
        <v>-1</v>
      </c>
      <c r="AJ378" t="s">
        <v>3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">
      <c r="A379">
        <f>ROW(Source!A197)</f>
        <v>197</v>
      </c>
      <c r="B379">
        <v>56610728</v>
      </c>
      <c r="C379">
        <v>56610726</v>
      </c>
      <c r="D379">
        <v>47634407</v>
      </c>
      <c r="E379">
        <v>27786564</v>
      </c>
      <c r="F379">
        <v>1</v>
      </c>
      <c r="G379">
        <v>27786564</v>
      </c>
      <c r="H379">
        <v>1</v>
      </c>
      <c r="I379" t="s">
        <v>452</v>
      </c>
      <c r="J379" t="s">
        <v>3</v>
      </c>
      <c r="K379" t="s">
        <v>453</v>
      </c>
      <c r="L379">
        <v>1191</v>
      </c>
      <c r="N379">
        <v>1013</v>
      </c>
      <c r="O379" t="s">
        <v>454</v>
      </c>
      <c r="P379" t="s">
        <v>454</v>
      </c>
      <c r="Q379">
        <v>1</v>
      </c>
      <c r="X379">
        <v>267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1</v>
      </c>
      <c r="AF379" t="s">
        <v>22</v>
      </c>
      <c r="AG379">
        <v>280.35000000000002</v>
      </c>
      <c r="AH379">
        <v>3</v>
      </c>
      <c r="AI379">
        <v>-1</v>
      </c>
      <c r="AJ379" t="s">
        <v>3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">
      <c r="A380">
        <f>ROW(Source!A197)</f>
        <v>197</v>
      </c>
      <c r="B380">
        <v>56610729</v>
      </c>
      <c r="C380">
        <v>56610726</v>
      </c>
      <c r="D380">
        <v>47767106</v>
      </c>
      <c r="E380">
        <v>1</v>
      </c>
      <c r="F380">
        <v>1</v>
      </c>
      <c r="G380">
        <v>27786564</v>
      </c>
      <c r="H380">
        <v>2</v>
      </c>
      <c r="I380" t="s">
        <v>455</v>
      </c>
      <c r="J380" t="s">
        <v>456</v>
      </c>
      <c r="K380" t="s">
        <v>457</v>
      </c>
      <c r="L380">
        <v>1368</v>
      </c>
      <c r="N380">
        <v>1011</v>
      </c>
      <c r="O380" t="s">
        <v>458</v>
      </c>
      <c r="P380" t="s">
        <v>458</v>
      </c>
      <c r="Q380">
        <v>1</v>
      </c>
      <c r="X380">
        <v>0.59</v>
      </c>
      <c r="Y380">
        <v>0</v>
      </c>
      <c r="Z380">
        <v>83.1</v>
      </c>
      <c r="AA380">
        <v>12.62</v>
      </c>
      <c r="AB380">
        <v>0</v>
      </c>
      <c r="AC380">
        <v>0</v>
      </c>
      <c r="AD380">
        <v>1</v>
      </c>
      <c r="AE380">
        <v>0</v>
      </c>
      <c r="AF380" t="s">
        <v>22</v>
      </c>
      <c r="AG380">
        <v>0.61949999999999994</v>
      </c>
      <c r="AH380">
        <v>3</v>
      </c>
      <c r="AI380">
        <v>-1</v>
      </c>
      <c r="AJ380" t="s">
        <v>3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">
      <c r="A381">
        <f>ROW(Source!A197)</f>
        <v>197</v>
      </c>
      <c r="B381">
        <v>56610730</v>
      </c>
      <c r="C381">
        <v>56610726</v>
      </c>
      <c r="D381">
        <v>47766454</v>
      </c>
      <c r="E381">
        <v>1</v>
      </c>
      <c r="F381">
        <v>1</v>
      </c>
      <c r="G381">
        <v>27786564</v>
      </c>
      <c r="H381">
        <v>2</v>
      </c>
      <c r="I381" t="s">
        <v>491</v>
      </c>
      <c r="J381" t="s">
        <v>492</v>
      </c>
      <c r="K381" t="s">
        <v>493</v>
      </c>
      <c r="L381">
        <v>1368</v>
      </c>
      <c r="N381">
        <v>1011</v>
      </c>
      <c r="O381" t="s">
        <v>458</v>
      </c>
      <c r="P381" t="s">
        <v>458</v>
      </c>
      <c r="Q381">
        <v>1</v>
      </c>
      <c r="X381">
        <v>0.45</v>
      </c>
      <c r="Y381">
        <v>0</v>
      </c>
      <c r="Z381">
        <v>179.17</v>
      </c>
      <c r="AA381">
        <v>16.93</v>
      </c>
      <c r="AB381">
        <v>0</v>
      </c>
      <c r="AC381">
        <v>0</v>
      </c>
      <c r="AD381">
        <v>1</v>
      </c>
      <c r="AE381">
        <v>0</v>
      </c>
      <c r="AF381" t="s">
        <v>22</v>
      </c>
      <c r="AG381">
        <v>0.47250000000000003</v>
      </c>
      <c r="AH381">
        <v>3</v>
      </c>
      <c r="AI381">
        <v>-1</v>
      </c>
      <c r="AJ381" t="s">
        <v>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">
      <c r="A382">
        <f>ROW(Source!A197)</f>
        <v>197</v>
      </c>
      <c r="B382">
        <v>56610731</v>
      </c>
      <c r="C382">
        <v>56610726</v>
      </c>
      <c r="D382">
        <v>50545252</v>
      </c>
      <c r="E382">
        <v>1</v>
      </c>
      <c r="F382">
        <v>1</v>
      </c>
      <c r="G382">
        <v>27786564</v>
      </c>
      <c r="H382">
        <v>2</v>
      </c>
      <c r="I382" t="s">
        <v>614</v>
      </c>
      <c r="J382" t="s">
        <v>623</v>
      </c>
      <c r="K382" t="s">
        <v>616</v>
      </c>
      <c r="L382">
        <v>1368</v>
      </c>
      <c r="N382">
        <v>1011</v>
      </c>
      <c r="O382" t="s">
        <v>458</v>
      </c>
      <c r="P382" t="s">
        <v>458</v>
      </c>
      <c r="Q382">
        <v>1</v>
      </c>
      <c r="X382">
        <v>11.76</v>
      </c>
      <c r="Y382">
        <v>0</v>
      </c>
      <c r="Z382">
        <v>140.38</v>
      </c>
      <c r="AA382">
        <v>12.62</v>
      </c>
      <c r="AB382">
        <v>0</v>
      </c>
      <c r="AC382">
        <v>0</v>
      </c>
      <c r="AD382">
        <v>1</v>
      </c>
      <c r="AE382">
        <v>0</v>
      </c>
      <c r="AF382" t="s">
        <v>22</v>
      </c>
      <c r="AG382">
        <v>12.348000000000001</v>
      </c>
      <c r="AH382">
        <v>3</v>
      </c>
      <c r="AI382">
        <v>-1</v>
      </c>
      <c r="AJ382" t="s">
        <v>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">
      <c r="A383">
        <f>ROW(Source!A197)</f>
        <v>197</v>
      </c>
      <c r="B383">
        <v>56610732</v>
      </c>
      <c r="C383">
        <v>56610726</v>
      </c>
      <c r="D383">
        <v>47766627</v>
      </c>
      <c r="E383">
        <v>1</v>
      </c>
      <c r="F383">
        <v>1</v>
      </c>
      <c r="G383">
        <v>27786564</v>
      </c>
      <c r="H383">
        <v>2</v>
      </c>
      <c r="I383" t="s">
        <v>624</v>
      </c>
      <c r="J383" t="s">
        <v>625</v>
      </c>
      <c r="K383" t="s">
        <v>626</v>
      </c>
      <c r="L383">
        <v>1368</v>
      </c>
      <c r="N383">
        <v>1011</v>
      </c>
      <c r="O383" t="s">
        <v>458</v>
      </c>
      <c r="P383" t="s">
        <v>458</v>
      </c>
      <c r="Q383">
        <v>1</v>
      </c>
      <c r="X383">
        <v>10.8</v>
      </c>
      <c r="Y383">
        <v>0</v>
      </c>
      <c r="Z383">
        <v>20.51</v>
      </c>
      <c r="AA383">
        <v>0</v>
      </c>
      <c r="AB383">
        <v>0</v>
      </c>
      <c r="AC383">
        <v>0</v>
      </c>
      <c r="AD383">
        <v>1</v>
      </c>
      <c r="AE383">
        <v>0</v>
      </c>
      <c r="AF383" t="s">
        <v>22</v>
      </c>
      <c r="AG383">
        <v>11.340000000000002</v>
      </c>
      <c r="AH383">
        <v>3</v>
      </c>
      <c r="AI383">
        <v>-1</v>
      </c>
      <c r="AJ383" t="s">
        <v>3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">
      <c r="A384">
        <f>ROW(Source!A197)</f>
        <v>197</v>
      </c>
      <c r="B384">
        <v>56610733</v>
      </c>
      <c r="C384">
        <v>56610726</v>
      </c>
      <c r="D384">
        <v>47766687</v>
      </c>
      <c r="E384">
        <v>1</v>
      </c>
      <c r="F384">
        <v>1</v>
      </c>
      <c r="G384">
        <v>27786564</v>
      </c>
      <c r="H384">
        <v>2</v>
      </c>
      <c r="I384" t="s">
        <v>627</v>
      </c>
      <c r="J384" t="s">
        <v>628</v>
      </c>
      <c r="K384" t="s">
        <v>629</v>
      </c>
      <c r="L384">
        <v>1368</v>
      </c>
      <c r="N384">
        <v>1011</v>
      </c>
      <c r="O384" t="s">
        <v>458</v>
      </c>
      <c r="P384" t="s">
        <v>458</v>
      </c>
      <c r="Q384">
        <v>1</v>
      </c>
      <c r="X384">
        <v>17.399999999999999</v>
      </c>
      <c r="Y384">
        <v>0</v>
      </c>
      <c r="Z384">
        <v>0.23</v>
      </c>
      <c r="AA384">
        <v>0</v>
      </c>
      <c r="AB384">
        <v>0</v>
      </c>
      <c r="AC384">
        <v>0</v>
      </c>
      <c r="AD384">
        <v>1</v>
      </c>
      <c r="AE384">
        <v>0</v>
      </c>
      <c r="AF384" t="s">
        <v>22</v>
      </c>
      <c r="AG384">
        <v>18.27</v>
      </c>
      <c r="AH384">
        <v>3</v>
      </c>
      <c r="AI384">
        <v>-1</v>
      </c>
      <c r="AJ384" t="s">
        <v>3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">
      <c r="A385">
        <f>ROW(Source!A197)</f>
        <v>197</v>
      </c>
      <c r="B385">
        <v>56610734</v>
      </c>
      <c r="C385">
        <v>56610726</v>
      </c>
      <c r="D385">
        <v>49868265</v>
      </c>
      <c r="E385">
        <v>1</v>
      </c>
      <c r="F385">
        <v>1</v>
      </c>
      <c r="G385">
        <v>27786564</v>
      </c>
      <c r="H385">
        <v>3</v>
      </c>
      <c r="I385" t="s">
        <v>630</v>
      </c>
      <c r="J385" t="s">
        <v>631</v>
      </c>
      <c r="K385" t="s">
        <v>632</v>
      </c>
      <c r="L385">
        <v>1327</v>
      </c>
      <c r="N385">
        <v>1005</v>
      </c>
      <c r="O385" t="s">
        <v>514</v>
      </c>
      <c r="P385" t="s">
        <v>514</v>
      </c>
      <c r="Q385">
        <v>1</v>
      </c>
      <c r="X385">
        <v>12</v>
      </c>
      <c r="Y385">
        <v>5.04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 t="s">
        <v>3</v>
      </c>
      <c r="AG385">
        <v>12</v>
      </c>
      <c r="AH385">
        <v>3</v>
      </c>
      <c r="AI385">
        <v>-1</v>
      </c>
      <c r="AJ385" t="s">
        <v>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">
      <c r="A386">
        <f>ROW(Source!A197)</f>
        <v>197</v>
      </c>
      <c r="B386">
        <v>56610735</v>
      </c>
      <c r="C386">
        <v>56610726</v>
      </c>
      <c r="D386">
        <v>30390465</v>
      </c>
      <c r="E386">
        <v>1</v>
      </c>
      <c r="F386">
        <v>1</v>
      </c>
      <c r="G386">
        <v>27786564</v>
      </c>
      <c r="H386">
        <v>3</v>
      </c>
      <c r="I386" t="s">
        <v>620</v>
      </c>
      <c r="J386" t="s">
        <v>621</v>
      </c>
      <c r="K386" t="s">
        <v>622</v>
      </c>
      <c r="L386">
        <v>1339</v>
      </c>
      <c r="N386">
        <v>1007</v>
      </c>
      <c r="O386" t="s">
        <v>85</v>
      </c>
      <c r="P386" t="s">
        <v>85</v>
      </c>
      <c r="Q386">
        <v>1</v>
      </c>
      <c r="X386">
        <v>178</v>
      </c>
      <c r="Y386">
        <v>7.07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 t="s">
        <v>3</v>
      </c>
      <c r="AG386">
        <v>178</v>
      </c>
      <c r="AH386">
        <v>3</v>
      </c>
      <c r="AI386">
        <v>-1</v>
      </c>
      <c r="AJ386" t="s">
        <v>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>
        <f>ROW(Source!A197)</f>
        <v>197</v>
      </c>
      <c r="B387">
        <v>56610736</v>
      </c>
      <c r="C387">
        <v>56610726</v>
      </c>
      <c r="D387">
        <v>49868167</v>
      </c>
      <c r="E387">
        <v>1</v>
      </c>
      <c r="F387">
        <v>1</v>
      </c>
      <c r="G387">
        <v>27786564</v>
      </c>
      <c r="H387">
        <v>3</v>
      </c>
      <c r="I387" t="s">
        <v>633</v>
      </c>
      <c r="J387" t="s">
        <v>634</v>
      </c>
      <c r="K387" t="s">
        <v>635</v>
      </c>
      <c r="L387">
        <v>1348</v>
      </c>
      <c r="N387">
        <v>1009</v>
      </c>
      <c r="O387" t="s">
        <v>318</v>
      </c>
      <c r="P387" t="s">
        <v>318</v>
      </c>
      <c r="Q387">
        <v>1000</v>
      </c>
      <c r="X387">
        <v>0.09</v>
      </c>
      <c r="Y387">
        <v>3386.07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 t="s">
        <v>3</v>
      </c>
      <c r="AG387">
        <v>0.09</v>
      </c>
      <c r="AH387">
        <v>3</v>
      </c>
      <c r="AI387">
        <v>-1</v>
      </c>
      <c r="AJ387" t="s">
        <v>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">
      <c r="A388">
        <f>ROW(Source!A197)</f>
        <v>197</v>
      </c>
      <c r="B388">
        <v>56610737</v>
      </c>
      <c r="C388">
        <v>56610726</v>
      </c>
      <c r="D388">
        <v>49108184</v>
      </c>
      <c r="E388">
        <v>1</v>
      </c>
      <c r="F388">
        <v>1</v>
      </c>
      <c r="G388">
        <v>27786564</v>
      </c>
      <c r="H388">
        <v>3</v>
      </c>
      <c r="I388" t="s">
        <v>83</v>
      </c>
      <c r="J388" t="s">
        <v>86</v>
      </c>
      <c r="K388" t="s">
        <v>84</v>
      </c>
      <c r="L388">
        <v>1339</v>
      </c>
      <c r="N388">
        <v>1007</v>
      </c>
      <c r="O388" t="s">
        <v>85</v>
      </c>
      <c r="P388" t="s">
        <v>85</v>
      </c>
      <c r="Q388">
        <v>1</v>
      </c>
      <c r="X388">
        <v>40</v>
      </c>
      <c r="Y388">
        <v>104.99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 t="s">
        <v>3</v>
      </c>
      <c r="AG388">
        <v>40</v>
      </c>
      <c r="AH388">
        <v>3</v>
      </c>
      <c r="AI388">
        <v>-1</v>
      </c>
      <c r="AJ388" t="s">
        <v>3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">
      <c r="A389">
        <f>ROW(Source!A197)</f>
        <v>197</v>
      </c>
      <c r="B389">
        <v>56610738</v>
      </c>
      <c r="C389">
        <v>56610726</v>
      </c>
      <c r="D389">
        <v>46727938</v>
      </c>
      <c r="E389">
        <v>1</v>
      </c>
      <c r="F389">
        <v>1</v>
      </c>
      <c r="G389">
        <v>27786564</v>
      </c>
      <c r="H389">
        <v>3</v>
      </c>
      <c r="I389" t="s">
        <v>636</v>
      </c>
      <c r="J389" t="s">
        <v>637</v>
      </c>
      <c r="K389" t="s">
        <v>638</v>
      </c>
      <c r="L389">
        <v>1327</v>
      </c>
      <c r="N389">
        <v>1005</v>
      </c>
      <c r="O389" t="s">
        <v>514</v>
      </c>
      <c r="P389" t="s">
        <v>514</v>
      </c>
      <c r="Q389">
        <v>1</v>
      </c>
      <c r="X389">
        <v>10.199999999999999</v>
      </c>
      <c r="Y389">
        <v>90.15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 t="s">
        <v>3</v>
      </c>
      <c r="AG389">
        <v>10.199999999999999</v>
      </c>
      <c r="AH389">
        <v>3</v>
      </c>
      <c r="AI389">
        <v>-1</v>
      </c>
      <c r="AJ389" t="s">
        <v>3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">
      <c r="A390">
        <f>ROW(Source!A197)</f>
        <v>197</v>
      </c>
      <c r="B390">
        <v>56610739</v>
      </c>
      <c r="C390">
        <v>56610726</v>
      </c>
      <c r="D390">
        <v>30385148</v>
      </c>
      <c r="E390">
        <v>27786564</v>
      </c>
      <c r="F390">
        <v>1</v>
      </c>
      <c r="G390">
        <v>27786564</v>
      </c>
      <c r="H390">
        <v>3</v>
      </c>
      <c r="I390" t="s">
        <v>639</v>
      </c>
      <c r="J390" t="s">
        <v>3</v>
      </c>
      <c r="K390" t="s">
        <v>640</v>
      </c>
      <c r="L390">
        <v>1339</v>
      </c>
      <c r="N390">
        <v>1007</v>
      </c>
      <c r="O390" t="s">
        <v>85</v>
      </c>
      <c r="P390" t="s">
        <v>85</v>
      </c>
      <c r="Q390">
        <v>1</v>
      </c>
      <c r="X390">
        <v>162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 t="s">
        <v>3</v>
      </c>
      <c r="AG390">
        <v>162</v>
      </c>
      <c r="AH390">
        <v>3</v>
      </c>
      <c r="AI390">
        <v>-1</v>
      </c>
      <c r="AJ390" t="s">
        <v>3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">
      <c r="A391">
        <f>ROW(Source!A200)</f>
        <v>200</v>
      </c>
      <c r="B391">
        <v>56610743</v>
      </c>
      <c r="C391">
        <v>56610741</v>
      </c>
      <c r="D391">
        <v>47634407</v>
      </c>
      <c r="E391">
        <v>27786564</v>
      </c>
      <c r="F391">
        <v>1</v>
      </c>
      <c r="G391">
        <v>27786564</v>
      </c>
      <c r="H391">
        <v>1</v>
      </c>
      <c r="I391" t="s">
        <v>452</v>
      </c>
      <c r="J391" t="s">
        <v>3</v>
      </c>
      <c r="K391" t="s">
        <v>453</v>
      </c>
      <c r="L391">
        <v>1191</v>
      </c>
      <c r="N391">
        <v>1013</v>
      </c>
      <c r="O391" t="s">
        <v>454</v>
      </c>
      <c r="P391" t="s">
        <v>454</v>
      </c>
      <c r="Q391">
        <v>1</v>
      </c>
      <c r="X391">
        <v>5.17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1</v>
      </c>
      <c r="AF391" t="s">
        <v>22</v>
      </c>
      <c r="AG391">
        <v>5.4285000000000005</v>
      </c>
      <c r="AH391">
        <v>3</v>
      </c>
      <c r="AI391">
        <v>-1</v>
      </c>
      <c r="AJ391" t="s">
        <v>3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">
      <c r="A392">
        <f>ROW(Source!A200)</f>
        <v>200</v>
      </c>
      <c r="B392">
        <v>56610744</v>
      </c>
      <c r="C392">
        <v>56610741</v>
      </c>
      <c r="D392">
        <v>30414261</v>
      </c>
      <c r="E392">
        <v>1</v>
      </c>
      <c r="F392">
        <v>1</v>
      </c>
      <c r="G392">
        <v>27786564</v>
      </c>
      <c r="H392">
        <v>3</v>
      </c>
      <c r="I392" t="s">
        <v>636</v>
      </c>
      <c r="J392" t="s">
        <v>641</v>
      </c>
      <c r="K392" t="s">
        <v>642</v>
      </c>
      <c r="L392">
        <v>1327</v>
      </c>
      <c r="N392">
        <v>1005</v>
      </c>
      <c r="O392" t="s">
        <v>514</v>
      </c>
      <c r="P392" t="s">
        <v>514</v>
      </c>
      <c r="Q392">
        <v>1</v>
      </c>
      <c r="X392">
        <v>0.65</v>
      </c>
      <c r="Y392">
        <v>90.15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 t="s">
        <v>3</v>
      </c>
      <c r="AG392">
        <v>0.65</v>
      </c>
      <c r="AH392">
        <v>3</v>
      </c>
      <c r="AI392">
        <v>-1</v>
      </c>
      <c r="AJ392" t="s">
        <v>3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">
      <c r="A393">
        <f>ROW(Source!A200)</f>
        <v>200</v>
      </c>
      <c r="B393">
        <v>56610745</v>
      </c>
      <c r="C393">
        <v>56610741</v>
      </c>
      <c r="D393">
        <v>30385148</v>
      </c>
      <c r="E393">
        <v>27786564</v>
      </c>
      <c r="F393">
        <v>1</v>
      </c>
      <c r="G393">
        <v>27786564</v>
      </c>
      <c r="H393">
        <v>3</v>
      </c>
      <c r="I393" t="s">
        <v>639</v>
      </c>
      <c r="J393" t="s">
        <v>3</v>
      </c>
      <c r="K393" t="s">
        <v>640</v>
      </c>
      <c r="L393">
        <v>1339</v>
      </c>
      <c r="N393">
        <v>1007</v>
      </c>
      <c r="O393" t="s">
        <v>85</v>
      </c>
      <c r="P393" t="s">
        <v>85</v>
      </c>
      <c r="Q393">
        <v>1</v>
      </c>
      <c r="X393">
        <v>10.199999999999999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 t="s">
        <v>3</v>
      </c>
      <c r="AG393">
        <v>10.199999999999999</v>
      </c>
      <c r="AH393">
        <v>3</v>
      </c>
      <c r="AI393">
        <v>-1</v>
      </c>
      <c r="AJ393" t="s">
        <v>3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">
      <c r="A394">
        <f>ROW(Source!A201)</f>
        <v>201</v>
      </c>
      <c r="B394">
        <v>56610743</v>
      </c>
      <c r="C394">
        <v>56610741</v>
      </c>
      <c r="D394">
        <v>47634407</v>
      </c>
      <c r="E394">
        <v>27786564</v>
      </c>
      <c r="F394">
        <v>1</v>
      </c>
      <c r="G394">
        <v>27786564</v>
      </c>
      <c r="H394">
        <v>1</v>
      </c>
      <c r="I394" t="s">
        <v>452</v>
      </c>
      <c r="J394" t="s">
        <v>3</v>
      </c>
      <c r="K394" t="s">
        <v>453</v>
      </c>
      <c r="L394">
        <v>1191</v>
      </c>
      <c r="N394">
        <v>1013</v>
      </c>
      <c r="O394" t="s">
        <v>454</v>
      </c>
      <c r="P394" t="s">
        <v>454</v>
      </c>
      <c r="Q394">
        <v>1</v>
      </c>
      <c r="X394">
        <v>5.17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1</v>
      </c>
      <c r="AF394" t="s">
        <v>22</v>
      </c>
      <c r="AG394">
        <v>5.4285000000000005</v>
      </c>
      <c r="AH394">
        <v>3</v>
      </c>
      <c r="AI394">
        <v>-1</v>
      </c>
      <c r="AJ394" t="s">
        <v>3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">
      <c r="A395">
        <f>ROW(Source!A201)</f>
        <v>201</v>
      </c>
      <c r="B395">
        <v>56610744</v>
      </c>
      <c r="C395">
        <v>56610741</v>
      </c>
      <c r="D395">
        <v>30414261</v>
      </c>
      <c r="E395">
        <v>1</v>
      </c>
      <c r="F395">
        <v>1</v>
      </c>
      <c r="G395">
        <v>27786564</v>
      </c>
      <c r="H395">
        <v>3</v>
      </c>
      <c r="I395" t="s">
        <v>636</v>
      </c>
      <c r="J395" t="s">
        <v>641</v>
      </c>
      <c r="K395" t="s">
        <v>642</v>
      </c>
      <c r="L395">
        <v>1327</v>
      </c>
      <c r="N395">
        <v>1005</v>
      </c>
      <c r="O395" t="s">
        <v>514</v>
      </c>
      <c r="P395" t="s">
        <v>514</v>
      </c>
      <c r="Q395">
        <v>1</v>
      </c>
      <c r="X395">
        <v>0.65</v>
      </c>
      <c r="Y395">
        <v>90.15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3</v>
      </c>
      <c r="AG395">
        <v>0.65</v>
      </c>
      <c r="AH395">
        <v>3</v>
      </c>
      <c r="AI395">
        <v>-1</v>
      </c>
      <c r="AJ395" t="s">
        <v>3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">
      <c r="A396">
        <f>ROW(Source!A201)</f>
        <v>201</v>
      </c>
      <c r="B396">
        <v>56610745</v>
      </c>
      <c r="C396">
        <v>56610741</v>
      </c>
      <c r="D396">
        <v>30385148</v>
      </c>
      <c r="E396">
        <v>27786564</v>
      </c>
      <c r="F396">
        <v>1</v>
      </c>
      <c r="G396">
        <v>27786564</v>
      </c>
      <c r="H396">
        <v>3</v>
      </c>
      <c r="I396" t="s">
        <v>639</v>
      </c>
      <c r="J396" t="s">
        <v>3</v>
      </c>
      <c r="K396" t="s">
        <v>640</v>
      </c>
      <c r="L396">
        <v>1339</v>
      </c>
      <c r="N396">
        <v>1007</v>
      </c>
      <c r="O396" t="s">
        <v>85</v>
      </c>
      <c r="P396" t="s">
        <v>85</v>
      </c>
      <c r="Q396">
        <v>1</v>
      </c>
      <c r="X396">
        <v>10.199999999999999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 t="s">
        <v>3</v>
      </c>
      <c r="AG396">
        <v>10.199999999999999</v>
      </c>
      <c r="AH396">
        <v>3</v>
      </c>
      <c r="AI396">
        <v>-1</v>
      </c>
      <c r="AJ396" t="s">
        <v>3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">
      <c r="A397">
        <f>ROW(Source!A204)</f>
        <v>204</v>
      </c>
      <c r="B397">
        <v>56610749</v>
      </c>
      <c r="C397">
        <v>56610747</v>
      </c>
      <c r="D397">
        <v>47634407</v>
      </c>
      <c r="E397">
        <v>27786564</v>
      </c>
      <c r="F397">
        <v>1</v>
      </c>
      <c r="G397">
        <v>27786564</v>
      </c>
      <c r="H397">
        <v>1</v>
      </c>
      <c r="I397" t="s">
        <v>452</v>
      </c>
      <c r="J397" t="s">
        <v>3</v>
      </c>
      <c r="K397" t="s">
        <v>453</v>
      </c>
      <c r="L397">
        <v>1191</v>
      </c>
      <c r="N397">
        <v>1013</v>
      </c>
      <c r="O397" t="s">
        <v>454</v>
      </c>
      <c r="P397" t="s">
        <v>454</v>
      </c>
      <c r="Q397">
        <v>1</v>
      </c>
      <c r="X397">
        <v>4.29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1</v>
      </c>
      <c r="AF397" t="s">
        <v>22</v>
      </c>
      <c r="AG397">
        <v>4.5045000000000002</v>
      </c>
      <c r="AH397">
        <v>3</v>
      </c>
      <c r="AI397">
        <v>-1</v>
      </c>
      <c r="AJ397" t="s">
        <v>3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">
      <c r="A398">
        <f>ROW(Source!A204)</f>
        <v>204</v>
      </c>
      <c r="B398">
        <v>56610750</v>
      </c>
      <c r="C398">
        <v>56610747</v>
      </c>
      <c r="D398">
        <v>47766768</v>
      </c>
      <c r="E398">
        <v>1</v>
      </c>
      <c r="F398">
        <v>1</v>
      </c>
      <c r="G398">
        <v>27786564</v>
      </c>
      <c r="H398">
        <v>2</v>
      </c>
      <c r="I398" t="s">
        <v>596</v>
      </c>
      <c r="J398" t="s">
        <v>597</v>
      </c>
      <c r="K398" t="s">
        <v>598</v>
      </c>
      <c r="L398">
        <v>1368</v>
      </c>
      <c r="N398">
        <v>1011</v>
      </c>
      <c r="O398" t="s">
        <v>458</v>
      </c>
      <c r="P398" t="s">
        <v>458</v>
      </c>
      <c r="Q398">
        <v>1</v>
      </c>
      <c r="X398">
        <v>0.3</v>
      </c>
      <c r="Y398">
        <v>0</v>
      </c>
      <c r="Z398">
        <v>41.45</v>
      </c>
      <c r="AA398">
        <v>12.62</v>
      </c>
      <c r="AB398">
        <v>0</v>
      </c>
      <c r="AC398">
        <v>0</v>
      </c>
      <c r="AD398">
        <v>1</v>
      </c>
      <c r="AE398">
        <v>0</v>
      </c>
      <c r="AF398" t="s">
        <v>22</v>
      </c>
      <c r="AG398">
        <v>0.315</v>
      </c>
      <c r="AH398">
        <v>3</v>
      </c>
      <c r="AI398">
        <v>-1</v>
      </c>
      <c r="AJ398" t="s">
        <v>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">
      <c r="A399">
        <f>ROW(Source!A204)</f>
        <v>204</v>
      </c>
      <c r="B399">
        <v>56610751</v>
      </c>
      <c r="C399">
        <v>56610747</v>
      </c>
      <c r="D399">
        <v>47766518</v>
      </c>
      <c r="E399">
        <v>1</v>
      </c>
      <c r="F399">
        <v>1</v>
      </c>
      <c r="G399">
        <v>27786564</v>
      </c>
      <c r="H399">
        <v>2</v>
      </c>
      <c r="I399" t="s">
        <v>643</v>
      </c>
      <c r="J399" t="s">
        <v>644</v>
      </c>
      <c r="K399" t="s">
        <v>645</v>
      </c>
      <c r="L399">
        <v>1368</v>
      </c>
      <c r="N399">
        <v>1011</v>
      </c>
      <c r="O399" t="s">
        <v>458</v>
      </c>
      <c r="P399" t="s">
        <v>458</v>
      </c>
      <c r="Q399">
        <v>1</v>
      </c>
      <c r="X399">
        <v>0.3</v>
      </c>
      <c r="Y399">
        <v>0</v>
      </c>
      <c r="Z399">
        <v>153.94999999999999</v>
      </c>
      <c r="AA399">
        <v>14.54</v>
      </c>
      <c r="AB399">
        <v>0</v>
      </c>
      <c r="AC399">
        <v>0</v>
      </c>
      <c r="AD399">
        <v>1</v>
      </c>
      <c r="AE399">
        <v>0</v>
      </c>
      <c r="AF399" t="s">
        <v>22</v>
      </c>
      <c r="AG399">
        <v>0.315</v>
      </c>
      <c r="AH399">
        <v>3</v>
      </c>
      <c r="AI399">
        <v>-1</v>
      </c>
      <c r="AJ399" t="s">
        <v>3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">
      <c r="A400">
        <f>ROW(Source!A204)</f>
        <v>204</v>
      </c>
      <c r="B400">
        <v>56610752</v>
      </c>
      <c r="C400">
        <v>56610747</v>
      </c>
      <c r="D400">
        <v>47766605</v>
      </c>
      <c r="E400">
        <v>1</v>
      </c>
      <c r="F400">
        <v>1</v>
      </c>
      <c r="G400">
        <v>27786564</v>
      </c>
      <c r="H400">
        <v>2</v>
      </c>
      <c r="I400" t="s">
        <v>614</v>
      </c>
      <c r="J400" t="s">
        <v>615</v>
      </c>
      <c r="K400" t="s">
        <v>616</v>
      </c>
      <c r="L400">
        <v>1368</v>
      </c>
      <c r="N400">
        <v>1011</v>
      </c>
      <c r="O400" t="s">
        <v>458</v>
      </c>
      <c r="P400" t="s">
        <v>458</v>
      </c>
      <c r="Q400">
        <v>1</v>
      </c>
      <c r="X400">
        <v>0.3</v>
      </c>
      <c r="Y400">
        <v>0</v>
      </c>
      <c r="Z400">
        <v>140.38</v>
      </c>
      <c r="AA400">
        <v>12.62</v>
      </c>
      <c r="AB400">
        <v>0</v>
      </c>
      <c r="AC400">
        <v>0</v>
      </c>
      <c r="AD400">
        <v>1</v>
      </c>
      <c r="AE400">
        <v>0</v>
      </c>
      <c r="AF400" t="s">
        <v>22</v>
      </c>
      <c r="AG400">
        <v>0.315</v>
      </c>
      <c r="AH400">
        <v>3</v>
      </c>
      <c r="AI400">
        <v>-1</v>
      </c>
      <c r="AJ400" t="s">
        <v>3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">
      <c r="A401">
        <f>ROW(Source!A204)</f>
        <v>204</v>
      </c>
      <c r="B401">
        <v>56610753</v>
      </c>
      <c r="C401">
        <v>56610747</v>
      </c>
      <c r="D401">
        <v>47766606</v>
      </c>
      <c r="E401">
        <v>1</v>
      </c>
      <c r="F401">
        <v>1</v>
      </c>
      <c r="G401">
        <v>27786564</v>
      </c>
      <c r="H401">
        <v>2</v>
      </c>
      <c r="I401" t="s">
        <v>646</v>
      </c>
      <c r="J401" t="s">
        <v>647</v>
      </c>
      <c r="K401" t="s">
        <v>648</v>
      </c>
      <c r="L401">
        <v>1368</v>
      </c>
      <c r="N401">
        <v>1011</v>
      </c>
      <c r="O401" t="s">
        <v>458</v>
      </c>
      <c r="P401" t="s">
        <v>458</v>
      </c>
      <c r="Q401">
        <v>1</v>
      </c>
      <c r="X401">
        <v>0.3</v>
      </c>
      <c r="Y401">
        <v>0</v>
      </c>
      <c r="Z401">
        <v>260.5</v>
      </c>
      <c r="AA401">
        <v>18.62</v>
      </c>
      <c r="AB401">
        <v>0</v>
      </c>
      <c r="AC401">
        <v>0</v>
      </c>
      <c r="AD401">
        <v>1</v>
      </c>
      <c r="AE401">
        <v>0</v>
      </c>
      <c r="AF401" t="s">
        <v>22</v>
      </c>
      <c r="AG401">
        <v>0.315</v>
      </c>
      <c r="AH401">
        <v>3</v>
      </c>
      <c r="AI401">
        <v>-1</v>
      </c>
      <c r="AJ401" t="s">
        <v>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">
      <c r="A402">
        <f>ROW(Source!A204)</f>
        <v>204</v>
      </c>
      <c r="B402">
        <v>56610754</v>
      </c>
      <c r="C402">
        <v>56610747</v>
      </c>
      <c r="D402">
        <v>47766595</v>
      </c>
      <c r="E402">
        <v>1</v>
      </c>
      <c r="F402">
        <v>1</v>
      </c>
      <c r="G402">
        <v>27786564</v>
      </c>
      <c r="H402">
        <v>2</v>
      </c>
      <c r="I402" t="s">
        <v>649</v>
      </c>
      <c r="J402" t="s">
        <v>650</v>
      </c>
      <c r="K402" t="s">
        <v>651</v>
      </c>
      <c r="L402">
        <v>1368</v>
      </c>
      <c r="N402">
        <v>1011</v>
      </c>
      <c r="O402" t="s">
        <v>458</v>
      </c>
      <c r="P402" t="s">
        <v>458</v>
      </c>
      <c r="Q402">
        <v>1</v>
      </c>
      <c r="X402">
        <v>0.3</v>
      </c>
      <c r="Y402">
        <v>0</v>
      </c>
      <c r="Z402">
        <v>163.81</v>
      </c>
      <c r="AA402">
        <v>14.54</v>
      </c>
      <c r="AB402">
        <v>0</v>
      </c>
      <c r="AC402">
        <v>0</v>
      </c>
      <c r="AD402">
        <v>1</v>
      </c>
      <c r="AE402">
        <v>0</v>
      </c>
      <c r="AF402" t="s">
        <v>22</v>
      </c>
      <c r="AG402">
        <v>0.315</v>
      </c>
      <c r="AH402">
        <v>3</v>
      </c>
      <c r="AI402">
        <v>-1</v>
      </c>
      <c r="AJ402" t="s">
        <v>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">
      <c r="A403">
        <f>ROW(Source!A204)</f>
        <v>204</v>
      </c>
      <c r="B403">
        <v>56610755</v>
      </c>
      <c r="C403">
        <v>56610747</v>
      </c>
      <c r="D403">
        <v>47766611</v>
      </c>
      <c r="E403">
        <v>1</v>
      </c>
      <c r="F403">
        <v>1</v>
      </c>
      <c r="G403">
        <v>27786564</v>
      </c>
      <c r="H403">
        <v>2</v>
      </c>
      <c r="I403" t="s">
        <v>652</v>
      </c>
      <c r="J403" t="s">
        <v>653</v>
      </c>
      <c r="K403" t="s">
        <v>654</v>
      </c>
      <c r="L403">
        <v>1368</v>
      </c>
      <c r="N403">
        <v>1011</v>
      </c>
      <c r="O403" t="s">
        <v>458</v>
      </c>
      <c r="P403" t="s">
        <v>458</v>
      </c>
      <c r="Q403">
        <v>1</v>
      </c>
      <c r="X403">
        <v>0.3</v>
      </c>
      <c r="Y403">
        <v>0</v>
      </c>
      <c r="Z403">
        <v>283.89999999999998</v>
      </c>
      <c r="AA403">
        <v>14.54</v>
      </c>
      <c r="AB403">
        <v>0</v>
      </c>
      <c r="AC403">
        <v>0</v>
      </c>
      <c r="AD403">
        <v>1</v>
      </c>
      <c r="AE403">
        <v>0</v>
      </c>
      <c r="AF403" t="s">
        <v>22</v>
      </c>
      <c r="AG403">
        <v>0.315</v>
      </c>
      <c r="AH403">
        <v>3</v>
      </c>
      <c r="AI403">
        <v>-1</v>
      </c>
      <c r="AJ403" t="s">
        <v>3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">
      <c r="A404">
        <f>ROW(Source!A204)</f>
        <v>204</v>
      </c>
      <c r="B404">
        <v>56610756</v>
      </c>
      <c r="C404">
        <v>56610747</v>
      </c>
      <c r="D404">
        <v>47766598</v>
      </c>
      <c r="E404">
        <v>1</v>
      </c>
      <c r="F404">
        <v>1</v>
      </c>
      <c r="G404">
        <v>27786564</v>
      </c>
      <c r="H404">
        <v>2</v>
      </c>
      <c r="I404" t="s">
        <v>655</v>
      </c>
      <c r="J404" t="s">
        <v>656</v>
      </c>
      <c r="K404" t="s">
        <v>657</v>
      </c>
      <c r="L404">
        <v>1368</v>
      </c>
      <c r="N404">
        <v>1011</v>
      </c>
      <c r="O404" t="s">
        <v>458</v>
      </c>
      <c r="P404" t="s">
        <v>458</v>
      </c>
      <c r="Q404">
        <v>1</v>
      </c>
      <c r="X404">
        <v>0.3</v>
      </c>
      <c r="Y404">
        <v>0</v>
      </c>
      <c r="Z404">
        <v>189.45</v>
      </c>
      <c r="AA404">
        <v>16.93</v>
      </c>
      <c r="AB404">
        <v>0</v>
      </c>
      <c r="AC404">
        <v>0</v>
      </c>
      <c r="AD404">
        <v>1</v>
      </c>
      <c r="AE404">
        <v>0</v>
      </c>
      <c r="AF404" t="s">
        <v>22</v>
      </c>
      <c r="AG404">
        <v>0.315</v>
      </c>
      <c r="AH404">
        <v>3</v>
      </c>
      <c r="AI404">
        <v>-1</v>
      </c>
      <c r="AJ404" t="s">
        <v>3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">
      <c r="A405">
        <f>ROW(Source!A204)</f>
        <v>204</v>
      </c>
      <c r="B405">
        <v>56610757</v>
      </c>
      <c r="C405">
        <v>56610747</v>
      </c>
      <c r="D405">
        <v>47766599</v>
      </c>
      <c r="E405">
        <v>1</v>
      </c>
      <c r="F405">
        <v>1</v>
      </c>
      <c r="G405">
        <v>27786564</v>
      </c>
      <c r="H405">
        <v>2</v>
      </c>
      <c r="I405" t="s">
        <v>617</v>
      </c>
      <c r="J405" t="s">
        <v>618</v>
      </c>
      <c r="K405" t="s">
        <v>619</v>
      </c>
      <c r="L405">
        <v>1368</v>
      </c>
      <c r="N405">
        <v>1011</v>
      </c>
      <c r="O405" t="s">
        <v>458</v>
      </c>
      <c r="P405" t="s">
        <v>458</v>
      </c>
      <c r="Q405">
        <v>1</v>
      </c>
      <c r="X405">
        <v>0.9</v>
      </c>
      <c r="Y405">
        <v>0</v>
      </c>
      <c r="Z405">
        <v>180.35</v>
      </c>
      <c r="AA405">
        <v>16.93</v>
      </c>
      <c r="AB405">
        <v>0</v>
      </c>
      <c r="AC405">
        <v>0</v>
      </c>
      <c r="AD405">
        <v>1</v>
      </c>
      <c r="AE405">
        <v>0</v>
      </c>
      <c r="AF405" t="s">
        <v>22</v>
      </c>
      <c r="AG405">
        <v>0.94500000000000006</v>
      </c>
      <c r="AH405">
        <v>3</v>
      </c>
      <c r="AI405">
        <v>-1</v>
      </c>
      <c r="AJ405" t="s">
        <v>3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">
      <c r="A406">
        <f>ROW(Source!A204)</f>
        <v>204</v>
      </c>
      <c r="B406">
        <v>56610758</v>
      </c>
      <c r="C406">
        <v>56610747</v>
      </c>
      <c r="D406">
        <v>46725969</v>
      </c>
      <c r="E406">
        <v>1</v>
      </c>
      <c r="F406">
        <v>1</v>
      </c>
      <c r="G406">
        <v>27786564</v>
      </c>
      <c r="H406">
        <v>3</v>
      </c>
      <c r="I406" t="s">
        <v>658</v>
      </c>
      <c r="J406" t="s">
        <v>659</v>
      </c>
      <c r="K406" t="s">
        <v>660</v>
      </c>
      <c r="L406">
        <v>1348</v>
      </c>
      <c r="N406">
        <v>1009</v>
      </c>
      <c r="O406" t="s">
        <v>318</v>
      </c>
      <c r="P406" t="s">
        <v>318</v>
      </c>
      <c r="Q406">
        <v>1000</v>
      </c>
      <c r="X406">
        <v>0.04</v>
      </c>
      <c r="Y406">
        <v>1445.87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 t="s">
        <v>3</v>
      </c>
      <c r="AG406">
        <v>0.04</v>
      </c>
      <c r="AH406">
        <v>3</v>
      </c>
      <c r="AI406">
        <v>-1</v>
      </c>
      <c r="AJ406" t="s">
        <v>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">
      <c r="A407">
        <f>ROW(Source!A204)</f>
        <v>204</v>
      </c>
      <c r="B407">
        <v>56610759</v>
      </c>
      <c r="C407">
        <v>56610747</v>
      </c>
      <c r="D407">
        <v>30384722</v>
      </c>
      <c r="E407">
        <v>27786564</v>
      </c>
      <c r="F407">
        <v>1</v>
      </c>
      <c r="G407">
        <v>27786564</v>
      </c>
      <c r="H407">
        <v>3</v>
      </c>
      <c r="I407" t="s">
        <v>661</v>
      </c>
      <c r="J407" t="s">
        <v>3</v>
      </c>
      <c r="K407" t="s">
        <v>662</v>
      </c>
      <c r="L407">
        <v>1348</v>
      </c>
      <c r="N407">
        <v>1009</v>
      </c>
      <c r="O407" t="s">
        <v>318</v>
      </c>
      <c r="P407" t="s">
        <v>318</v>
      </c>
      <c r="Q407">
        <v>1000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 t="s">
        <v>3</v>
      </c>
      <c r="AG407">
        <v>0</v>
      </c>
      <c r="AH407">
        <v>3</v>
      </c>
      <c r="AI407">
        <v>-1</v>
      </c>
      <c r="AJ407" t="s">
        <v>3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">
      <c r="A408">
        <f>ROW(Source!A205)</f>
        <v>205</v>
      </c>
      <c r="B408">
        <v>56610749</v>
      </c>
      <c r="C408">
        <v>56610747</v>
      </c>
      <c r="D408">
        <v>47634407</v>
      </c>
      <c r="E408">
        <v>27786564</v>
      </c>
      <c r="F408">
        <v>1</v>
      </c>
      <c r="G408">
        <v>27786564</v>
      </c>
      <c r="H408">
        <v>1</v>
      </c>
      <c r="I408" t="s">
        <v>452</v>
      </c>
      <c r="J408" t="s">
        <v>3</v>
      </c>
      <c r="K408" t="s">
        <v>453</v>
      </c>
      <c r="L408">
        <v>1191</v>
      </c>
      <c r="N408">
        <v>1013</v>
      </c>
      <c r="O408" t="s">
        <v>454</v>
      </c>
      <c r="P408" t="s">
        <v>454</v>
      </c>
      <c r="Q408">
        <v>1</v>
      </c>
      <c r="X408">
        <v>4.29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1</v>
      </c>
      <c r="AF408" t="s">
        <v>22</v>
      </c>
      <c r="AG408">
        <v>4.5045000000000002</v>
      </c>
      <c r="AH408">
        <v>3</v>
      </c>
      <c r="AI408">
        <v>-1</v>
      </c>
      <c r="AJ408" t="s">
        <v>3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">
      <c r="A409">
        <f>ROW(Source!A205)</f>
        <v>205</v>
      </c>
      <c r="B409">
        <v>56610750</v>
      </c>
      <c r="C409">
        <v>56610747</v>
      </c>
      <c r="D409">
        <v>47766768</v>
      </c>
      <c r="E409">
        <v>1</v>
      </c>
      <c r="F409">
        <v>1</v>
      </c>
      <c r="G409">
        <v>27786564</v>
      </c>
      <c r="H409">
        <v>2</v>
      </c>
      <c r="I409" t="s">
        <v>596</v>
      </c>
      <c r="J409" t="s">
        <v>597</v>
      </c>
      <c r="K409" t="s">
        <v>598</v>
      </c>
      <c r="L409">
        <v>1368</v>
      </c>
      <c r="N409">
        <v>1011</v>
      </c>
      <c r="O409" t="s">
        <v>458</v>
      </c>
      <c r="P409" t="s">
        <v>458</v>
      </c>
      <c r="Q409">
        <v>1</v>
      </c>
      <c r="X409">
        <v>0.3</v>
      </c>
      <c r="Y409">
        <v>0</v>
      </c>
      <c r="Z409">
        <v>41.45</v>
      </c>
      <c r="AA409">
        <v>12.62</v>
      </c>
      <c r="AB409">
        <v>0</v>
      </c>
      <c r="AC409">
        <v>0</v>
      </c>
      <c r="AD409">
        <v>1</v>
      </c>
      <c r="AE409">
        <v>0</v>
      </c>
      <c r="AF409" t="s">
        <v>22</v>
      </c>
      <c r="AG409">
        <v>0.315</v>
      </c>
      <c r="AH409">
        <v>3</v>
      </c>
      <c r="AI409">
        <v>-1</v>
      </c>
      <c r="AJ409" t="s">
        <v>3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">
      <c r="A410">
        <f>ROW(Source!A205)</f>
        <v>205</v>
      </c>
      <c r="B410">
        <v>56610751</v>
      </c>
      <c r="C410">
        <v>56610747</v>
      </c>
      <c r="D410">
        <v>47766518</v>
      </c>
      <c r="E410">
        <v>1</v>
      </c>
      <c r="F410">
        <v>1</v>
      </c>
      <c r="G410">
        <v>27786564</v>
      </c>
      <c r="H410">
        <v>2</v>
      </c>
      <c r="I410" t="s">
        <v>643</v>
      </c>
      <c r="J410" t="s">
        <v>644</v>
      </c>
      <c r="K410" t="s">
        <v>645</v>
      </c>
      <c r="L410">
        <v>1368</v>
      </c>
      <c r="N410">
        <v>1011</v>
      </c>
      <c r="O410" t="s">
        <v>458</v>
      </c>
      <c r="P410" t="s">
        <v>458</v>
      </c>
      <c r="Q410">
        <v>1</v>
      </c>
      <c r="X410">
        <v>0.3</v>
      </c>
      <c r="Y410">
        <v>0</v>
      </c>
      <c r="Z410">
        <v>153.94999999999999</v>
      </c>
      <c r="AA410">
        <v>14.54</v>
      </c>
      <c r="AB410">
        <v>0</v>
      </c>
      <c r="AC410">
        <v>0</v>
      </c>
      <c r="AD410">
        <v>1</v>
      </c>
      <c r="AE410">
        <v>0</v>
      </c>
      <c r="AF410" t="s">
        <v>22</v>
      </c>
      <c r="AG410">
        <v>0.315</v>
      </c>
      <c r="AH410">
        <v>3</v>
      </c>
      <c r="AI410">
        <v>-1</v>
      </c>
      <c r="AJ410" t="s">
        <v>3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">
      <c r="A411">
        <f>ROW(Source!A205)</f>
        <v>205</v>
      </c>
      <c r="B411">
        <v>56610752</v>
      </c>
      <c r="C411">
        <v>56610747</v>
      </c>
      <c r="D411">
        <v>47766605</v>
      </c>
      <c r="E411">
        <v>1</v>
      </c>
      <c r="F411">
        <v>1</v>
      </c>
      <c r="G411">
        <v>27786564</v>
      </c>
      <c r="H411">
        <v>2</v>
      </c>
      <c r="I411" t="s">
        <v>614</v>
      </c>
      <c r="J411" t="s">
        <v>615</v>
      </c>
      <c r="K411" t="s">
        <v>616</v>
      </c>
      <c r="L411">
        <v>1368</v>
      </c>
      <c r="N411">
        <v>1011</v>
      </c>
      <c r="O411" t="s">
        <v>458</v>
      </c>
      <c r="P411" t="s">
        <v>458</v>
      </c>
      <c r="Q411">
        <v>1</v>
      </c>
      <c r="X411">
        <v>0.3</v>
      </c>
      <c r="Y411">
        <v>0</v>
      </c>
      <c r="Z411">
        <v>140.38</v>
      </c>
      <c r="AA411">
        <v>12.62</v>
      </c>
      <c r="AB411">
        <v>0</v>
      </c>
      <c r="AC411">
        <v>0</v>
      </c>
      <c r="AD411">
        <v>1</v>
      </c>
      <c r="AE411">
        <v>0</v>
      </c>
      <c r="AF411" t="s">
        <v>22</v>
      </c>
      <c r="AG411">
        <v>0.315</v>
      </c>
      <c r="AH411">
        <v>3</v>
      </c>
      <c r="AI411">
        <v>-1</v>
      </c>
      <c r="AJ411" t="s">
        <v>3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">
      <c r="A412">
        <f>ROW(Source!A205)</f>
        <v>205</v>
      </c>
      <c r="B412">
        <v>56610753</v>
      </c>
      <c r="C412">
        <v>56610747</v>
      </c>
      <c r="D412">
        <v>47766606</v>
      </c>
      <c r="E412">
        <v>1</v>
      </c>
      <c r="F412">
        <v>1</v>
      </c>
      <c r="G412">
        <v>27786564</v>
      </c>
      <c r="H412">
        <v>2</v>
      </c>
      <c r="I412" t="s">
        <v>646</v>
      </c>
      <c r="J412" t="s">
        <v>647</v>
      </c>
      <c r="K412" t="s">
        <v>648</v>
      </c>
      <c r="L412">
        <v>1368</v>
      </c>
      <c r="N412">
        <v>1011</v>
      </c>
      <c r="O412" t="s">
        <v>458</v>
      </c>
      <c r="P412" t="s">
        <v>458</v>
      </c>
      <c r="Q412">
        <v>1</v>
      </c>
      <c r="X412">
        <v>0.3</v>
      </c>
      <c r="Y412">
        <v>0</v>
      </c>
      <c r="Z412">
        <v>260.5</v>
      </c>
      <c r="AA412">
        <v>18.62</v>
      </c>
      <c r="AB412">
        <v>0</v>
      </c>
      <c r="AC412">
        <v>0</v>
      </c>
      <c r="AD412">
        <v>1</v>
      </c>
      <c r="AE412">
        <v>0</v>
      </c>
      <c r="AF412" t="s">
        <v>22</v>
      </c>
      <c r="AG412">
        <v>0.315</v>
      </c>
      <c r="AH412">
        <v>3</v>
      </c>
      <c r="AI412">
        <v>-1</v>
      </c>
      <c r="AJ412" t="s">
        <v>3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">
      <c r="A413">
        <f>ROW(Source!A205)</f>
        <v>205</v>
      </c>
      <c r="B413">
        <v>56610754</v>
      </c>
      <c r="C413">
        <v>56610747</v>
      </c>
      <c r="D413">
        <v>47766595</v>
      </c>
      <c r="E413">
        <v>1</v>
      </c>
      <c r="F413">
        <v>1</v>
      </c>
      <c r="G413">
        <v>27786564</v>
      </c>
      <c r="H413">
        <v>2</v>
      </c>
      <c r="I413" t="s">
        <v>649</v>
      </c>
      <c r="J413" t="s">
        <v>650</v>
      </c>
      <c r="K413" t="s">
        <v>651</v>
      </c>
      <c r="L413">
        <v>1368</v>
      </c>
      <c r="N413">
        <v>1011</v>
      </c>
      <c r="O413" t="s">
        <v>458</v>
      </c>
      <c r="P413" t="s">
        <v>458</v>
      </c>
      <c r="Q413">
        <v>1</v>
      </c>
      <c r="X413">
        <v>0.3</v>
      </c>
      <c r="Y413">
        <v>0</v>
      </c>
      <c r="Z413">
        <v>163.81</v>
      </c>
      <c r="AA413">
        <v>14.54</v>
      </c>
      <c r="AB413">
        <v>0</v>
      </c>
      <c r="AC413">
        <v>0</v>
      </c>
      <c r="AD413">
        <v>1</v>
      </c>
      <c r="AE413">
        <v>0</v>
      </c>
      <c r="AF413" t="s">
        <v>22</v>
      </c>
      <c r="AG413">
        <v>0.315</v>
      </c>
      <c r="AH413">
        <v>3</v>
      </c>
      <c r="AI413">
        <v>-1</v>
      </c>
      <c r="AJ413" t="s">
        <v>3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">
      <c r="A414">
        <f>ROW(Source!A205)</f>
        <v>205</v>
      </c>
      <c r="B414">
        <v>56610755</v>
      </c>
      <c r="C414">
        <v>56610747</v>
      </c>
      <c r="D414">
        <v>47766611</v>
      </c>
      <c r="E414">
        <v>1</v>
      </c>
      <c r="F414">
        <v>1</v>
      </c>
      <c r="G414">
        <v>27786564</v>
      </c>
      <c r="H414">
        <v>2</v>
      </c>
      <c r="I414" t="s">
        <v>652</v>
      </c>
      <c r="J414" t="s">
        <v>653</v>
      </c>
      <c r="K414" t="s">
        <v>654</v>
      </c>
      <c r="L414">
        <v>1368</v>
      </c>
      <c r="N414">
        <v>1011</v>
      </c>
      <c r="O414" t="s">
        <v>458</v>
      </c>
      <c r="P414" t="s">
        <v>458</v>
      </c>
      <c r="Q414">
        <v>1</v>
      </c>
      <c r="X414">
        <v>0.3</v>
      </c>
      <c r="Y414">
        <v>0</v>
      </c>
      <c r="Z414">
        <v>283.89999999999998</v>
      </c>
      <c r="AA414">
        <v>14.54</v>
      </c>
      <c r="AB414">
        <v>0</v>
      </c>
      <c r="AC414">
        <v>0</v>
      </c>
      <c r="AD414">
        <v>1</v>
      </c>
      <c r="AE414">
        <v>0</v>
      </c>
      <c r="AF414" t="s">
        <v>22</v>
      </c>
      <c r="AG414">
        <v>0.315</v>
      </c>
      <c r="AH414">
        <v>3</v>
      </c>
      <c r="AI414">
        <v>-1</v>
      </c>
      <c r="AJ414" t="s">
        <v>3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">
      <c r="A415">
        <f>ROW(Source!A205)</f>
        <v>205</v>
      </c>
      <c r="B415">
        <v>56610756</v>
      </c>
      <c r="C415">
        <v>56610747</v>
      </c>
      <c r="D415">
        <v>47766598</v>
      </c>
      <c r="E415">
        <v>1</v>
      </c>
      <c r="F415">
        <v>1</v>
      </c>
      <c r="G415">
        <v>27786564</v>
      </c>
      <c r="H415">
        <v>2</v>
      </c>
      <c r="I415" t="s">
        <v>655</v>
      </c>
      <c r="J415" t="s">
        <v>656</v>
      </c>
      <c r="K415" t="s">
        <v>657</v>
      </c>
      <c r="L415">
        <v>1368</v>
      </c>
      <c r="N415">
        <v>1011</v>
      </c>
      <c r="O415" t="s">
        <v>458</v>
      </c>
      <c r="P415" t="s">
        <v>458</v>
      </c>
      <c r="Q415">
        <v>1</v>
      </c>
      <c r="X415">
        <v>0.3</v>
      </c>
      <c r="Y415">
        <v>0</v>
      </c>
      <c r="Z415">
        <v>189.45</v>
      </c>
      <c r="AA415">
        <v>16.93</v>
      </c>
      <c r="AB415">
        <v>0</v>
      </c>
      <c r="AC415">
        <v>0</v>
      </c>
      <c r="AD415">
        <v>1</v>
      </c>
      <c r="AE415">
        <v>0</v>
      </c>
      <c r="AF415" t="s">
        <v>22</v>
      </c>
      <c r="AG415">
        <v>0.315</v>
      </c>
      <c r="AH415">
        <v>3</v>
      </c>
      <c r="AI415">
        <v>-1</v>
      </c>
      <c r="AJ415" t="s">
        <v>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">
      <c r="A416">
        <f>ROW(Source!A205)</f>
        <v>205</v>
      </c>
      <c r="B416">
        <v>56610757</v>
      </c>
      <c r="C416">
        <v>56610747</v>
      </c>
      <c r="D416">
        <v>47766599</v>
      </c>
      <c r="E416">
        <v>1</v>
      </c>
      <c r="F416">
        <v>1</v>
      </c>
      <c r="G416">
        <v>27786564</v>
      </c>
      <c r="H416">
        <v>2</v>
      </c>
      <c r="I416" t="s">
        <v>617</v>
      </c>
      <c r="J416" t="s">
        <v>618</v>
      </c>
      <c r="K416" t="s">
        <v>619</v>
      </c>
      <c r="L416">
        <v>1368</v>
      </c>
      <c r="N416">
        <v>1011</v>
      </c>
      <c r="O416" t="s">
        <v>458</v>
      </c>
      <c r="P416" t="s">
        <v>458</v>
      </c>
      <c r="Q416">
        <v>1</v>
      </c>
      <c r="X416">
        <v>0.9</v>
      </c>
      <c r="Y416">
        <v>0</v>
      </c>
      <c r="Z416">
        <v>180.35</v>
      </c>
      <c r="AA416">
        <v>16.93</v>
      </c>
      <c r="AB416">
        <v>0</v>
      </c>
      <c r="AC416">
        <v>0</v>
      </c>
      <c r="AD416">
        <v>1</v>
      </c>
      <c r="AE416">
        <v>0</v>
      </c>
      <c r="AF416" t="s">
        <v>22</v>
      </c>
      <c r="AG416">
        <v>0.94500000000000006</v>
      </c>
      <c r="AH416">
        <v>3</v>
      </c>
      <c r="AI416">
        <v>-1</v>
      </c>
      <c r="AJ416" t="s">
        <v>3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">
      <c r="A417">
        <f>ROW(Source!A205)</f>
        <v>205</v>
      </c>
      <c r="B417">
        <v>56610758</v>
      </c>
      <c r="C417">
        <v>56610747</v>
      </c>
      <c r="D417">
        <v>46725969</v>
      </c>
      <c r="E417">
        <v>1</v>
      </c>
      <c r="F417">
        <v>1</v>
      </c>
      <c r="G417">
        <v>27786564</v>
      </c>
      <c r="H417">
        <v>3</v>
      </c>
      <c r="I417" t="s">
        <v>658</v>
      </c>
      <c r="J417" t="s">
        <v>659</v>
      </c>
      <c r="K417" t="s">
        <v>660</v>
      </c>
      <c r="L417">
        <v>1348</v>
      </c>
      <c r="N417">
        <v>1009</v>
      </c>
      <c r="O417" t="s">
        <v>318</v>
      </c>
      <c r="P417" t="s">
        <v>318</v>
      </c>
      <c r="Q417">
        <v>1000</v>
      </c>
      <c r="X417">
        <v>0.04</v>
      </c>
      <c r="Y417">
        <v>1445.87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 t="s">
        <v>3</v>
      </c>
      <c r="AG417">
        <v>0.04</v>
      </c>
      <c r="AH417">
        <v>3</v>
      </c>
      <c r="AI417">
        <v>-1</v>
      </c>
      <c r="AJ417" t="s">
        <v>3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">
      <c r="A418">
        <f>ROW(Source!A205)</f>
        <v>205</v>
      </c>
      <c r="B418">
        <v>56610759</v>
      </c>
      <c r="C418">
        <v>56610747</v>
      </c>
      <c r="D418">
        <v>30384722</v>
      </c>
      <c r="E418">
        <v>27786564</v>
      </c>
      <c r="F418">
        <v>1</v>
      </c>
      <c r="G418">
        <v>27786564</v>
      </c>
      <c r="H418">
        <v>3</v>
      </c>
      <c r="I418" t="s">
        <v>661</v>
      </c>
      <c r="J418" t="s">
        <v>3</v>
      </c>
      <c r="K418" t="s">
        <v>662</v>
      </c>
      <c r="L418">
        <v>1348</v>
      </c>
      <c r="N418">
        <v>1009</v>
      </c>
      <c r="O418" t="s">
        <v>318</v>
      </c>
      <c r="P418" t="s">
        <v>318</v>
      </c>
      <c r="Q418">
        <v>1000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 t="s">
        <v>3</v>
      </c>
      <c r="AG418">
        <v>0</v>
      </c>
      <c r="AH418">
        <v>3</v>
      </c>
      <c r="AI418">
        <v>-1</v>
      </c>
      <c r="AJ418" t="s">
        <v>3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">
      <c r="A419">
        <f>ROW(Source!A208)</f>
        <v>208</v>
      </c>
      <c r="B419">
        <v>56610763</v>
      </c>
      <c r="C419">
        <v>56610761</v>
      </c>
      <c r="D419">
        <v>47634407</v>
      </c>
      <c r="E419">
        <v>27786564</v>
      </c>
      <c r="F419">
        <v>1</v>
      </c>
      <c r="G419">
        <v>27786564</v>
      </c>
      <c r="H419">
        <v>1</v>
      </c>
      <c r="I419" t="s">
        <v>452</v>
      </c>
      <c r="J419" t="s">
        <v>3</v>
      </c>
      <c r="K419" t="s">
        <v>453</v>
      </c>
      <c r="L419">
        <v>1191</v>
      </c>
      <c r="N419">
        <v>1013</v>
      </c>
      <c r="O419" t="s">
        <v>454</v>
      </c>
      <c r="P419" t="s">
        <v>454</v>
      </c>
      <c r="Q419">
        <v>1</v>
      </c>
      <c r="X419">
        <v>4.29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1</v>
      </c>
      <c r="AF419" t="s">
        <v>22</v>
      </c>
      <c r="AG419">
        <v>4.5045000000000002</v>
      </c>
      <c r="AH419">
        <v>3</v>
      </c>
      <c r="AI419">
        <v>-1</v>
      </c>
      <c r="AJ419" t="s">
        <v>3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">
      <c r="A420">
        <f>ROW(Source!A208)</f>
        <v>208</v>
      </c>
      <c r="B420">
        <v>56610764</v>
      </c>
      <c r="C420">
        <v>56610761</v>
      </c>
      <c r="D420">
        <v>47766768</v>
      </c>
      <c r="E420">
        <v>1</v>
      </c>
      <c r="F420">
        <v>1</v>
      </c>
      <c r="G420">
        <v>27786564</v>
      </c>
      <c r="H420">
        <v>2</v>
      </c>
      <c r="I420" t="s">
        <v>596</v>
      </c>
      <c r="J420" t="s">
        <v>597</v>
      </c>
      <c r="K420" t="s">
        <v>598</v>
      </c>
      <c r="L420">
        <v>1368</v>
      </c>
      <c r="N420">
        <v>1011</v>
      </c>
      <c r="O420" t="s">
        <v>458</v>
      </c>
      <c r="P420" t="s">
        <v>458</v>
      </c>
      <c r="Q420">
        <v>1</v>
      </c>
      <c r="X420">
        <v>0.3</v>
      </c>
      <c r="Y420">
        <v>0</v>
      </c>
      <c r="Z420">
        <v>41.45</v>
      </c>
      <c r="AA420">
        <v>12.62</v>
      </c>
      <c r="AB420">
        <v>0</v>
      </c>
      <c r="AC420">
        <v>0</v>
      </c>
      <c r="AD420">
        <v>1</v>
      </c>
      <c r="AE420">
        <v>0</v>
      </c>
      <c r="AF420" t="s">
        <v>22</v>
      </c>
      <c r="AG420">
        <v>0.315</v>
      </c>
      <c r="AH420">
        <v>3</v>
      </c>
      <c r="AI420">
        <v>-1</v>
      </c>
      <c r="AJ420" t="s">
        <v>3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">
      <c r="A421">
        <f>ROW(Source!A208)</f>
        <v>208</v>
      </c>
      <c r="B421">
        <v>56610765</v>
      </c>
      <c r="C421">
        <v>56610761</v>
      </c>
      <c r="D421">
        <v>47766518</v>
      </c>
      <c r="E421">
        <v>1</v>
      </c>
      <c r="F421">
        <v>1</v>
      </c>
      <c r="G421">
        <v>27786564</v>
      </c>
      <c r="H421">
        <v>2</v>
      </c>
      <c r="I421" t="s">
        <v>643</v>
      </c>
      <c r="J421" t="s">
        <v>644</v>
      </c>
      <c r="K421" t="s">
        <v>645</v>
      </c>
      <c r="L421">
        <v>1368</v>
      </c>
      <c r="N421">
        <v>1011</v>
      </c>
      <c r="O421" t="s">
        <v>458</v>
      </c>
      <c r="P421" t="s">
        <v>458</v>
      </c>
      <c r="Q421">
        <v>1</v>
      </c>
      <c r="X421">
        <v>0.3</v>
      </c>
      <c r="Y421">
        <v>0</v>
      </c>
      <c r="Z421">
        <v>153.94999999999999</v>
      </c>
      <c r="AA421">
        <v>14.54</v>
      </c>
      <c r="AB421">
        <v>0</v>
      </c>
      <c r="AC421">
        <v>0</v>
      </c>
      <c r="AD421">
        <v>1</v>
      </c>
      <c r="AE421">
        <v>0</v>
      </c>
      <c r="AF421" t="s">
        <v>22</v>
      </c>
      <c r="AG421">
        <v>0.315</v>
      </c>
      <c r="AH421">
        <v>3</v>
      </c>
      <c r="AI421">
        <v>-1</v>
      </c>
      <c r="AJ421" t="s">
        <v>3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">
      <c r="A422">
        <f>ROW(Source!A208)</f>
        <v>208</v>
      </c>
      <c r="B422">
        <v>56610766</v>
      </c>
      <c r="C422">
        <v>56610761</v>
      </c>
      <c r="D422">
        <v>47766605</v>
      </c>
      <c r="E422">
        <v>1</v>
      </c>
      <c r="F422">
        <v>1</v>
      </c>
      <c r="G422">
        <v>27786564</v>
      </c>
      <c r="H422">
        <v>2</v>
      </c>
      <c r="I422" t="s">
        <v>614</v>
      </c>
      <c r="J422" t="s">
        <v>615</v>
      </c>
      <c r="K422" t="s">
        <v>616</v>
      </c>
      <c r="L422">
        <v>1368</v>
      </c>
      <c r="N422">
        <v>1011</v>
      </c>
      <c r="O422" t="s">
        <v>458</v>
      </c>
      <c r="P422" t="s">
        <v>458</v>
      </c>
      <c r="Q422">
        <v>1</v>
      </c>
      <c r="X422">
        <v>0.3</v>
      </c>
      <c r="Y422">
        <v>0</v>
      </c>
      <c r="Z422">
        <v>140.38</v>
      </c>
      <c r="AA422">
        <v>12.62</v>
      </c>
      <c r="AB422">
        <v>0</v>
      </c>
      <c r="AC422">
        <v>0</v>
      </c>
      <c r="AD422">
        <v>1</v>
      </c>
      <c r="AE422">
        <v>0</v>
      </c>
      <c r="AF422" t="s">
        <v>22</v>
      </c>
      <c r="AG422">
        <v>0.315</v>
      </c>
      <c r="AH422">
        <v>3</v>
      </c>
      <c r="AI422">
        <v>-1</v>
      </c>
      <c r="AJ422" t="s">
        <v>3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">
      <c r="A423">
        <f>ROW(Source!A208)</f>
        <v>208</v>
      </c>
      <c r="B423">
        <v>56610767</v>
      </c>
      <c r="C423">
        <v>56610761</v>
      </c>
      <c r="D423">
        <v>47766606</v>
      </c>
      <c r="E423">
        <v>1</v>
      </c>
      <c r="F423">
        <v>1</v>
      </c>
      <c r="G423">
        <v>27786564</v>
      </c>
      <c r="H423">
        <v>2</v>
      </c>
      <c r="I423" t="s">
        <v>646</v>
      </c>
      <c r="J423" t="s">
        <v>647</v>
      </c>
      <c r="K423" t="s">
        <v>648</v>
      </c>
      <c r="L423">
        <v>1368</v>
      </c>
      <c r="N423">
        <v>1011</v>
      </c>
      <c r="O423" t="s">
        <v>458</v>
      </c>
      <c r="P423" t="s">
        <v>458</v>
      </c>
      <c r="Q423">
        <v>1</v>
      </c>
      <c r="X423">
        <v>0.3</v>
      </c>
      <c r="Y423">
        <v>0</v>
      </c>
      <c r="Z423">
        <v>260.5</v>
      </c>
      <c r="AA423">
        <v>18.62</v>
      </c>
      <c r="AB423">
        <v>0</v>
      </c>
      <c r="AC423">
        <v>0</v>
      </c>
      <c r="AD423">
        <v>1</v>
      </c>
      <c r="AE423">
        <v>0</v>
      </c>
      <c r="AF423" t="s">
        <v>22</v>
      </c>
      <c r="AG423">
        <v>0.315</v>
      </c>
      <c r="AH423">
        <v>3</v>
      </c>
      <c r="AI423">
        <v>-1</v>
      </c>
      <c r="AJ423" t="s">
        <v>3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">
      <c r="A424">
        <f>ROW(Source!A208)</f>
        <v>208</v>
      </c>
      <c r="B424">
        <v>56610768</v>
      </c>
      <c r="C424">
        <v>56610761</v>
      </c>
      <c r="D424">
        <v>47766595</v>
      </c>
      <c r="E424">
        <v>1</v>
      </c>
      <c r="F424">
        <v>1</v>
      </c>
      <c r="G424">
        <v>27786564</v>
      </c>
      <c r="H424">
        <v>2</v>
      </c>
      <c r="I424" t="s">
        <v>649</v>
      </c>
      <c r="J424" t="s">
        <v>650</v>
      </c>
      <c r="K424" t="s">
        <v>651</v>
      </c>
      <c r="L424">
        <v>1368</v>
      </c>
      <c r="N424">
        <v>1011</v>
      </c>
      <c r="O424" t="s">
        <v>458</v>
      </c>
      <c r="P424" t="s">
        <v>458</v>
      </c>
      <c r="Q424">
        <v>1</v>
      </c>
      <c r="X424">
        <v>0.3</v>
      </c>
      <c r="Y424">
        <v>0</v>
      </c>
      <c r="Z424">
        <v>163.81</v>
      </c>
      <c r="AA424">
        <v>14.54</v>
      </c>
      <c r="AB424">
        <v>0</v>
      </c>
      <c r="AC424">
        <v>0</v>
      </c>
      <c r="AD424">
        <v>1</v>
      </c>
      <c r="AE424">
        <v>0</v>
      </c>
      <c r="AF424" t="s">
        <v>22</v>
      </c>
      <c r="AG424">
        <v>0.315</v>
      </c>
      <c r="AH424">
        <v>3</v>
      </c>
      <c r="AI424">
        <v>-1</v>
      </c>
      <c r="AJ424" t="s">
        <v>3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">
      <c r="A425">
        <f>ROW(Source!A208)</f>
        <v>208</v>
      </c>
      <c r="B425">
        <v>56610769</v>
      </c>
      <c r="C425">
        <v>56610761</v>
      </c>
      <c r="D425">
        <v>47766611</v>
      </c>
      <c r="E425">
        <v>1</v>
      </c>
      <c r="F425">
        <v>1</v>
      </c>
      <c r="G425">
        <v>27786564</v>
      </c>
      <c r="H425">
        <v>2</v>
      </c>
      <c r="I425" t="s">
        <v>652</v>
      </c>
      <c r="J425" t="s">
        <v>653</v>
      </c>
      <c r="K425" t="s">
        <v>654</v>
      </c>
      <c r="L425">
        <v>1368</v>
      </c>
      <c r="N425">
        <v>1011</v>
      </c>
      <c r="O425" t="s">
        <v>458</v>
      </c>
      <c r="P425" t="s">
        <v>458</v>
      </c>
      <c r="Q425">
        <v>1</v>
      </c>
      <c r="X425">
        <v>0.3</v>
      </c>
      <c r="Y425">
        <v>0</v>
      </c>
      <c r="Z425">
        <v>283.89999999999998</v>
      </c>
      <c r="AA425">
        <v>14.54</v>
      </c>
      <c r="AB425">
        <v>0</v>
      </c>
      <c r="AC425">
        <v>0</v>
      </c>
      <c r="AD425">
        <v>1</v>
      </c>
      <c r="AE425">
        <v>0</v>
      </c>
      <c r="AF425" t="s">
        <v>22</v>
      </c>
      <c r="AG425">
        <v>0.315</v>
      </c>
      <c r="AH425">
        <v>3</v>
      </c>
      <c r="AI425">
        <v>-1</v>
      </c>
      <c r="AJ425" t="s">
        <v>3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">
      <c r="A426">
        <f>ROW(Source!A208)</f>
        <v>208</v>
      </c>
      <c r="B426">
        <v>56610770</v>
      </c>
      <c r="C426">
        <v>56610761</v>
      </c>
      <c r="D426">
        <v>47766598</v>
      </c>
      <c r="E426">
        <v>1</v>
      </c>
      <c r="F426">
        <v>1</v>
      </c>
      <c r="G426">
        <v>27786564</v>
      </c>
      <c r="H426">
        <v>2</v>
      </c>
      <c r="I426" t="s">
        <v>655</v>
      </c>
      <c r="J426" t="s">
        <v>656</v>
      </c>
      <c r="K426" t="s">
        <v>657</v>
      </c>
      <c r="L426">
        <v>1368</v>
      </c>
      <c r="N426">
        <v>1011</v>
      </c>
      <c r="O426" t="s">
        <v>458</v>
      </c>
      <c r="P426" t="s">
        <v>458</v>
      </c>
      <c r="Q426">
        <v>1</v>
      </c>
      <c r="X426">
        <v>0.3</v>
      </c>
      <c r="Y426">
        <v>0</v>
      </c>
      <c r="Z426">
        <v>189.45</v>
      </c>
      <c r="AA426">
        <v>16.93</v>
      </c>
      <c r="AB426">
        <v>0</v>
      </c>
      <c r="AC426">
        <v>0</v>
      </c>
      <c r="AD426">
        <v>1</v>
      </c>
      <c r="AE426">
        <v>0</v>
      </c>
      <c r="AF426" t="s">
        <v>22</v>
      </c>
      <c r="AG426">
        <v>0.315</v>
      </c>
      <c r="AH426">
        <v>3</v>
      </c>
      <c r="AI426">
        <v>-1</v>
      </c>
      <c r="AJ426" t="s">
        <v>3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">
      <c r="A427">
        <f>ROW(Source!A208)</f>
        <v>208</v>
      </c>
      <c r="B427">
        <v>56610771</v>
      </c>
      <c r="C427">
        <v>56610761</v>
      </c>
      <c r="D427">
        <v>47766599</v>
      </c>
      <c r="E427">
        <v>1</v>
      </c>
      <c r="F427">
        <v>1</v>
      </c>
      <c r="G427">
        <v>27786564</v>
      </c>
      <c r="H427">
        <v>2</v>
      </c>
      <c r="I427" t="s">
        <v>617</v>
      </c>
      <c r="J427" t="s">
        <v>618</v>
      </c>
      <c r="K427" t="s">
        <v>619</v>
      </c>
      <c r="L427">
        <v>1368</v>
      </c>
      <c r="N427">
        <v>1011</v>
      </c>
      <c r="O427" t="s">
        <v>458</v>
      </c>
      <c r="P427" t="s">
        <v>458</v>
      </c>
      <c r="Q427">
        <v>1</v>
      </c>
      <c r="X427">
        <v>0.9</v>
      </c>
      <c r="Y427">
        <v>0</v>
      </c>
      <c r="Z427">
        <v>180.35</v>
      </c>
      <c r="AA427">
        <v>16.93</v>
      </c>
      <c r="AB427">
        <v>0</v>
      </c>
      <c r="AC427">
        <v>0</v>
      </c>
      <c r="AD427">
        <v>1</v>
      </c>
      <c r="AE427">
        <v>0</v>
      </c>
      <c r="AF427" t="s">
        <v>22</v>
      </c>
      <c r="AG427">
        <v>0.94500000000000006</v>
      </c>
      <c r="AH427">
        <v>3</v>
      </c>
      <c r="AI427">
        <v>-1</v>
      </c>
      <c r="AJ427" t="s">
        <v>3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">
      <c r="A428">
        <f>ROW(Source!A208)</f>
        <v>208</v>
      </c>
      <c r="B428">
        <v>56610772</v>
      </c>
      <c r="C428">
        <v>56610761</v>
      </c>
      <c r="D428">
        <v>46725969</v>
      </c>
      <c r="E428">
        <v>1</v>
      </c>
      <c r="F428">
        <v>1</v>
      </c>
      <c r="G428">
        <v>27786564</v>
      </c>
      <c r="H428">
        <v>3</v>
      </c>
      <c r="I428" t="s">
        <v>658</v>
      </c>
      <c r="J428" t="s">
        <v>659</v>
      </c>
      <c r="K428" t="s">
        <v>660</v>
      </c>
      <c r="L428">
        <v>1348</v>
      </c>
      <c r="N428">
        <v>1009</v>
      </c>
      <c r="O428" t="s">
        <v>318</v>
      </c>
      <c r="P428" t="s">
        <v>318</v>
      </c>
      <c r="Q428">
        <v>1000</v>
      </c>
      <c r="X428">
        <v>0.04</v>
      </c>
      <c r="Y428">
        <v>1445.87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 t="s">
        <v>3</v>
      </c>
      <c r="AG428">
        <v>0.04</v>
      </c>
      <c r="AH428">
        <v>3</v>
      </c>
      <c r="AI428">
        <v>-1</v>
      </c>
      <c r="AJ428" t="s">
        <v>3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">
      <c r="A429">
        <f>ROW(Source!A208)</f>
        <v>208</v>
      </c>
      <c r="B429">
        <v>56610773</v>
      </c>
      <c r="C429">
        <v>56610761</v>
      </c>
      <c r="D429">
        <v>30384722</v>
      </c>
      <c r="E429">
        <v>27786564</v>
      </c>
      <c r="F429">
        <v>1</v>
      </c>
      <c r="G429">
        <v>27786564</v>
      </c>
      <c r="H429">
        <v>3</v>
      </c>
      <c r="I429" t="s">
        <v>661</v>
      </c>
      <c r="J429" t="s">
        <v>3</v>
      </c>
      <c r="K429" t="s">
        <v>662</v>
      </c>
      <c r="L429">
        <v>1348</v>
      </c>
      <c r="N429">
        <v>1009</v>
      </c>
      <c r="O429" t="s">
        <v>318</v>
      </c>
      <c r="P429" t="s">
        <v>318</v>
      </c>
      <c r="Q429">
        <v>1000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 t="s">
        <v>3</v>
      </c>
      <c r="AG429">
        <v>0</v>
      </c>
      <c r="AH429">
        <v>3</v>
      </c>
      <c r="AI429">
        <v>-1</v>
      </c>
      <c r="AJ429" t="s">
        <v>3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">
      <c r="A430">
        <f>ROW(Source!A209)</f>
        <v>209</v>
      </c>
      <c r="B430">
        <v>56610763</v>
      </c>
      <c r="C430">
        <v>56610761</v>
      </c>
      <c r="D430">
        <v>47634407</v>
      </c>
      <c r="E430">
        <v>27786564</v>
      </c>
      <c r="F430">
        <v>1</v>
      </c>
      <c r="G430">
        <v>27786564</v>
      </c>
      <c r="H430">
        <v>1</v>
      </c>
      <c r="I430" t="s">
        <v>452</v>
      </c>
      <c r="J430" t="s">
        <v>3</v>
      </c>
      <c r="K430" t="s">
        <v>453</v>
      </c>
      <c r="L430">
        <v>1191</v>
      </c>
      <c r="N430">
        <v>1013</v>
      </c>
      <c r="O430" t="s">
        <v>454</v>
      </c>
      <c r="P430" t="s">
        <v>454</v>
      </c>
      <c r="Q430">
        <v>1</v>
      </c>
      <c r="X430">
        <v>4.29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1</v>
      </c>
      <c r="AF430" t="s">
        <v>22</v>
      </c>
      <c r="AG430">
        <v>4.5045000000000002</v>
      </c>
      <c r="AH430">
        <v>3</v>
      </c>
      <c r="AI430">
        <v>-1</v>
      </c>
      <c r="AJ430" t="s">
        <v>3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">
      <c r="A431">
        <f>ROW(Source!A209)</f>
        <v>209</v>
      </c>
      <c r="B431">
        <v>56610764</v>
      </c>
      <c r="C431">
        <v>56610761</v>
      </c>
      <c r="D431">
        <v>47766768</v>
      </c>
      <c r="E431">
        <v>1</v>
      </c>
      <c r="F431">
        <v>1</v>
      </c>
      <c r="G431">
        <v>27786564</v>
      </c>
      <c r="H431">
        <v>2</v>
      </c>
      <c r="I431" t="s">
        <v>596</v>
      </c>
      <c r="J431" t="s">
        <v>597</v>
      </c>
      <c r="K431" t="s">
        <v>598</v>
      </c>
      <c r="L431">
        <v>1368</v>
      </c>
      <c r="N431">
        <v>1011</v>
      </c>
      <c r="O431" t="s">
        <v>458</v>
      </c>
      <c r="P431" t="s">
        <v>458</v>
      </c>
      <c r="Q431">
        <v>1</v>
      </c>
      <c r="X431">
        <v>0.3</v>
      </c>
      <c r="Y431">
        <v>0</v>
      </c>
      <c r="Z431">
        <v>41.45</v>
      </c>
      <c r="AA431">
        <v>12.62</v>
      </c>
      <c r="AB431">
        <v>0</v>
      </c>
      <c r="AC431">
        <v>0</v>
      </c>
      <c r="AD431">
        <v>1</v>
      </c>
      <c r="AE431">
        <v>0</v>
      </c>
      <c r="AF431" t="s">
        <v>22</v>
      </c>
      <c r="AG431">
        <v>0.315</v>
      </c>
      <c r="AH431">
        <v>3</v>
      </c>
      <c r="AI431">
        <v>-1</v>
      </c>
      <c r="AJ431" t="s">
        <v>3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">
      <c r="A432">
        <f>ROW(Source!A209)</f>
        <v>209</v>
      </c>
      <c r="B432">
        <v>56610765</v>
      </c>
      <c r="C432">
        <v>56610761</v>
      </c>
      <c r="D432">
        <v>47766518</v>
      </c>
      <c r="E432">
        <v>1</v>
      </c>
      <c r="F432">
        <v>1</v>
      </c>
      <c r="G432">
        <v>27786564</v>
      </c>
      <c r="H432">
        <v>2</v>
      </c>
      <c r="I432" t="s">
        <v>643</v>
      </c>
      <c r="J432" t="s">
        <v>644</v>
      </c>
      <c r="K432" t="s">
        <v>645</v>
      </c>
      <c r="L432">
        <v>1368</v>
      </c>
      <c r="N432">
        <v>1011</v>
      </c>
      <c r="O432" t="s">
        <v>458</v>
      </c>
      <c r="P432" t="s">
        <v>458</v>
      </c>
      <c r="Q432">
        <v>1</v>
      </c>
      <c r="X432">
        <v>0.3</v>
      </c>
      <c r="Y432">
        <v>0</v>
      </c>
      <c r="Z432">
        <v>153.94999999999999</v>
      </c>
      <c r="AA432">
        <v>14.54</v>
      </c>
      <c r="AB432">
        <v>0</v>
      </c>
      <c r="AC432">
        <v>0</v>
      </c>
      <c r="AD432">
        <v>1</v>
      </c>
      <c r="AE432">
        <v>0</v>
      </c>
      <c r="AF432" t="s">
        <v>22</v>
      </c>
      <c r="AG432">
        <v>0.315</v>
      </c>
      <c r="AH432">
        <v>3</v>
      </c>
      <c r="AI432">
        <v>-1</v>
      </c>
      <c r="AJ432" t="s">
        <v>3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">
      <c r="A433">
        <f>ROW(Source!A209)</f>
        <v>209</v>
      </c>
      <c r="B433">
        <v>56610766</v>
      </c>
      <c r="C433">
        <v>56610761</v>
      </c>
      <c r="D433">
        <v>47766605</v>
      </c>
      <c r="E433">
        <v>1</v>
      </c>
      <c r="F433">
        <v>1</v>
      </c>
      <c r="G433">
        <v>27786564</v>
      </c>
      <c r="H433">
        <v>2</v>
      </c>
      <c r="I433" t="s">
        <v>614</v>
      </c>
      <c r="J433" t="s">
        <v>615</v>
      </c>
      <c r="K433" t="s">
        <v>616</v>
      </c>
      <c r="L433">
        <v>1368</v>
      </c>
      <c r="N433">
        <v>1011</v>
      </c>
      <c r="O433" t="s">
        <v>458</v>
      </c>
      <c r="P433" t="s">
        <v>458</v>
      </c>
      <c r="Q433">
        <v>1</v>
      </c>
      <c r="X433">
        <v>0.3</v>
      </c>
      <c r="Y433">
        <v>0</v>
      </c>
      <c r="Z433">
        <v>140.38</v>
      </c>
      <c r="AA433">
        <v>12.62</v>
      </c>
      <c r="AB433">
        <v>0</v>
      </c>
      <c r="AC433">
        <v>0</v>
      </c>
      <c r="AD433">
        <v>1</v>
      </c>
      <c r="AE433">
        <v>0</v>
      </c>
      <c r="AF433" t="s">
        <v>22</v>
      </c>
      <c r="AG433">
        <v>0.315</v>
      </c>
      <c r="AH433">
        <v>3</v>
      </c>
      <c r="AI433">
        <v>-1</v>
      </c>
      <c r="AJ433" t="s">
        <v>3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">
      <c r="A434">
        <f>ROW(Source!A209)</f>
        <v>209</v>
      </c>
      <c r="B434">
        <v>56610767</v>
      </c>
      <c r="C434">
        <v>56610761</v>
      </c>
      <c r="D434">
        <v>47766606</v>
      </c>
      <c r="E434">
        <v>1</v>
      </c>
      <c r="F434">
        <v>1</v>
      </c>
      <c r="G434">
        <v>27786564</v>
      </c>
      <c r="H434">
        <v>2</v>
      </c>
      <c r="I434" t="s">
        <v>646</v>
      </c>
      <c r="J434" t="s">
        <v>647</v>
      </c>
      <c r="K434" t="s">
        <v>648</v>
      </c>
      <c r="L434">
        <v>1368</v>
      </c>
      <c r="N434">
        <v>1011</v>
      </c>
      <c r="O434" t="s">
        <v>458</v>
      </c>
      <c r="P434" t="s">
        <v>458</v>
      </c>
      <c r="Q434">
        <v>1</v>
      </c>
      <c r="X434">
        <v>0.3</v>
      </c>
      <c r="Y434">
        <v>0</v>
      </c>
      <c r="Z434">
        <v>260.5</v>
      </c>
      <c r="AA434">
        <v>18.62</v>
      </c>
      <c r="AB434">
        <v>0</v>
      </c>
      <c r="AC434">
        <v>0</v>
      </c>
      <c r="AD434">
        <v>1</v>
      </c>
      <c r="AE434">
        <v>0</v>
      </c>
      <c r="AF434" t="s">
        <v>22</v>
      </c>
      <c r="AG434">
        <v>0.315</v>
      </c>
      <c r="AH434">
        <v>3</v>
      </c>
      <c r="AI434">
        <v>-1</v>
      </c>
      <c r="AJ434" t="s">
        <v>3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">
      <c r="A435">
        <f>ROW(Source!A209)</f>
        <v>209</v>
      </c>
      <c r="B435">
        <v>56610768</v>
      </c>
      <c r="C435">
        <v>56610761</v>
      </c>
      <c r="D435">
        <v>47766595</v>
      </c>
      <c r="E435">
        <v>1</v>
      </c>
      <c r="F435">
        <v>1</v>
      </c>
      <c r="G435">
        <v>27786564</v>
      </c>
      <c r="H435">
        <v>2</v>
      </c>
      <c r="I435" t="s">
        <v>649</v>
      </c>
      <c r="J435" t="s">
        <v>650</v>
      </c>
      <c r="K435" t="s">
        <v>651</v>
      </c>
      <c r="L435">
        <v>1368</v>
      </c>
      <c r="N435">
        <v>1011</v>
      </c>
      <c r="O435" t="s">
        <v>458</v>
      </c>
      <c r="P435" t="s">
        <v>458</v>
      </c>
      <c r="Q435">
        <v>1</v>
      </c>
      <c r="X435">
        <v>0.3</v>
      </c>
      <c r="Y435">
        <v>0</v>
      </c>
      <c r="Z435">
        <v>163.81</v>
      </c>
      <c r="AA435">
        <v>14.54</v>
      </c>
      <c r="AB435">
        <v>0</v>
      </c>
      <c r="AC435">
        <v>0</v>
      </c>
      <c r="AD435">
        <v>1</v>
      </c>
      <c r="AE435">
        <v>0</v>
      </c>
      <c r="AF435" t="s">
        <v>22</v>
      </c>
      <c r="AG435">
        <v>0.315</v>
      </c>
      <c r="AH435">
        <v>3</v>
      </c>
      <c r="AI435">
        <v>-1</v>
      </c>
      <c r="AJ435" t="s">
        <v>3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">
      <c r="A436">
        <f>ROW(Source!A209)</f>
        <v>209</v>
      </c>
      <c r="B436">
        <v>56610769</v>
      </c>
      <c r="C436">
        <v>56610761</v>
      </c>
      <c r="D436">
        <v>47766611</v>
      </c>
      <c r="E436">
        <v>1</v>
      </c>
      <c r="F436">
        <v>1</v>
      </c>
      <c r="G436">
        <v>27786564</v>
      </c>
      <c r="H436">
        <v>2</v>
      </c>
      <c r="I436" t="s">
        <v>652</v>
      </c>
      <c r="J436" t="s">
        <v>653</v>
      </c>
      <c r="K436" t="s">
        <v>654</v>
      </c>
      <c r="L436">
        <v>1368</v>
      </c>
      <c r="N436">
        <v>1011</v>
      </c>
      <c r="O436" t="s">
        <v>458</v>
      </c>
      <c r="P436" t="s">
        <v>458</v>
      </c>
      <c r="Q436">
        <v>1</v>
      </c>
      <c r="X436">
        <v>0.3</v>
      </c>
      <c r="Y436">
        <v>0</v>
      </c>
      <c r="Z436">
        <v>283.89999999999998</v>
      </c>
      <c r="AA436">
        <v>14.54</v>
      </c>
      <c r="AB436">
        <v>0</v>
      </c>
      <c r="AC436">
        <v>0</v>
      </c>
      <c r="AD436">
        <v>1</v>
      </c>
      <c r="AE436">
        <v>0</v>
      </c>
      <c r="AF436" t="s">
        <v>22</v>
      </c>
      <c r="AG436">
        <v>0.315</v>
      </c>
      <c r="AH436">
        <v>3</v>
      </c>
      <c r="AI436">
        <v>-1</v>
      </c>
      <c r="AJ436" t="s">
        <v>3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">
      <c r="A437">
        <f>ROW(Source!A209)</f>
        <v>209</v>
      </c>
      <c r="B437">
        <v>56610770</v>
      </c>
      <c r="C437">
        <v>56610761</v>
      </c>
      <c r="D437">
        <v>47766598</v>
      </c>
      <c r="E437">
        <v>1</v>
      </c>
      <c r="F437">
        <v>1</v>
      </c>
      <c r="G437">
        <v>27786564</v>
      </c>
      <c r="H437">
        <v>2</v>
      </c>
      <c r="I437" t="s">
        <v>655</v>
      </c>
      <c r="J437" t="s">
        <v>656</v>
      </c>
      <c r="K437" t="s">
        <v>657</v>
      </c>
      <c r="L437">
        <v>1368</v>
      </c>
      <c r="N437">
        <v>1011</v>
      </c>
      <c r="O437" t="s">
        <v>458</v>
      </c>
      <c r="P437" t="s">
        <v>458</v>
      </c>
      <c r="Q437">
        <v>1</v>
      </c>
      <c r="X437">
        <v>0.3</v>
      </c>
      <c r="Y437">
        <v>0</v>
      </c>
      <c r="Z437">
        <v>189.45</v>
      </c>
      <c r="AA437">
        <v>16.93</v>
      </c>
      <c r="AB437">
        <v>0</v>
      </c>
      <c r="AC437">
        <v>0</v>
      </c>
      <c r="AD437">
        <v>1</v>
      </c>
      <c r="AE437">
        <v>0</v>
      </c>
      <c r="AF437" t="s">
        <v>22</v>
      </c>
      <c r="AG437">
        <v>0.315</v>
      </c>
      <c r="AH437">
        <v>3</v>
      </c>
      <c r="AI437">
        <v>-1</v>
      </c>
      <c r="AJ437" t="s">
        <v>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">
      <c r="A438">
        <f>ROW(Source!A209)</f>
        <v>209</v>
      </c>
      <c r="B438">
        <v>56610771</v>
      </c>
      <c r="C438">
        <v>56610761</v>
      </c>
      <c r="D438">
        <v>47766599</v>
      </c>
      <c r="E438">
        <v>1</v>
      </c>
      <c r="F438">
        <v>1</v>
      </c>
      <c r="G438">
        <v>27786564</v>
      </c>
      <c r="H438">
        <v>2</v>
      </c>
      <c r="I438" t="s">
        <v>617</v>
      </c>
      <c r="J438" t="s">
        <v>618</v>
      </c>
      <c r="K438" t="s">
        <v>619</v>
      </c>
      <c r="L438">
        <v>1368</v>
      </c>
      <c r="N438">
        <v>1011</v>
      </c>
      <c r="O438" t="s">
        <v>458</v>
      </c>
      <c r="P438" t="s">
        <v>458</v>
      </c>
      <c r="Q438">
        <v>1</v>
      </c>
      <c r="X438">
        <v>0.9</v>
      </c>
      <c r="Y438">
        <v>0</v>
      </c>
      <c r="Z438">
        <v>180.35</v>
      </c>
      <c r="AA438">
        <v>16.93</v>
      </c>
      <c r="AB438">
        <v>0</v>
      </c>
      <c r="AC438">
        <v>0</v>
      </c>
      <c r="AD438">
        <v>1</v>
      </c>
      <c r="AE438">
        <v>0</v>
      </c>
      <c r="AF438" t="s">
        <v>22</v>
      </c>
      <c r="AG438">
        <v>0.94500000000000006</v>
      </c>
      <c r="AH438">
        <v>3</v>
      </c>
      <c r="AI438">
        <v>-1</v>
      </c>
      <c r="AJ438" t="s">
        <v>3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">
      <c r="A439">
        <f>ROW(Source!A209)</f>
        <v>209</v>
      </c>
      <c r="B439">
        <v>56610772</v>
      </c>
      <c r="C439">
        <v>56610761</v>
      </c>
      <c r="D439">
        <v>46725969</v>
      </c>
      <c r="E439">
        <v>1</v>
      </c>
      <c r="F439">
        <v>1</v>
      </c>
      <c r="G439">
        <v>27786564</v>
      </c>
      <c r="H439">
        <v>3</v>
      </c>
      <c r="I439" t="s">
        <v>658</v>
      </c>
      <c r="J439" t="s">
        <v>659</v>
      </c>
      <c r="K439" t="s">
        <v>660</v>
      </c>
      <c r="L439">
        <v>1348</v>
      </c>
      <c r="N439">
        <v>1009</v>
      </c>
      <c r="O439" t="s">
        <v>318</v>
      </c>
      <c r="P439" t="s">
        <v>318</v>
      </c>
      <c r="Q439">
        <v>1000</v>
      </c>
      <c r="X439">
        <v>0.04</v>
      </c>
      <c r="Y439">
        <v>1445.87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 t="s">
        <v>3</v>
      </c>
      <c r="AG439">
        <v>0.04</v>
      </c>
      <c r="AH439">
        <v>3</v>
      </c>
      <c r="AI439">
        <v>-1</v>
      </c>
      <c r="AJ439" t="s">
        <v>3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">
      <c r="A440">
        <f>ROW(Source!A209)</f>
        <v>209</v>
      </c>
      <c r="B440">
        <v>56610773</v>
      </c>
      <c r="C440">
        <v>56610761</v>
      </c>
      <c r="D440">
        <v>30384722</v>
      </c>
      <c r="E440">
        <v>27786564</v>
      </c>
      <c r="F440">
        <v>1</v>
      </c>
      <c r="G440">
        <v>27786564</v>
      </c>
      <c r="H440">
        <v>3</v>
      </c>
      <c r="I440" t="s">
        <v>661</v>
      </c>
      <c r="J440" t="s">
        <v>3</v>
      </c>
      <c r="K440" t="s">
        <v>662</v>
      </c>
      <c r="L440">
        <v>1348</v>
      </c>
      <c r="N440">
        <v>1009</v>
      </c>
      <c r="O440" t="s">
        <v>318</v>
      </c>
      <c r="P440" t="s">
        <v>318</v>
      </c>
      <c r="Q440">
        <v>1000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3</v>
      </c>
      <c r="AG440">
        <v>0</v>
      </c>
      <c r="AH440">
        <v>3</v>
      </c>
      <c r="AI440">
        <v>-1</v>
      </c>
      <c r="AJ440" t="s">
        <v>3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">
      <c r="A441">
        <f>ROW(Source!A212)</f>
        <v>212</v>
      </c>
      <c r="B441">
        <v>56610777</v>
      </c>
      <c r="C441">
        <v>56610775</v>
      </c>
      <c r="D441">
        <v>47634407</v>
      </c>
      <c r="E441">
        <v>27786564</v>
      </c>
      <c r="F441">
        <v>1</v>
      </c>
      <c r="G441">
        <v>27786564</v>
      </c>
      <c r="H441">
        <v>1</v>
      </c>
      <c r="I441" t="s">
        <v>452</v>
      </c>
      <c r="J441" t="s">
        <v>3</v>
      </c>
      <c r="K441" t="s">
        <v>453</v>
      </c>
      <c r="L441">
        <v>1191</v>
      </c>
      <c r="N441">
        <v>1013</v>
      </c>
      <c r="O441" t="s">
        <v>454</v>
      </c>
      <c r="P441" t="s">
        <v>454</v>
      </c>
      <c r="Q441">
        <v>1</v>
      </c>
      <c r="X441">
        <v>0.53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1</v>
      </c>
      <c r="AF441" t="s">
        <v>326</v>
      </c>
      <c r="AG441">
        <v>2.7825000000000006</v>
      </c>
      <c r="AH441">
        <v>3</v>
      </c>
      <c r="AI441">
        <v>-1</v>
      </c>
      <c r="AJ441" t="s">
        <v>3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">
      <c r="A442">
        <f>ROW(Source!A212)</f>
        <v>212</v>
      </c>
      <c r="B442">
        <v>56610778</v>
      </c>
      <c r="C442">
        <v>56610775</v>
      </c>
      <c r="D442">
        <v>47766518</v>
      </c>
      <c r="E442">
        <v>1</v>
      </c>
      <c r="F442">
        <v>1</v>
      </c>
      <c r="G442">
        <v>27786564</v>
      </c>
      <c r="H442">
        <v>2</v>
      </c>
      <c r="I442" t="s">
        <v>643</v>
      </c>
      <c r="J442" t="s">
        <v>644</v>
      </c>
      <c r="K442" t="s">
        <v>645</v>
      </c>
      <c r="L442">
        <v>1368</v>
      </c>
      <c r="N442">
        <v>1011</v>
      </c>
      <c r="O442" t="s">
        <v>458</v>
      </c>
      <c r="P442" t="s">
        <v>458</v>
      </c>
      <c r="Q442">
        <v>1</v>
      </c>
      <c r="X442">
        <v>7.4999999999999997E-2</v>
      </c>
      <c r="Y442">
        <v>0</v>
      </c>
      <c r="Z442">
        <v>153.94999999999999</v>
      </c>
      <c r="AA442">
        <v>14.54</v>
      </c>
      <c r="AB442">
        <v>0</v>
      </c>
      <c r="AC442">
        <v>0</v>
      </c>
      <c r="AD442">
        <v>1</v>
      </c>
      <c r="AE442">
        <v>0</v>
      </c>
      <c r="AF442" t="s">
        <v>326</v>
      </c>
      <c r="AG442">
        <v>0.39374999999999999</v>
      </c>
      <c r="AH442">
        <v>3</v>
      </c>
      <c r="AI442">
        <v>-1</v>
      </c>
      <c r="AJ442" t="s">
        <v>3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">
      <c r="A443">
        <f>ROW(Source!A212)</f>
        <v>212</v>
      </c>
      <c r="B443">
        <v>56610779</v>
      </c>
      <c r="C443">
        <v>56610775</v>
      </c>
      <c r="D443">
        <v>47766611</v>
      </c>
      <c r="E443">
        <v>1</v>
      </c>
      <c r="F443">
        <v>1</v>
      </c>
      <c r="G443">
        <v>27786564</v>
      </c>
      <c r="H443">
        <v>2</v>
      </c>
      <c r="I443" t="s">
        <v>652</v>
      </c>
      <c r="J443" t="s">
        <v>653</v>
      </c>
      <c r="K443" t="s">
        <v>654</v>
      </c>
      <c r="L443">
        <v>1368</v>
      </c>
      <c r="N443">
        <v>1011</v>
      </c>
      <c r="O443" t="s">
        <v>458</v>
      </c>
      <c r="P443" t="s">
        <v>458</v>
      </c>
      <c r="Q443">
        <v>1</v>
      </c>
      <c r="X443">
        <v>7.4999999999999997E-2</v>
      </c>
      <c r="Y443">
        <v>0</v>
      </c>
      <c r="Z443">
        <v>283.89999999999998</v>
      </c>
      <c r="AA443">
        <v>14.54</v>
      </c>
      <c r="AB443">
        <v>0</v>
      </c>
      <c r="AC443">
        <v>0</v>
      </c>
      <c r="AD443">
        <v>1</v>
      </c>
      <c r="AE443">
        <v>0</v>
      </c>
      <c r="AF443" t="s">
        <v>326</v>
      </c>
      <c r="AG443">
        <v>0.39374999999999999</v>
      </c>
      <c r="AH443">
        <v>3</v>
      </c>
      <c r="AI443">
        <v>-1</v>
      </c>
      <c r="AJ443" t="s">
        <v>3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">
      <c r="A444">
        <f>ROW(Source!A212)</f>
        <v>212</v>
      </c>
      <c r="B444">
        <v>56610780</v>
      </c>
      <c r="C444">
        <v>56610775</v>
      </c>
      <c r="D444">
        <v>30384722</v>
      </c>
      <c r="E444">
        <v>27786564</v>
      </c>
      <c r="F444">
        <v>1</v>
      </c>
      <c r="G444">
        <v>27786564</v>
      </c>
      <c r="H444">
        <v>3</v>
      </c>
      <c r="I444" t="s">
        <v>661</v>
      </c>
      <c r="J444" t="s">
        <v>3</v>
      </c>
      <c r="K444" t="s">
        <v>662</v>
      </c>
      <c r="L444">
        <v>1348</v>
      </c>
      <c r="N444">
        <v>1009</v>
      </c>
      <c r="O444" t="s">
        <v>318</v>
      </c>
      <c r="P444" t="s">
        <v>318</v>
      </c>
      <c r="Q444">
        <v>1000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 t="s">
        <v>3</v>
      </c>
      <c r="AG444">
        <v>0</v>
      </c>
      <c r="AH444">
        <v>3</v>
      </c>
      <c r="AI444">
        <v>-1</v>
      </c>
      <c r="AJ444" t="s">
        <v>3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">
      <c r="A445">
        <f>ROW(Source!A213)</f>
        <v>213</v>
      </c>
      <c r="B445">
        <v>56610777</v>
      </c>
      <c r="C445">
        <v>56610775</v>
      </c>
      <c r="D445">
        <v>47634407</v>
      </c>
      <c r="E445">
        <v>27786564</v>
      </c>
      <c r="F445">
        <v>1</v>
      </c>
      <c r="G445">
        <v>27786564</v>
      </c>
      <c r="H445">
        <v>1</v>
      </c>
      <c r="I445" t="s">
        <v>452</v>
      </c>
      <c r="J445" t="s">
        <v>3</v>
      </c>
      <c r="K445" t="s">
        <v>453</v>
      </c>
      <c r="L445">
        <v>1191</v>
      </c>
      <c r="N445">
        <v>1013</v>
      </c>
      <c r="O445" t="s">
        <v>454</v>
      </c>
      <c r="P445" t="s">
        <v>454</v>
      </c>
      <c r="Q445">
        <v>1</v>
      </c>
      <c r="X445">
        <v>0.53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1</v>
      </c>
      <c r="AF445" t="s">
        <v>326</v>
      </c>
      <c r="AG445">
        <v>2.7825000000000006</v>
      </c>
      <c r="AH445">
        <v>3</v>
      </c>
      <c r="AI445">
        <v>-1</v>
      </c>
      <c r="AJ445" t="s">
        <v>3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">
      <c r="A446">
        <f>ROW(Source!A213)</f>
        <v>213</v>
      </c>
      <c r="B446">
        <v>56610778</v>
      </c>
      <c r="C446">
        <v>56610775</v>
      </c>
      <c r="D446">
        <v>47766518</v>
      </c>
      <c r="E446">
        <v>1</v>
      </c>
      <c r="F446">
        <v>1</v>
      </c>
      <c r="G446">
        <v>27786564</v>
      </c>
      <c r="H446">
        <v>2</v>
      </c>
      <c r="I446" t="s">
        <v>643</v>
      </c>
      <c r="J446" t="s">
        <v>644</v>
      </c>
      <c r="K446" t="s">
        <v>645</v>
      </c>
      <c r="L446">
        <v>1368</v>
      </c>
      <c r="N446">
        <v>1011</v>
      </c>
      <c r="O446" t="s">
        <v>458</v>
      </c>
      <c r="P446" t="s">
        <v>458</v>
      </c>
      <c r="Q446">
        <v>1</v>
      </c>
      <c r="X446">
        <v>7.4999999999999997E-2</v>
      </c>
      <c r="Y446">
        <v>0</v>
      </c>
      <c r="Z446">
        <v>153.94999999999999</v>
      </c>
      <c r="AA446">
        <v>14.54</v>
      </c>
      <c r="AB446">
        <v>0</v>
      </c>
      <c r="AC446">
        <v>0</v>
      </c>
      <c r="AD446">
        <v>1</v>
      </c>
      <c r="AE446">
        <v>0</v>
      </c>
      <c r="AF446" t="s">
        <v>326</v>
      </c>
      <c r="AG446">
        <v>0.39374999999999999</v>
      </c>
      <c r="AH446">
        <v>3</v>
      </c>
      <c r="AI446">
        <v>-1</v>
      </c>
      <c r="AJ446" t="s">
        <v>3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">
      <c r="A447">
        <f>ROW(Source!A213)</f>
        <v>213</v>
      </c>
      <c r="B447">
        <v>56610779</v>
      </c>
      <c r="C447">
        <v>56610775</v>
      </c>
      <c r="D447">
        <v>47766611</v>
      </c>
      <c r="E447">
        <v>1</v>
      </c>
      <c r="F447">
        <v>1</v>
      </c>
      <c r="G447">
        <v>27786564</v>
      </c>
      <c r="H447">
        <v>2</v>
      </c>
      <c r="I447" t="s">
        <v>652</v>
      </c>
      <c r="J447" t="s">
        <v>653</v>
      </c>
      <c r="K447" t="s">
        <v>654</v>
      </c>
      <c r="L447">
        <v>1368</v>
      </c>
      <c r="N447">
        <v>1011</v>
      </c>
      <c r="O447" t="s">
        <v>458</v>
      </c>
      <c r="P447" t="s">
        <v>458</v>
      </c>
      <c r="Q447">
        <v>1</v>
      </c>
      <c r="X447">
        <v>7.4999999999999997E-2</v>
      </c>
      <c r="Y447">
        <v>0</v>
      </c>
      <c r="Z447">
        <v>283.89999999999998</v>
      </c>
      <c r="AA447">
        <v>14.54</v>
      </c>
      <c r="AB447">
        <v>0</v>
      </c>
      <c r="AC447">
        <v>0</v>
      </c>
      <c r="AD447">
        <v>1</v>
      </c>
      <c r="AE447">
        <v>0</v>
      </c>
      <c r="AF447" t="s">
        <v>326</v>
      </c>
      <c r="AG447">
        <v>0.39374999999999999</v>
      </c>
      <c r="AH447">
        <v>3</v>
      </c>
      <c r="AI447">
        <v>-1</v>
      </c>
      <c r="AJ447" t="s">
        <v>3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">
      <c r="A448">
        <f>ROW(Source!A213)</f>
        <v>213</v>
      </c>
      <c r="B448">
        <v>56610780</v>
      </c>
      <c r="C448">
        <v>56610775</v>
      </c>
      <c r="D448">
        <v>30384722</v>
      </c>
      <c r="E448">
        <v>27786564</v>
      </c>
      <c r="F448">
        <v>1</v>
      </c>
      <c r="G448">
        <v>27786564</v>
      </c>
      <c r="H448">
        <v>3</v>
      </c>
      <c r="I448" t="s">
        <v>661</v>
      </c>
      <c r="J448" t="s">
        <v>3</v>
      </c>
      <c r="K448" t="s">
        <v>662</v>
      </c>
      <c r="L448">
        <v>1348</v>
      </c>
      <c r="N448">
        <v>1009</v>
      </c>
      <c r="O448" t="s">
        <v>318</v>
      </c>
      <c r="P448" t="s">
        <v>318</v>
      </c>
      <c r="Q448">
        <v>1000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 t="s">
        <v>3</v>
      </c>
      <c r="AG448">
        <v>0</v>
      </c>
      <c r="AH448">
        <v>3</v>
      </c>
      <c r="AI448">
        <v>-1</v>
      </c>
      <c r="AJ448" t="s">
        <v>3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">
      <c r="A449">
        <f>ROW(Source!A216)</f>
        <v>216</v>
      </c>
      <c r="B449">
        <v>56610784</v>
      </c>
      <c r="C449">
        <v>56610782</v>
      </c>
      <c r="D449">
        <v>47634407</v>
      </c>
      <c r="E449">
        <v>27786564</v>
      </c>
      <c r="F449">
        <v>1</v>
      </c>
      <c r="G449">
        <v>27786564</v>
      </c>
      <c r="H449">
        <v>1</v>
      </c>
      <c r="I449" t="s">
        <v>452</v>
      </c>
      <c r="J449" t="s">
        <v>3</v>
      </c>
      <c r="K449" t="s">
        <v>453</v>
      </c>
      <c r="L449">
        <v>1191</v>
      </c>
      <c r="N449">
        <v>1013</v>
      </c>
      <c r="O449" t="s">
        <v>454</v>
      </c>
      <c r="P449" t="s">
        <v>454</v>
      </c>
      <c r="Q449">
        <v>1</v>
      </c>
      <c r="X449">
        <v>4.29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1</v>
      </c>
      <c r="AF449" t="s">
        <v>22</v>
      </c>
      <c r="AG449">
        <v>4.5045000000000002</v>
      </c>
      <c r="AH449">
        <v>3</v>
      </c>
      <c r="AI449">
        <v>-1</v>
      </c>
      <c r="AJ449" t="s">
        <v>3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">
      <c r="A450">
        <f>ROW(Source!A216)</f>
        <v>216</v>
      </c>
      <c r="B450">
        <v>56610785</v>
      </c>
      <c r="C450">
        <v>56610782</v>
      </c>
      <c r="D450">
        <v>47766768</v>
      </c>
      <c r="E450">
        <v>1</v>
      </c>
      <c r="F450">
        <v>1</v>
      </c>
      <c r="G450">
        <v>27786564</v>
      </c>
      <c r="H450">
        <v>2</v>
      </c>
      <c r="I450" t="s">
        <v>596</v>
      </c>
      <c r="J450" t="s">
        <v>597</v>
      </c>
      <c r="K450" t="s">
        <v>598</v>
      </c>
      <c r="L450">
        <v>1368</v>
      </c>
      <c r="N450">
        <v>1011</v>
      </c>
      <c r="O450" t="s">
        <v>458</v>
      </c>
      <c r="P450" t="s">
        <v>458</v>
      </c>
      <c r="Q450">
        <v>1</v>
      </c>
      <c r="X450">
        <v>0.3</v>
      </c>
      <c r="Y450">
        <v>0</v>
      </c>
      <c r="Z450">
        <v>41.45</v>
      </c>
      <c r="AA450">
        <v>12.62</v>
      </c>
      <c r="AB450">
        <v>0</v>
      </c>
      <c r="AC450">
        <v>0</v>
      </c>
      <c r="AD450">
        <v>1</v>
      </c>
      <c r="AE450">
        <v>0</v>
      </c>
      <c r="AF450" t="s">
        <v>22</v>
      </c>
      <c r="AG450">
        <v>0.315</v>
      </c>
      <c r="AH450">
        <v>3</v>
      </c>
      <c r="AI450">
        <v>-1</v>
      </c>
      <c r="AJ450" t="s">
        <v>3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">
      <c r="A451">
        <f>ROW(Source!A216)</f>
        <v>216</v>
      </c>
      <c r="B451">
        <v>56610786</v>
      </c>
      <c r="C451">
        <v>56610782</v>
      </c>
      <c r="D451">
        <v>47766518</v>
      </c>
      <c r="E451">
        <v>1</v>
      </c>
      <c r="F451">
        <v>1</v>
      </c>
      <c r="G451">
        <v>27786564</v>
      </c>
      <c r="H451">
        <v>2</v>
      </c>
      <c r="I451" t="s">
        <v>643</v>
      </c>
      <c r="J451" t="s">
        <v>644</v>
      </c>
      <c r="K451" t="s">
        <v>645</v>
      </c>
      <c r="L451">
        <v>1368</v>
      </c>
      <c r="N451">
        <v>1011</v>
      </c>
      <c r="O451" t="s">
        <v>458</v>
      </c>
      <c r="P451" t="s">
        <v>458</v>
      </c>
      <c r="Q451">
        <v>1</v>
      </c>
      <c r="X451">
        <v>0.3</v>
      </c>
      <c r="Y451">
        <v>0</v>
      </c>
      <c r="Z451">
        <v>153.94999999999999</v>
      </c>
      <c r="AA451">
        <v>14.54</v>
      </c>
      <c r="AB451">
        <v>0</v>
      </c>
      <c r="AC451">
        <v>0</v>
      </c>
      <c r="AD451">
        <v>1</v>
      </c>
      <c r="AE451">
        <v>0</v>
      </c>
      <c r="AF451" t="s">
        <v>22</v>
      </c>
      <c r="AG451">
        <v>0.315</v>
      </c>
      <c r="AH451">
        <v>3</v>
      </c>
      <c r="AI451">
        <v>-1</v>
      </c>
      <c r="AJ451" t="s">
        <v>3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">
      <c r="A452">
        <f>ROW(Source!A216)</f>
        <v>216</v>
      </c>
      <c r="B452">
        <v>56610787</v>
      </c>
      <c r="C452">
        <v>56610782</v>
      </c>
      <c r="D452">
        <v>47766605</v>
      </c>
      <c r="E452">
        <v>1</v>
      </c>
      <c r="F452">
        <v>1</v>
      </c>
      <c r="G452">
        <v>27786564</v>
      </c>
      <c r="H452">
        <v>2</v>
      </c>
      <c r="I452" t="s">
        <v>614</v>
      </c>
      <c r="J452" t="s">
        <v>615</v>
      </c>
      <c r="K452" t="s">
        <v>616</v>
      </c>
      <c r="L452">
        <v>1368</v>
      </c>
      <c r="N452">
        <v>1011</v>
      </c>
      <c r="O452" t="s">
        <v>458</v>
      </c>
      <c r="P452" t="s">
        <v>458</v>
      </c>
      <c r="Q452">
        <v>1</v>
      </c>
      <c r="X452">
        <v>0.3</v>
      </c>
      <c r="Y452">
        <v>0</v>
      </c>
      <c r="Z452">
        <v>140.38</v>
      </c>
      <c r="AA452">
        <v>12.62</v>
      </c>
      <c r="AB452">
        <v>0</v>
      </c>
      <c r="AC452">
        <v>0</v>
      </c>
      <c r="AD452">
        <v>1</v>
      </c>
      <c r="AE452">
        <v>0</v>
      </c>
      <c r="AF452" t="s">
        <v>22</v>
      </c>
      <c r="AG452">
        <v>0.315</v>
      </c>
      <c r="AH452">
        <v>3</v>
      </c>
      <c r="AI452">
        <v>-1</v>
      </c>
      <c r="AJ452" t="s">
        <v>3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">
      <c r="A453">
        <f>ROW(Source!A216)</f>
        <v>216</v>
      </c>
      <c r="B453">
        <v>56610788</v>
      </c>
      <c r="C453">
        <v>56610782</v>
      </c>
      <c r="D453">
        <v>47766606</v>
      </c>
      <c r="E453">
        <v>1</v>
      </c>
      <c r="F453">
        <v>1</v>
      </c>
      <c r="G453">
        <v>27786564</v>
      </c>
      <c r="H453">
        <v>2</v>
      </c>
      <c r="I453" t="s">
        <v>646</v>
      </c>
      <c r="J453" t="s">
        <v>647</v>
      </c>
      <c r="K453" t="s">
        <v>648</v>
      </c>
      <c r="L453">
        <v>1368</v>
      </c>
      <c r="N453">
        <v>1011</v>
      </c>
      <c r="O453" t="s">
        <v>458</v>
      </c>
      <c r="P453" t="s">
        <v>458</v>
      </c>
      <c r="Q453">
        <v>1</v>
      </c>
      <c r="X453">
        <v>0.3</v>
      </c>
      <c r="Y453">
        <v>0</v>
      </c>
      <c r="Z453">
        <v>260.5</v>
      </c>
      <c r="AA453">
        <v>18.62</v>
      </c>
      <c r="AB453">
        <v>0</v>
      </c>
      <c r="AC453">
        <v>0</v>
      </c>
      <c r="AD453">
        <v>1</v>
      </c>
      <c r="AE453">
        <v>0</v>
      </c>
      <c r="AF453" t="s">
        <v>22</v>
      </c>
      <c r="AG453">
        <v>0.315</v>
      </c>
      <c r="AH453">
        <v>3</v>
      </c>
      <c r="AI453">
        <v>-1</v>
      </c>
      <c r="AJ453" t="s">
        <v>3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">
      <c r="A454">
        <f>ROW(Source!A216)</f>
        <v>216</v>
      </c>
      <c r="B454">
        <v>56610789</v>
      </c>
      <c r="C454">
        <v>56610782</v>
      </c>
      <c r="D454">
        <v>47766595</v>
      </c>
      <c r="E454">
        <v>1</v>
      </c>
      <c r="F454">
        <v>1</v>
      </c>
      <c r="G454">
        <v>27786564</v>
      </c>
      <c r="H454">
        <v>2</v>
      </c>
      <c r="I454" t="s">
        <v>649</v>
      </c>
      <c r="J454" t="s">
        <v>650</v>
      </c>
      <c r="K454" t="s">
        <v>651</v>
      </c>
      <c r="L454">
        <v>1368</v>
      </c>
      <c r="N454">
        <v>1011</v>
      </c>
      <c r="O454" t="s">
        <v>458</v>
      </c>
      <c r="P454" t="s">
        <v>458</v>
      </c>
      <c r="Q454">
        <v>1</v>
      </c>
      <c r="X454">
        <v>0.3</v>
      </c>
      <c r="Y454">
        <v>0</v>
      </c>
      <c r="Z454">
        <v>163.81</v>
      </c>
      <c r="AA454">
        <v>14.54</v>
      </c>
      <c r="AB454">
        <v>0</v>
      </c>
      <c r="AC454">
        <v>0</v>
      </c>
      <c r="AD454">
        <v>1</v>
      </c>
      <c r="AE454">
        <v>0</v>
      </c>
      <c r="AF454" t="s">
        <v>22</v>
      </c>
      <c r="AG454">
        <v>0.315</v>
      </c>
      <c r="AH454">
        <v>3</v>
      </c>
      <c r="AI454">
        <v>-1</v>
      </c>
      <c r="AJ454" t="s">
        <v>3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">
      <c r="A455">
        <f>ROW(Source!A216)</f>
        <v>216</v>
      </c>
      <c r="B455">
        <v>56610790</v>
      </c>
      <c r="C455">
        <v>56610782</v>
      </c>
      <c r="D455">
        <v>47766611</v>
      </c>
      <c r="E455">
        <v>1</v>
      </c>
      <c r="F455">
        <v>1</v>
      </c>
      <c r="G455">
        <v>27786564</v>
      </c>
      <c r="H455">
        <v>2</v>
      </c>
      <c r="I455" t="s">
        <v>652</v>
      </c>
      <c r="J455" t="s">
        <v>653</v>
      </c>
      <c r="K455" t="s">
        <v>654</v>
      </c>
      <c r="L455">
        <v>1368</v>
      </c>
      <c r="N455">
        <v>1011</v>
      </c>
      <c r="O455" t="s">
        <v>458</v>
      </c>
      <c r="P455" t="s">
        <v>458</v>
      </c>
      <c r="Q455">
        <v>1</v>
      </c>
      <c r="X455">
        <v>0.3</v>
      </c>
      <c r="Y455">
        <v>0</v>
      </c>
      <c r="Z455">
        <v>283.89999999999998</v>
      </c>
      <c r="AA455">
        <v>14.54</v>
      </c>
      <c r="AB455">
        <v>0</v>
      </c>
      <c r="AC455">
        <v>0</v>
      </c>
      <c r="AD455">
        <v>1</v>
      </c>
      <c r="AE455">
        <v>0</v>
      </c>
      <c r="AF455" t="s">
        <v>22</v>
      </c>
      <c r="AG455">
        <v>0.315</v>
      </c>
      <c r="AH455">
        <v>3</v>
      </c>
      <c r="AI455">
        <v>-1</v>
      </c>
      <c r="AJ455" t="s">
        <v>3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">
      <c r="A456">
        <f>ROW(Source!A216)</f>
        <v>216</v>
      </c>
      <c r="B456">
        <v>56610791</v>
      </c>
      <c r="C456">
        <v>56610782</v>
      </c>
      <c r="D456">
        <v>47766598</v>
      </c>
      <c r="E456">
        <v>1</v>
      </c>
      <c r="F456">
        <v>1</v>
      </c>
      <c r="G456">
        <v>27786564</v>
      </c>
      <c r="H456">
        <v>2</v>
      </c>
      <c r="I456" t="s">
        <v>655</v>
      </c>
      <c r="J456" t="s">
        <v>656</v>
      </c>
      <c r="K456" t="s">
        <v>657</v>
      </c>
      <c r="L456">
        <v>1368</v>
      </c>
      <c r="N456">
        <v>1011</v>
      </c>
      <c r="O456" t="s">
        <v>458</v>
      </c>
      <c r="P456" t="s">
        <v>458</v>
      </c>
      <c r="Q456">
        <v>1</v>
      </c>
      <c r="X456">
        <v>0.3</v>
      </c>
      <c r="Y456">
        <v>0</v>
      </c>
      <c r="Z456">
        <v>189.45</v>
      </c>
      <c r="AA456">
        <v>16.93</v>
      </c>
      <c r="AB456">
        <v>0</v>
      </c>
      <c r="AC456">
        <v>0</v>
      </c>
      <c r="AD456">
        <v>1</v>
      </c>
      <c r="AE456">
        <v>0</v>
      </c>
      <c r="AF456" t="s">
        <v>22</v>
      </c>
      <c r="AG456">
        <v>0.315</v>
      </c>
      <c r="AH456">
        <v>3</v>
      </c>
      <c r="AI456">
        <v>-1</v>
      </c>
      <c r="AJ456" t="s">
        <v>3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">
      <c r="A457">
        <f>ROW(Source!A216)</f>
        <v>216</v>
      </c>
      <c r="B457">
        <v>56610792</v>
      </c>
      <c r="C457">
        <v>56610782</v>
      </c>
      <c r="D457">
        <v>47766599</v>
      </c>
      <c r="E457">
        <v>1</v>
      </c>
      <c r="F457">
        <v>1</v>
      </c>
      <c r="G457">
        <v>27786564</v>
      </c>
      <c r="H457">
        <v>2</v>
      </c>
      <c r="I457" t="s">
        <v>617</v>
      </c>
      <c r="J457" t="s">
        <v>618</v>
      </c>
      <c r="K457" t="s">
        <v>619</v>
      </c>
      <c r="L457">
        <v>1368</v>
      </c>
      <c r="N457">
        <v>1011</v>
      </c>
      <c r="O457" t="s">
        <v>458</v>
      </c>
      <c r="P457" t="s">
        <v>458</v>
      </c>
      <c r="Q457">
        <v>1</v>
      </c>
      <c r="X457">
        <v>0.9</v>
      </c>
      <c r="Y457">
        <v>0</v>
      </c>
      <c r="Z457">
        <v>180.35</v>
      </c>
      <c r="AA457">
        <v>16.93</v>
      </c>
      <c r="AB457">
        <v>0</v>
      </c>
      <c r="AC457">
        <v>0</v>
      </c>
      <c r="AD457">
        <v>1</v>
      </c>
      <c r="AE457">
        <v>0</v>
      </c>
      <c r="AF457" t="s">
        <v>22</v>
      </c>
      <c r="AG457">
        <v>0.94500000000000006</v>
      </c>
      <c r="AH457">
        <v>3</v>
      </c>
      <c r="AI457">
        <v>-1</v>
      </c>
      <c r="AJ457" t="s">
        <v>3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">
      <c r="A458">
        <f>ROW(Source!A216)</f>
        <v>216</v>
      </c>
      <c r="B458">
        <v>56610793</v>
      </c>
      <c r="C458">
        <v>56610782</v>
      </c>
      <c r="D458">
        <v>46725969</v>
      </c>
      <c r="E458">
        <v>1</v>
      </c>
      <c r="F458">
        <v>1</v>
      </c>
      <c r="G458">
        <v>27786564</v>
      </c>
      <c r="H458">
        <v>3</v>
      </c>
      <c r="I458" t="s">
        <v>658</v>
      </c>
      <c r="J458" t="s">
        <v>659</v>
      </c>
      <c r="K458" t="s">
        <v>660</v>
      </c>
      <c r="L458">
        <v>1348</v>
      </c>
      <c r="N458">
        <v>1009</v>
      </c>
      <c r="O458" t="s">
        <v>318</v>
      </c>
      <c r="P458" t="s">
        <v>318</v>
      </c>
      <c r="Q458">
        <v>1000</v>
      </c>
      <c r="X458">
        <v>0.04</v>
      </c>
      <c r="Y458">
        <v>1445.87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 t="s">
        <v>3</v>
      </c>
      <c r="AG458">
        <v>0.04</v>
      </c>
      <c r="AH458">
        <v>3</v>
      </c>
      <c r="AI458">
        <v>-1</v>
      </c>
      <c r="AJ458" t="s">
        <v>3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">
      <c r="A459">
        <f>ROW(Source!A216)</f>
        <v>216</v>
      </c>
      <c r="B459">
        <v>56610794</v>
      </c>
      <c r="C459">
        <v>56610782</v>
      </c>
      <c r="D459">
        <v>30384722</v>
      </c>
      <c r="E459">
        <v>27786564</v>
      </c>
      <c r="F459">
        <v>1</v>
      </c>
      <c r="G459">
        <v>27786564</v>
      </c>
      <c r="H459">
        <v>3</v>
      </c>
      <c r="I459" t="s">
        <v>661</v>
      </c>
      <c r="J459" t="s">
        <v>3</v>
      </c>
      <c r="K459" t="s">
        <v>662</v>
      </c>
      <c r="L459">
        <v>1348</v>
      </c>
      <c r="N459">
        <v>1009</v>
      </c>
      <c r="O459" t="s">
        <v>318</v>
      </c>
      <c r="P459" t="s">
        <v>318</v>
      </c>
      <c r="Q459">
        <v>1000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 t="s">
        <v>3</v>
      </c>
      <c r="AG459">
        <v>0</v>
      </c>
      <c r="AH459">
        <v>3</v>
      </c>
      <c r="AI459">
        <v>-1</v>
      </c>
      <c r="AJ459" t="s">
        <v>3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">
      <c r="A460">
        <f>ROW(Source!A217)</f>
        <v>217</v>
      </c>
      <c r="B460">
        <v>56610784</v>
      </c>
      <c r="C460">
        <v>56610782</v>
      </c>
      <c r="D460">
        <v>47634407</v>
      </c>
      <c r="E460">
        <v>27786564</v>
      </c>
      <c r="F460">
        <v>1</v>
      </c>
      <c r="G460">
        <v>27786564</v>
      </c>
      <c r="H460">
        <v>1</v>
      </c>
      <c r="I460" t="s">
        <v>452</v>
      </c>
      <c r="J460" t="s">
        <v>3</v>
      </c>
      <c r="K460" t="s">
        <v>453</v>
      </c>
      <c r="L460">
        <v>1191</v>
      </c>
      <c r="N460">
        <v>1013</v>
      </c>
      <c r="O460" t="s">
        <v>454</v>
      </c>
      <c r="P460" t="s">
        <v>454</v>
      </c>
      <c r="Q460">
        <v>1</v>
      </c>
      <c r="X460">
        <v>4.29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1</v>
      </c>
      <c r="AF460" t="s">
        <v>22</v>
      </c>
      <c r="AG460">
        <v>4.5045000000000002</v>
      </c>
      <c r="AH460">
        <v>3</v>
      </c>
      <c r="AI460">
        <v>-1</v>
      </c>
      <c r="AJ460" t="s">
        <v>3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">
      <c r="A461">
        <f>ROW(Source!A217)</f>
        <v>217</v>
      </c>
      <c r="B461">
        <v>56610785</v>
      </c>
      <c r="C461">
        <v>56610782</v>
      </c>
      <c r="D461">
        <v>47766768</v>
      </c>
      <c r="E461">
        <v>1</v>
      </c>
      <c r="F461">
        <v>1</v>
      </c>
      <c r="G461">
        <v>27786564</v>
      </c>
      <c r="H461">
        <v>2</v>
      </c>
      <c r="I461" t="s">
        <v>596</v>
      </c>
      <c r="J461" t="s">
        <v>597</v>
      </c>
      <c r="K461" t="s">
        <v>598</v>
      </c>
      <c r="L461">
        <v>1368</v>
      </c>
      <c r="N461">
        <v>1011</v>
      </c>
      <c r="O461" t="s">
        <v>458</v>
      </c>
      <c r="P461" t="s">
        <v>458</v>
      </c>
      <c r="Q461">
        <v>1</v>
      </c>
      <c r="X461">
        <v>0.3</v>
      </c>
      <c r="Y461">
        <v>0</v>
      </c>
      <c r="Z461">
        <v>41.45</v>
      </c>
      <c r="AA461">
        <v>12.62</v>
      </c>
      <c r="AB461">
        <v>0</v>
      </c>
      <c r="AC461">
        <v>0</v>
      </c>
      <c r="AD461">
        <v>1</v>
      </c>
      <c r="AE461">
        <v>0</v>
      </c>
      <c r="AF461" t="s">
        <v>22</v>
      </c>
      <c r="AG461">
        <v>0.315</v>
      </c>
      <c r="AH461">
        <v>3</v>
      </c>
      <c r="AI461">
        <v>-1</v>
      </c>
      <c r="AJ461" t="s">
        <v>3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">
      <c r="A462">
        <f>ROW(Source!A217)</f>
        <v>217</v>
      </c>
      <c r="B462">
        <v>56610786</v>
      </c>
      <c r="C462">
        <v>56610782</v>
      </c>
      <c r="D462">
        <v>47766518</v>
      </c>
      <c r="E462">
        <v>1</v>
      </c>
      <c r="F462">
        <v>1</v>
      </c>
      <c r="G462">
        <v>27786564</v>
      </c>
      <c r="H462">
        <v>2</v>
      </c>
      <c r="I462" t="s">
        <v>643</v>
      </c>
      <c r="J462" t="s">
        <v>644</v>
      </c>
      <c r="K462" t="s">
        <v>645</v>
      </c>
      <c r="L462">
        <v>1368</v>
      </c>
      <c r="N462">
        <v>1011</v>
      </c>
      <c r="O462" t="s">
        <v>458</v>
      </c>
      <c r="P462" t="s">
        <v>458</v>
      </c>
      <c r="Q462">
        <v>1</v>
      </c>
      <c r="X462">
        <v>0.3</v>
      </c>
      <c r="Y462">
        <v>0</v>
      </c>
      <c r="Z462">
        <v>153.94999999999999</v>
      </c>
      <c r="AA462">
        <v>14.54</v>
      </c>
      <c r="AB462">
        <v>0</v>
      </c>
      <c r="AC462">
        <v>0</v>
      </c>
      <c r="AD462">
        <v>1</v>
      </c>
      <c r="AE462">
        <v>0</v>
      </c>
      <c r="AF462" t="s">
        <v>22</v>
      </c>
      <c r="AG462">
        <v>0.315</v>
      </c>
      <c r="AH462">
        <v>3</v>
      </c>
      <c r="AI462">
        <v>-1</v>
      </c>
      <c r="AJ462" t="s">
        <v>3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">
      <c r="A463">
        <f>ROW(Source!A217)</f>
        <v>217</v>
      </c>
      <c r="B463">
        <v>56610787</v>
      </c>
      <c r="C463">
        <v>56610782</v>
      </c>
      <c r="D463">
        <v>47766605</v>
      </c>
      <c r="E463">
        <v>1</v>
      </c>
      <c r="F463">
        <v>1</v>
      </c>
      <c r="G463">
        <v>27786564</v>
      </c>
      <c r="H463">
        <v>2</v>
      </c>
      <c r="I463" t="s">
        <v>614</v>
      </c>
      <c r="J463" t="s">
        <v>615</v>
      </c>
      <c r="K463" t="s">
        <v>616</v>
      </c>
      <c r="L463">
        <v>1368</v>
      </c>
      <c r="N463">
        <v>1011</v>
      </c>
      <c r="O463" t="s">
        <v>458</v>
      </c>
      <c r="P463" t="s">
        <v>458</v>
      </c>
      <c r="Q463">
        <v>1</v>
      </c>
      <c r="X463">
        <v>0.3</v>
      </c>
      <c r="Y463">
        <v>0</v>
      </c>
      <c r="Z463">
        <v>140.38</v>
      </c>
      <c r="AA463">
        <v>12.62</v>
      </c>
      <c r="AB463">
        <v>0</v>
      </c>
      <c r="AC463">
        <v>0</v>
      </c>
      <c r="AD463">
        <v>1</v>
      </c>
      <c r="AE463">
        <v>0</v>
      </c>
      <c r="AF463" t="s">
        <v>22</v>
      </c>
      <c r="AG463">
        <v>0.315</v>
      </c>
      <c r="AH463">
        <v>3</v>
      </c>
      <c r="AI463">
        <v>-1</v>
      </c>
      <c r="AJ463" t="s">
        <v>3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">
      <c r="A464">
        <f>ROW(Source!A217)</f>
        <v>217</v>
      </c>
      <c r="B464">
        <v>56610788</v>
      </c>
      <c r="C464">
        <v>56610782</v>
      </c>
      <c r="D464">
        <v>47766606</v>
      </c>
      <c r="E464">
        <v>1</v>
      </c>
      <c r="F464">
        <v>1</v>
      </c>
      <c r="G464">
        <v>27786564</v>
      </c>
      <c r="H464">
        <v>2</v>
      </c>
      <c r="I464" t="s">
        <v>646</v>
      </c>
      <c r="J464" t="s">
        <v>647</v>
      </c>
      <c r="K464" t="s">
        <v>648</v>
      </c>
      <c r="L464">
        <v>1368</v>
      </c>
      <c r="N464">
        <v>1011</v>
      </c>
      <c r="O464" t="s">
        <v>458</v>
      </c>
      <c r="P464" t="s">
        <v>458</v>
      </c>
      <c r="Q464">
        <v>1</v>
      </c>
      <c r="X464">
        <v>0.3</v>
      </c>
      <c r="Y464">
        <v>0</v>
      </c>
      <c r="Z464">
        <v>260.5</v>
      </c>
      <c r="AA464">
        <v>18.62</v>
      </c>
      <c r="AB464">
        <v>0</v>
      </c>
      <c r="AC464">
        <v>0</v>
      </c>
      <c r="AD464">
        <v>1</v>
      </c>
      <c r="AE464">
        <v>0</v>
      </c>
      <c r="AF464" t="s">
        <v>22</v>
      </c>
      <c r="AG464">
        <v>0.315</v>
      </c>
      <c r="AH464">
        <v>3</v>
      </c>
      <c r="AI464">
        <v>-1</v>
      </c>
      <c r="AJ464" t="s">
        <v>3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">
      <c r="A465">
        <f>ROW(Source!A217)</f>
        <v>217</v>
      </c>
      <c r="B465">
        <v>56610789</v>
      </c>
      <c r="C465">
        <v>56610782</v>
      </c>
      <c r="D465">
        <v>47766595</v>
      </c>
      <c r="E465">
        <v>1</v>
      </c>
      <c r="F465">
        <v>1</v>
      </c>
      <c r="G465">
        <v>27786564</v>
      </c>
      <c r="H465">
        <v>2</v>
      </c>
      <c r="I465" t="s">
        <v>649</v>
      </c>
      <c r="J465" t="s">
        <v>650</v>
      </c>
      <c r="K465" t="s">
        <v>651</v>
      </c>
      <c r="L465">
        <v>1368</v>
      </c>
      <c r="N465">
        <v>1011</v>
      </c>
      <c r="O465" t="s">
        <v>458</v>
      </c>
      <c r="P465" t="s">
        <v>458</v>
      </c>
      <c r="Q465">
        <v>1</v>
      </c>
      <c r="X465">
        <v>0.3</v>
      </c>
      <c r="Y465">
        <v>0</v>
      </c>
      <c r="Z465">
        <v>163.81</v>
      </c>
      <c r="AA465">
        <v>14.54</v>
      </c>
      <c r="AB465">
        <v>0</v>
      </c>
      <c r="AC465">
        <v>0</v>
      </c>
      <c r="AD465">
        <v>1</v>
      </c>
      <c r="AE465">
        <v>0</v>
      </c>
      <c r="AF465" t="s">
        <v>22</v>
      </c>
      <c r="AG465">
        <v>0.315</v>
      </c>
      <c r="AH465">
        <v>3</v>
      </c>
      <c r="AI465">
        <v>-1</v>
      </c>
      <c r="AJ465" t="s">
        <v>3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">
      <c r="A466">
        <f>ROW(Source!A217)</f>
        <v>217</v>
      </c>
      <c r="B466">
        <v>56610790</v>
      </c>
      <c r="C466">
        <v>56610782</v>
      </c>
      <c r="D466">
        <v>47766611</v>
      </c>
      <c r="E466">
        <v>1</v>
      </c>
      <c r="F466">
        <v>1</v>
      </c>
      <c r="G466">
        <v>27786564</v>
      </c>
      <c r="H466">
        <v>2</v>
      </c>
      <c r="I466" t="s">
        <v>652</v>
      </c>
      <c r="J466" t="s">
        <v>653</v>
      </c>
      <c r="K466" t="s">
        <v>654</v>
      </c>
      <c r="L466">
        <v>1368</v>
      </c>
      <c r="N466">
        <v>1011</v>
      </c>
      <c r="O466" t="s">
        <v>458</v>
      </c>
      <c r="P466" t="s">
        <v>458</v>
      </c>
      <c r="Q466">
        <v>1</v>
      </c>
      <c r="X466">
        <v>0.3</v>
      </c>
      <c r="Y466">
        <v>0</v>
      </c>
      <c r="Z466">
        <v>283.89999999999998</v>
      </c>
      <c r="AA466">
        <v>14.54</v>
      </c>
      <c r="AB466">
        <v>0</v>
      </c>
      <c r="AC466">
        <v>0</v>
      </c>
      <c r="AD466">
        <v>1</v>
      </c>
      <c r="AE466">
        <v>0</v>
      </c>
      <c r="AF466" t="s">
        <v>22</v>
      </c>
      <c r="AG466">
        <v>0.315</v>
      </c>
      <c r="AH466">
        <v>3</v>
      </c>
      <c r="AI466">
        <v>-1</v>
      </c>
      <c r="AJ466" t="s">
        <v>3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">
      <c r="A467">
        <f>ROW(Source!A217)</f>
        <v>217</v>
      </c>
      <c r="B467">
        <v>56610791</v>
      </c>
      <c r="C467">
        <v>56610782</v>
      </c>
      <c r="D467">
        <v>47766598</v>
      </c>
      <c r="E467">
        <v>1</v>
      </c>
      <c r="F467">
        <v>1</v>
      </c>
      <c r="G467">
        <v>27786564</v>
      </c>
      <c r="H467">
        <v>2</v>
      </c>
      <c r="I467" t="s">
        <v>655</v>
      </c>
      <c r="J467" t="s">
        <v>656</v>
      </c>
      <c r="K467" t="s">
        <v>657</v>
      </c>
      <c r="L467">
        <v>1368</v>
      </c>
      <c r="N467">
        <v>1011</v>
      </c>
      <c r="O467" t="s">
        <v>458</v>
      </c>
      <c r="P467" t="s">
        <v>458</v>
      </c>
      <c r="Q467">
        <v>1</v>
      </c>
      <c r="X467">
        <v>0.3</v>
      </c>
      <c r="Y467">
        <v>0</v>
      </c>
      <c r="Z467">
        <v>189.45</v>
      </c>
      <c r="AA467">
        <v>16.93</v>
      </c>
      <c r="AB467">
        <v>0</v>
      </c>
      <c r="AC467">
        <v>0</v>
      </c>
      <c r="AD467">
        <v>1</v>
      </c>
      <c r="AE467">
        <v>0</v>
      </c>
      <c r="AF467" t="s">
        <v>22</v>
      </c>
      <c r="AG467">
        <v>0.315</v>
      </c>
      <c r="AH467">
        <v>3</v>
      </c>
      <c r="AI467">
        <v>-1</v>
      </c>
      <c r="AJ467" t="s">
        <v>3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">
      <c r="A468">
        <f>ROW(Source!A217)</f>
        <v>217</v>
      </c>
      <c r="B468">
        <v>56610792</v>
      </c>
      <c r="C468">
        <v>56610782</v>
      </c>
      <c r="D468">
        <v>47766599</v>
      </c>
      <c r="E468">
        <v>1</v>
      </c>
      <c r="F468">
        <v>1</v>
      </c>
      <c r="G468">
        <v>27786564</v>
      </c>
      <c r="H468">
        <v>2</v>
      </c>
      <c r="I468" t="s">
        <v>617</v>
      </c>
      <c r="J468" t="s">
        <v>618</v>
      </c>
      <c r="K468" t="s">
        <v>619</v>
      </c>
      <c r="L468">
        <v>1368</v>
      </c>
      <c r="N468">
        <v>1011</v>
      </c>
      <c r="O468" t="s">
        <v>458</v>
      </c>
      <c r="P468" t="s">
        <v>458</v>
      </c>
      <c r="Q468">
        <v>1</v>
      </c>
      <c r="X468">
        <v>0.9</v>
      </c>
      <c r="Y468">
        <v>0</v>
      </c>
      <c r="Z468">
        <v>180.35</v>
      </c>
      <c r="AA468">
        <v>16.93</v>
      </c>
      <c r="AB468">
        <v>0</v>
      </c>
      <c r="AC468">
        <v>0</v>
      </c>
      <c r="AD468">
        <v>1</v>
      </c>
      <c r="AE468">
        <v>0</v>
      </c>
      <c r="AF468" t="s">
        <v>22</v>
      </c>
      <c r="AG468">
        <v>0.94500000000000006</v>
      </c>
      <c r="AH468">
        <v>3</v>
      </c>
      <c r="AI468">
        <v>-1</v>
      </c>
      <c r="AJ468" t="s">
        <v>3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">
      <c r="A469">
        <f>ROW(Source!A217)</f>
        <v>217</v>
      </c>
      <c r="B469">
        <v>56610793</v>
      </c>
      <c r="C469">
        <v>56610782</v>
      </c>
      <c r="D469">
        <v>46725969</v>
      </c>
      <c r="E469">
        <v>1</v>
      </c>
      <c r="F469">
        <v>1</v>
      </c>
      <c r="G469">
        <v>27786564</v>
      </c>
      <c r="H469">
        <v>3</v>
      </c>
      <c r="I469" t="s">
        <v>658</v>
      </c>
      <c r="J469" t="s">
        <v>659</v>
      </c>
      <c r="K469" t="s">
        <v>660</v>
      </c>
      <c r="L469">
        <v>1348</v>
      </c>
      <c r="N469">
        <v>1009</v>
      </c>
      <c r="O469" t="s">
        <v>318</v>
      </c>
      <c r="P469" t="s">
        <v>318</v>
      </c>
      <c r="Q469">
        <v>1000</v>
      </c>
      <c r="X469">
        <v>0.04</v>
      </c>
      <c r="Y469">
        <v>1445.87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 t="s">
        <v>3</v>
      </c>
      <c r="AG469">
        <v>0.04</v>
      </c>
      <c r="AH469">
        <v>3</v>
      </c>
      <c r="AI469">
        <v>-1</v>
      </c>
      <c r="AJ469" t="s">
        <v>3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">
      <c r="A470">
        <f>ROW(Source!A217)</f>
        <v>217</v>
      </c>
      <c r="B470">
        <v>56610794</v>
      </c>
      <c r="C470">
        <v>56610782</v>
      </c>
      <c r="D470">
        <v>30384722</v>
      </c>
      <c r="E470">
        <v>27786564</v>
      </c>
      <c r="F470">
        <v>1</v>
      </c>
      <c r="G470">
        <v>27786564</v>
      </c>
      <c r="H470">
        <v>3</v>
      </c>
      <c r="I470" t="s">
        <v>661</v>
      </c>
      <c r="J470" t="s">
        <v>3</v>
      </c>
      <c r="K470" t="s">
        <v>662</v>
      </c>
      <c r="L470">
        <v>1348</v>
      </c>
      <c r="N470">
        <v>1009</v>
      </c>
      <c r="O470" t="s">
        <v>318</v>
      </c>
      <c r="P470" t="s">
        <v>318</v>
      </c>
      <c r="Q470">
        <v>1000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 t="s">
        <v>3</v>
      </c>
      <c r="AG470">
        <v>0</v>
      </c>
      <c r="AH470">
        <v>3</v>
      </c>
      <c r="AI470">
        <v>-1</v>
      </c>
      <c r="AJ470" t="s">
        <v>3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">
      <c r="A471">
        <f>ROW(Source!A255)</f>
        <v>255</v>
      </c>
      <c r="B471">
        <v>56610797</v>
      </c>
      <c r="C471">
        <v>56610796</v>
      </c>
      <c r="D471">
        <v>47634407</v>
      </c>
      <c r="E471">
        <v>27786564</v>
      </c>
      <c r="F471">
        <v>1</v>
      </c>
      <c r="G471">
        <v>27786564</v>
      </c>
      <c r="H471">
        <v>1</v>
      </c>
      <c r="I471" t="s">
        <v>452</v>
      </c>
      <c r="J471" t="s">
        <v>3</v>
      </c>
      <c r="K471" t="s">
        <v>453</v>
      </c>
      <c r="L471">
        <v>1191</v>
      </c>
      <c r="N471">
        <v>1013</v>
      </c>
      <c r="O471" t="s">
        <v>454</v>
      </c>
      <c r="P471" t="s">
        <v>454</v>
      </c>
      <c r="Q471">
        <v>1</v>
      </c>
      <c r="X471">
        <v>155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1</v>
      </c>
      <c r="AF471" t="s">
        <v>22</v>
      </c>
      <c r="AG471">
        <v>162.75</v>
      </c>
      <c r="AH471">
        <v>3</v>
      </c>
      <c r="AI471">
        <v>-1</v>
      </c>
      <c r="AJ471" t="s">
        <v>3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">
      <c r="A472">
        <f>ROW(Source!A255)</f>
        <v>255</v>
      </c>
      <c r="B472">
        <v>56610798</v>
      </c>
      <c r="C472">
        <v>56610796</v>
      </c>
      <c r="D472">
        <v>47766768</v>
      </c>
      <c r="E472">
        <v>1</v>
      </c>
      <c r="F472">
        <v>1</v>
      </c>
      <c r="G472">
        <v>27786564</v>
      </c>
      <c r="H472">
        <v>2</v>
      </c>
      <c r="I472" t="s">
        <v>596</v>
      </c>
      <c r="J472" t="s">
        <v>597</v>
      </c>
      <c r="K472" t="s">
        <v>598</v>
      </c>
      <c r="L472">
        <v>1368</v>
      </c>
      <c r="N472">
        <v>1011</v>
      </c>
      <c r="O472" t="s">
        <v>458</v>
      </c>
      <c r="P472" t="s">
        <v>458</v>
      </c>
      <c r="Q472">
        <v>1</v>
      </c>
      <c r="X472">
        <v>37.5</v>
      </c>
      <c r="Y472">
        <v>0</v>
      </c>
      <c r="Z472">
        <v>41.45</v>
      </c>
      <c r="AA472">
        <v>12.62</v>
      </c>
      <c r="AB472">
        <v>0</v>
      </c>
      <c r="AC472">
        <v>0</v>
      </c>
      <c r="AD472">
        <v>1</v>
      </c>
      <c r="AE472">
        <v>0</v>
      </c>
      <c r="AF472" t="s">
        <v>22</v>
      </c>
      <c r="AG472">
        <v>39.375</v>
      </c>
      <c r="AH472">
        <v>3</v>
      </c>
      <c r="AI472">
        <v>-1</v>
      </c>
      <c r="AJ472" t="s">
        <v>3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">
      <c r="A473">
        <f>ROW(Source!A255)</f>
        <v>255</v>
      </c>
      <c r="B473">
        <v>56610799</v>
      </c>
      <c r="C473">
        <v>56610796</v>
      </c>
      <c r="D473">
        <v>47767181</v>
      </c>
      <c r="E473">
        <v>1</v>
      </c>
      <c r="F473">
        <v>1</v>
      </c>
      <c r="G473">
        <v>27786564</v>
      </c>
      <c r="H473">
        <v>2</v>
      </c>
      <c r="I473" t="s">
        <v>599</v>
      </c>
      <c r="J473" t="s">
        <v>600</v>
      </c>
      <c r="K473" t="s">
        <v>601</v>
      </c>
      <c r="L473">
        <v>1368</v>
      </c>
      <c r="N473">
        <v>1011</v>
      </c>
      <c r="O473" t="s">
        <v>458</v>
      </c>
      <c r="P473" t="s">
        <v>458</v>
      </c>
      <c r="Q473">
        <v>1</v>
      </c>
      <c r="X473">
        <v>75</v>
      </c>
      <c r="Y473">
        <v>0</v>
      </c>
      <c r="Z473">
        <v>0.5</v>
      </c>
      <c r="AA473">
        <v>0</v>
      </c>
      <c r="AB473">
        <v>0</v>
      </c>
      <c r="AC473">
        <v>0</v>
      </c>
      <c r="AD473">
        <v>1</v>
      </c>
      <c r="AE473">
        <v>0</v>
      </c>
      <c r="AF473" t="s">
        <v>22</v>
      </c>
      <c r="AG473">
        <v>78.75</v>
      </c>
      <c r="AH473">
        <v>3</v>
      </c>
      <c r="AI473">
        <v>-1</v>
      </c>
      <c r="AJ473" t="s">
        <v>3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">
      <c r="A474">
        <f>ROW(Source!A255)</f>
        <v>255</v>
      </c>
      <c r="B474">
        <v>56610800</v>
      </c>
      <c r="C474">
        <v>56610796</v>
      </c>
      <c r="D474">
        <v>47766620</v>
      </c>
      <c r="E474">
        <v>1</v>
      </c>
      <c r="F474">
        <v>1</v>
      </c>
      <c r="G474">
        <v>27786564</v>
      </c>
      <c r="H474">
        <v>2</v>
      </c>
      <c r="I474" t="s">
        <v>602</v>
      </c>
      <c r="J474" t="s">
        <v>603</v>
      </c>
      <c r="K474" t="s">
        <v>604</v>
      </c>
      <c r="L474">
        <v>1368</v>
      </c>
      <c r="N474">
        <v>1011</v>
      </c>
      <c r="O474" t="s">
        <v>458</v>
      </c>
      <c r="P474" t="s">
        <v>458</v>
      </c>
      <c r="Q474">
        <v>1</v>
      </c>
      <c r="X474">
        <v>1.55</v>
      </c>
      <c r="Y474">
        <v>0</v>
      </c>
      <c r="Z474">
        <v>219.56</v>
      </c>
      <c r="AA474">
        <v>18.62</v>
      </c>
      <c r="AB474">
        <v>0</v>
      </c>
      <c r="AC474">
        <v>0</v>
      </c>
      <c r="AD474">
        <v>1</v>
      </c>
      <c r="AE474">
        <v>0</v>
      </c>
      <c r="AF474" t="s">
        <v>22</v>
      </c>
      <c r="AG474">
        <v>1.6275000000000002</v>
      </c>
      <c r="AH474">
        <v>3</v>
      </c>
      <c r="AI474">
        <v>-1</v>
      </c>
      <c r="AJ474" t="s">
        <v>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">
      <c r="A475">
        <f>ROW(Source!A255)</f>
        <v>255</v>
      </c>
      <c r="B475">
        <v>56610801</v>
      </c>
      <c r="C475">
        <v>56610796</v>
      </c>
      <c r="D475">
        <v>47634960</v>
      </c>
      <c r="E475">
        <v>27786564</v>
      </c>
      <c r="F475">
        <v>1</v>
      </c>
      <c r="G475">
        <v>27786564</v>
      </c>
      <c r="H475">
        <v>2</v>
      </c>
      <c r="I475" t="s">
        <v>468</v>
      </c>
      <c r="J475" t="s">
        <v>3</v>
      </c>
      <c r="K475" t="s">
        <v>469</v>
      </c>
      <c r="L475">
        <v>1344</v>
      </c>
      <c r="N475">
        <v>1008</v>
      </c>
      <c r="O475" t="s">
        <v>470</v>
      </c>
      <c r="P475" t="s">
        <v>470</v>
      </c>
      <c r="Q475">
        <v>1</v>
      </c>
      <c r="X475">
        <v>3.74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1</v>
      </c>
      <c r="AE475">
        <v>0</v>
      </c>
      <c r="AF475" t="s">
        <v>22</v>
      </c>
      <c r="AG475">
        <v>3.9270000000000005</v>
      </c>
      <c r="AH475">
        <v>3</v>
      </c>
      <c r="AI475">
        <v>-1</v>
      </c>
      <c r="AJ475" t="s">
        <v>3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">
      <c r="A476">
        <f>ROW(Source!A256)</f>
        <v>256</v>
      </c>
      <c r="B476">
        <v>56610797</v>
      </c>
      <c r="C476">
        <v>56610796</v>
      </c>
      <c r="D476">
        <v>47634407</v>
      </c>
      <c r="E476">
        <v>27786564</v>
      </c>
      <c r="F476">
        <v>1</v>
      </c>
      <c r="G476">
        <v>27786564</v>
      </c>
      <c r="H476">
        <v>1</v>
      </c>
      <c r="I476" t="s">
        <v>452</v>
      </c>
      <c r="J476" t="s">
        <v>3</v>
      </c>
      <c r="K476" t="s">
        <v>453</v>
      </c>
      <c r="L476">
        <v>1191</v>
      </c>
      <c r="N476">
        <v>1013</v>
      </c>
      <c r="O476" t="s">
        <v>454</v>
      </c>
      <c r="P476" t="s">
        <v>454</v>
      </c>
      <c r="Q476">
        <v>1</v>
      </c>
      <c r="X476">
        <v>155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1</v>
      </c>
      <c r="AF476" t="s">
        <v>22</v>
      </c>
      <c r="AG476">
        <v>162.75</v>
      </c>
      <c r="AH476">
        <v>3</v>
      </c>
      <c r="AI476">
        <v>-1</v>
      </c>
      <c r="AJ476" t="s">
        <v>3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">
      <c r="A477">
        <f>ROW(Source!A256)</f>
        <v>256</v>
      </c>
      <c r="B477">
        <v>56610798</v>
      </c>
      <c r="C477">
        <v>56610796</v>
      </c>
      <c r="D477">
        <v>47766768</v>
      </c>
      <c r="E477">
        <v>1</v>
      </c>
      <c r="F477">
        <v>1</v>
      </c>
      <c r="G477">
        <v>27786564</v>
      </c>
      <c r="H477">
        <v>2</v>
      </c>
      <c r="I477" t="s">
        <v>596</v>
      </c>
      <c r="J477" t="s">
        <v>597</v>
      </c>
      <c r="K477" t="s">
        <v>598</v>
      </c>
      <c r="L477">
        <v>1368</v>
      </c>
      <c r="N477">
        <v>1011</v>
      </c>
      <c r="O477" t="s">
        <v>458</v>
      </c>
      <c r="P477" t="s">
        <v>458</v>
      </c>
      <c r="Q477">
        <v>1</v>
      </c>
      <c r="X477">
        <v>37.5</v>
      </c>
      <c r="Y477">
        <v>0</v>
      </c>
      <c r="Z477">
        <v>41.45</v>
      </c>
      <c r="AA477">
        <v>12.62</v>
      </c>
      <c r="AB477">
        <v>0</v>
      </c>
      <c r="AC477">
        <v>0</v>
      </c>
      <c r="AD477">
        <v>1</v>
      </c>
      <c r="AE477">
        <v>0</v>
      </c>
      <c r="AF477" t="s">
        <v>22</v>
      </c>
      <c r="AG477">
        <v>39.375</v>
      </c>
      <c r="AH477">
        <v>3</v>
      </c>
      <c r="AI477">
        <v>-1</v>
      </c>
      <c r="AJ477" t="s">
        <v>3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">
      <c r="A478">
        <f>ROW(Source!A256)</f>
        <v>256</v>
      </c>
      <c r="B478">
        <v>56610799</v>
      </c>
      <c r="C478">
        <v>56610796</v>
      </c>
      <c r="D478">
        <v>47767181</v>
      </c>
      <c r="E478">
        <v>1</v>
      </c>
      <c r="F478">
        <v>1</v>
      </c>
      <c r="G478">
        <v>27786564</v>
      </c>
      <c r="H478">
        <v>2</v>
      </c>
      <c r="I478" t="s">
        <v>599</v>
      </c>
      <c r="J478" t="s">
        <v>600</v>
      </c>
      <c r="K478" t="s">
        <v>601</v>
      </c>
      <c r="L478">
        <v>1368</v>
      </c>
      <c r="N478">
        <v>1011</v>
      </c>
      <c r="O478" t="s">
        <v>458</v>
      </c>
      <c r="P478" t="s">
        <v>458</v>
      </c>
      <c r="Q478">
        <v>1</v>
      </c>
      <c r="X478">
        <v>75</v>
      </c>
      <c r="Y478">
        <v>0</v>
      </c>
      <c r="Z478">
        <v>0.5</v>
      </c>
      <c r="AA478">
        <v>0</v>
      </c>
      <c r="AB478">
        <v>0</v>
      </c>
      <c r="AC478">
        <v>0</v>
      </c>
      <c r="AD478">
        <v>1</v>
      </c>
      <c r="AE478">
        <v>0</v>
      </c>
      <c r="AF478" t="s">
        <v>22</v>
      </c>
      <c r="AG478">
        <v>78.75</v>
      </c>
      <c r="AH478">
        <v>3</v>
      </c>
      <c r="AI478">
        <v>-1</v>
      </c>
      <c r="AJ478" t="s">
        <v>3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">
      <c r="A479">
        <f>ROW(Source!A256)</f>
        <v>256</v>
      </c>
      <c r="B479">
        <v>56610800</v>
      </c>
      <c r="C479">
        <v>56610796</v>
      </c>
      <c r="D479">
        <v>47766620</v>
      </c>
      <c r="E479">
        <v>1</v>
      </c>
      <c r="F479">
        <v>1</v>
      </c>
      <c r="G479">
        <v>27786564</v>
      </c>
      <c r="H479">
        <v>2</v>
      </c>
      <c r="I479" t="s">
        <v>602</v>
      </c>
      <c r="J479" t="s">
        <v>603</v>
      </c>
      <c r="K479" t="s">
        <v>604</v>
      </c>
      <c r="L479">
        <v>1368</v>
      </c>
      <c r="N479">
        <v>1011</v>
      </c>
      <c r="O479" t="s">
        <v>458</v>
      </c>
      <c r="P479" t="s">
        <v>458</v>
      </c>
      <c r="Q479">
        <v>1</v>
      </c>
      <c r="X479">
        <v>1.55</v>
      </c>
      <c r="Y479">
        <v>0</v>
      </c>
      <c r="Z479">
        <v>219.56</v>
      </c>
      <c r="AA479">
        <v>18.62</v>
      </c>
      <c r="AB479">
        <v>0</v>
      </c>
      <c r="AC479">
        <v>0</v>
      </c>
      <c r="AD479">
        <v>1</v>
      </c>
      <c r="AE479">
        <v>0</v>
      </c>
      <c r="AF479" t="s">
        <v>22</v>
      </c>
      <c r="AG479">
        <v>1.6275000000000002</v>
      </c>
      <c r="AH479">
        <v>3</v>
      </c>
      <c r="AI479">
        <v>-1</v>
      </c>
      <c r="AJ479" t="s">
        <v>3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">
      <c r="A480">
        <f>ROW(Source!A256)</f>
        <v>256</v>
      </c>
      <c r="B480">
        <v>56610801</v>
      </c>
      <c r="C480">
        <v>56610796</v>
      </c>
      <c r="D480">
        <v>47634960</v>
      </c>
      <c r="E480">
        <v>27786564</v>
      </c>
      <c r="F480">
        <v>1</v>
      </c>
      <c r="G480">
        <v>27786564</v>
      </c>
      <c r="H480">
        <v>2</v>
      </c>
      <c r="I480" t="s">
        <v>468</v>
      </c>
      <c r="J480" t="s">
        <v>3</v>
      </c>
      <c r="K480" t="s">
        <v>469</v>
      </c>
      <c r="L480">
        <v>1344</v>
      </c>
      <c r="N480">
        <v>1008</v>
      </c>
      <c r="O480" t="s">
        <v>470</v>
      </c>
      <c r="P480" t="s">
        <v>470</v>
      </c>
      <c r="Q480">
        <v>1</v>
      </c>
      <c r="X480">
        <v>3.74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1</v>
      </c>
      <c r="AE480">
        <v>0</v>
      </c>
      <c r="AF480" t="s">
        <v>22</v>
      </c>
      <c r="AG480">
        <v>3.9270000000000005</v>
      </c>
      <c r="AH480">
        <v>3</v>
      </c>
      <c r="AI480">
        <v>-1</v>
      </c>
      <c r="AJ480" t="s">
        <v>3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">
      <c r="A481">
        <f>ROW(Source!A257)</f>
        <v>257</v>
      </c>
      <c r="B481">
        <v>56610803</v>
      </c>
      <c r="C481">
        <v>56610802</v>
      </c>
      <c r="D481">
        <v>47634407</v>
      </c>
      <c r="E481">
        <v>27786564</v>
      </c>
      <c r="F481">
        <v>1</v>
      </c>
      <c r="G481">
        <v>27786564</v>
      </c>
      <c r="H481">
        <v>1</v>
      </c>
      <c r="I481" t="s">
        <v>452</v>
      </c>
      <c r="J481" t="s">
        <v>3</v>
      </c>
      <c r="K481" t="s">
        <v>453</v>
      </c>
      <c r="L481">
        <v>1191</v>
      </c>
      <c r="N481">
        <v>1013</v>
      </c>
      <c r="O481" t="s">
        <v>454</v>
      </c>
      <c r="P481" t="s">
        <v>454</v>
      </c>
      <c r="Q481">
        <v>1</v>
      </c>
      <c r="X481">
        <v>11.7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1</v>
      </c>
      <c r="AF481" t="s">
        <v>22</v>
      </c>
      <c r="AG481">
        <v>12.285</v>
      </c>
      <c r="AH481">
        <v>3</v>
      </c>
      <c r="AI481">
        <v>-1</v>
      </c>
      <c r="AJ481" t="s">
        <v>3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">
      <c r="A482">
        <f>ROW(Source!A257)</f>
        <v>257</v>
      </c>
      <c r="B482">
        <v>56610804</v>
      </c>
      <c r="C482">
        <v>56610802</v>
      </c>
      <c r="D482">
        <v>47766419</v>
      </c>
      <c r="E482">
        <v>1</v>
      </c>
      <c r="F482">
        <v>1</v>
      </c>
      <c r="G482">
        <v>27786564</v>
      </c>
      <c r="H482">
        <v>2</v>
      </c>
      <c r="I482" t="s">
        <v>608</v>
      </c>
      <c r="J482" t="s">
        <v>609</v>
      </c>
      <c r="K482" t="s">
        <v>610</v>
      </c>
      <c r="L482">
        <v>1368</v>
      </c>
      <c r="N482">
        <v>1011</v>
      </c>
      <c r="O482" t="s">
        <v>458</v>
      </c>
      <c r="P482" t="s">
        <v>458</v>
      </c>
      <c r="Q482">
        <v>1</v>
      </c>
      <c r="X482">
        <v>1.26</v>
      </c>
      <c r="Y482">
        <v>0</v>
      </c>
      <c r="Z482">
        <v>120.32</v>
      </c>
      <c r="AA482">
        <v>12.62</v>
      </c>
      <c r="AB482">
        <v>0</v>
      </c>
      <c r="AC482">
        <v>0</v>
      </c>
      <c r="AD482">
        <v>1</v>
      </c>
      <c r="AE482">
        <v>0</v>
      </c>
      <c r="AF482" t="s">
        <v>22</v>
      </c>
      <c r="AG482">
        <v>1.3230000000000002</v>
      </c>
      <c r="AH482">
        <v>3</v>
      </c>
      <c r="AI482">
        <v>-1</v>
      </c>
      <c r="AJ482" t="s">
        <v>3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">
      <c r="A483">
        <f>ROW(Source!A257)</f>
        <v>257</v>
      </c>
      <c r="B483">
        <v>56610805</v>
      </c>
      <c r="C483">
        <v>56610802</v>
      </c>
      <c r="D483">
        <v>47766620</v>
      </c>
      <c r="E483">
        <v>1</v>
      </c>
      <c r="F483">
        <v>1</v>
      </c>
      <c r="G483">
        <v>27786564</v>
      </c>
      <c r="H483">
        <v>2</v>
      </c>
      <c r="I483" t="s">
        <v>602</v>
      </c>
      <c r="J483" t="s">
        <v>603</v>
      </c>
      <c r="K483" t="s">
        <v>604</v>
      </c>
      <c r="L483">
        <v>1368</v>
      </c>
      <c r="N483">
        <v>1011</v>
      </c>
      <c r="O483" t="s">
        <v>458</v>
      </c>
      <c r="P483" t="s">
        <v>458</v>
      </c>
      <c r="Q483">
        <v>1</v>
      </c>
      <c r="X483">
        <v>1.7</v>
      </c>
      <c r="Y483">
        <v>0</v>
      </c>
      <c r="Z483">
        <v>219.56</v>
      </c>
      <c r="AA483">
        <v>18.62</v>
      </c>
      <c r="AB483">
        <v>0</v>
      </c>
      <c r="AC483">
        <v>0</v>
      </c>
      <c r="AD483">
        <v>1</v>
      </c>
      <c r="AE483">
        <v>0</v>
      </c>
      <c r="AF483" t="s">
        <v>22</v>
      </c>
      <c r="AG483">
        <v>1.7849999999999999</v>
      </c>
      <c r="AH483">
        <v>3</v>
      </c>
      <c r="AI483">
        <v>-1</v>
      </c>
      <c r="AJ483" t="s">
        <v>3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">
      <c r="A484">
        <f>ROW(Source!A257)</f>
        <v>257</v>
      </c>
      <c r="B484">
        <v>56610806</v>
      </c>
      <c r="C484">
        <v>56610802</v>
      </c>
      <c r="D484">
        <v>47634960</v>
      </c>
      <c r="E484">
        <v>27786564</v>
      </c>
      <c r="F484">
        <v>1</v>
      </c>
      <c r="G484">
        <v>27786564</v>
      </c>
      <c r="H484">
        <v>2</v>
      </c>
      <c r="I484" t="s">
        <v>468</v>
      </c>
      <c r="J484" t="s">
        <v>3</v>
      </c>
      <c r="K484" t="s">
        <v>469</v>
      </c>
      <c r="L484">
        <v>1344</v>
      </c>
      <c r="N484">
        <v>1008</v>
      </c>
      <c r="O484" t="s">
        <v>470</v>
      </c>
      <c r="P484" t="s">
        <v>470</v>
      </c>
      <c r="Q484">
        <v>1</v>
      </c>
      <c r="X484">
        <v>42.41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22</v>
      </c>
      <c r="AG484">
        <v>44.530499999999996</v>
      </c>
      <c r="AH484">
        <v>3</v>
      </c>
      <c r="AI484">
        <v>-1</v>
      </c>
      <c r="AJ484" t="s">
        <v>3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">
      <c r="A485">
        <f>ROW(Source!A258)</f>
        <v>258</v>
      </c>
      <c r="B485">
        <v>56610803</v>
      </c>
      <c r="C485">
        <v>56610802</v>
      </c>
      <c r="D485">
        <v>47634407</v>
      </c>
      <c r="E485">
        <v>27786564</v>
      </c>
      <c r="F485">
        <v>1</v>
      </c>
      <c r="G485">
        <v>27786564</v>
      </c>
      <c r="H485">
        <v>1</v>
      </c>
      <c r="I485" t="s">
        <v>452</v>
      </c>
      <c r="J485" t="s">
        <v>3</v>
      </c>
      <c r="K485" t="s">
        <v>453</v>
      </c>
      <c r="L485">
        <v>1191</v>
      </c>
      <c r="N485">
        <v>1013</v>
      </c>
      <c r="O485" t="s">
        <v>454</v>
      </c>
      <c r="P485" t="s">
        <v>454</v>
      </c>
      <c r="Q485">
        <v>1</v>
      </c>
      <c r="X485">
        <v>11.7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1</v>
      </c>
      <c r="AF485" t="s">
        <v>22</v>
      </c>
      <c r="AG485">
        <v>12.285</v>
      </c>
      <c r="AH485">
        <v>3</v>
      </c>
      <c r="AI485">
        <v>-1</v>
      </c>
      <c r="AJ485" t="s">
        <v>3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">
      <c r="A486">
        <f>ROW(Source!A258)</f>
        <v>258</v>
      </c>
      <c r="B486">
        <v>56610804</v>
      </c>
      <c r="C486">
        <v>56610802</v>
      </c>
      <c r="D486">
        <v>47766419</v>
      </c>
      <c r="E486">
        <v>1</v>
      </c>
      <c r="F486">
        <v>1</v>
      </c>
      <c r="G486">
        <v>27786564</v>
      </c>
      <c r="H486">
        <v>2</v>
      </c>
      <c r="I486" t="s">
        <v>608</v>
      </c>
      <c r="J486" t="s">
        <v>609</v>
      </c>
      <c r="K486" t="s">
        <v>610</v>
      </c>
      <c r="L486">
        <v>1368</v>
      </c>
      <c r="N486">
        <v>1011</v>
      </c>
      <c r="O486" t="s">
        <v>458</v>
      </c>
      <c r="P486" t="s">
        <v>458</v>
      </c>
      <c r="Q486">
        <v>1</v>
      </c>
      <c r="X486">
        <v>1.26</v>
      </c>
      <c r="Y486">
        <v>0</v>
      </c>
      <c r="Z486">
        <v>120.32</v>
      </c>
      <c r="AA486">
        <v>12.62</v>
      </c>
      <c r="AB486">
        <v>0</v>
      </c>
      <c r="AC486">
        <v>0</v>
      </c>
      <c r="AD486">
        <v>1</v>
      </c>
      <c r="AE486">
        <v>0</v>
      </c>
      <c r="AF486" t="s">
        <v>22</v>
      </c>
      <c r="AG486">
        <v>1.3230000000000002</v>
      </c>
      <c r="AH486">
        <v>3</v>
      </c>
      <c r="AI486">
        <v>-1</v>
      </c>
      <c r="AJ486" t="s">
        <v>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">
      <c r="A487">
        <f>ROW(Source!A258)</f>
        <v>258</v>
      </c>
      <c r="B487">
        <v>56610805</v>
      </c>
      <c r="C487">
        <v>56610802</v>
      </c>
      <c r="D487">
        <v>47766620</v>
      </c>
      <c r="E487">
        <v>1</v>
      </c>
      <c r="F487">
        <v>1</v>
      </c>
      <c r="G487">
        <v>27786564</v>
      </c>
      <c r="H487">
        <v>2</v>
      </c>
      <c r="I487" t="s">
        <v>602</v>
      </c>
      <c r="J487" t="s">
        <v>603</v>
      </c>
      <c r="K487" t="s">
        <v>604</v>
      </c>
      <c r="L487">
        <v>1368</v>
      </c>
      <c r="N487">
        <v>1011</v>
      </c>
      <c r="O487" t="s">
        <v>458</v>
      </c>
      <c r="P487" t="s">
        <v>458</v>
      </c>
      <c r="Q487">
        <v>1</v>
      </c>
      <c r="X487">
        <v>1.7</v>
      </c>
      <c r="Y487">
        <v>0</v>
      </c>
      <c r="Z487">
        <v>219.56</v>
      </c>
      <c r="AA487">
        <v>18.62</v>
      </c>
      <c r="AB487">
        <v>0</v>
      </c>
      <c r="AC487">
        <v>0</v>
      </c>
      <c r="AD487">
        <v>1</v>
      </c>
      <c r="AE487">
        <v>0</v>
      </c>
      <c r="AF487" t="s">
        <v>22</v>
      </c>
      <c r="AG487">
        <v>1.7849999999999999</v>
      </c>
      <c r="AH487">
        <v>3</v>
      </c>
      <c r="AI487">
        <v>-1</v>
      </c>
      <c r="AJ487" t="s">
        <v>3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">
      <c r="A488">
        <f>ROW(Source!A258)</f>
        <v>258</v>
      </c>
      <c r="B488">
        <v>56610806</v>
      </c>
      <c r="C488">
        <v>56610802</v>
      </c>
      <c r="D488">
        <v>47634960</v>
      </c>
      <c r="E488">
        <v>27786564</v>
      </c>
      <c r="F488">
        <v>1</v>
      </c>
      <c r="G488">
        <v>27786564</v>
      </c>
      <c r="H488">
        <v>2</v>
      </c>
      <c r="I488" t="s">
        <v>468</v>
      </c>
      <c r="J488" t="s">
        <v>3</v>
      </c>
      <c r="K488" t="s">
        <v>469</v>
      </c>
      <c r="L488">
        <v>1344</v>
      </c>
      <c r="N488">
        <v>1008</v>
      </c>
      <c r="O488" t="s">
        <v>470</v>
      </c>
      <c r="P488" t="s">
        <v>470</v>
      </c>
      <c r="Q488">
        <v>1</v>
      </c>
      <c r="X488">
        <v>42.41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1</v>
      </c>
      <c r="AE488">
        <v>0</v>
      </c>
      <c r="AF488" t="s">
        <v>22</v>
      </c>
      <c r="AG488">
        <v>44.530499999999996</v>
      </c>
      <c r="AH488">
        <v>3</v>
      </c>
      <c r="AI488">
        <v>-1</v>
      </c>
      <c r="AJ488" t="s">
        <v>3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">
      <c r="A489">
        <f>ROW(Source!A259)</f>
        <v>259</v>
      </c>
      <c r="B489">
        <v>56610808</v>
      </c>
      <c r="C489">
        <v>56610807</v>
      </c>
      <c r="D489">
        <v>47634960</v>
      </c>
      <c r="E489">
        <v>27786564</v>
      </c>
      <c r="F489">
        <v>1</v>
      </c>
      <c r="G489">
        <v>27786564</v>
      </c>
      <c r="H489">
        <v>2</v>
      </c>
      <c r="I489" t="s">
        <v>468</v>
      </c>
      <c r="J489" t="s">
        <v>3</v>
      </c>
      <c r="K489" t="s">
        <v>469</v>
      </c>
      <c r="L489">
        <v>1344</v>
      </c>
      <c r="N489">
        <v>1008</v>
      </c>
      <c r="O489" t="s">
        <v>470</v>
      </c>
      <c r="P489" t="s">
        <v>470</v>
      </c>
      <c r="Q489">
        <v>1</v>
      </c>
      <c r="X489">
        <v>8.86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1</v>
      </c>
      <c r="AE489">
        <v>0</v>
      </c>
      <c r="AF489" t="s">
        <v>22</v>
      </c>
      <c r="AG489">
        <v>9.302999999999999</v>
      </c>
      <c r="AH489">
        <v>3</v>
      </c>
      <c r="AI489">
        <v>-1</v>
      </c>
      <c r="AJ489" t="s">
        <v>3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">
      <c r="A490">
        <f>ROW(Source!A260)</f>
        <v>260</v>
      </c>
      <c r="B490">
        <v>56610808</v>
      </c>
      <c r="C490">
        <v>56610807</v>
      </c>
      <c r="D490">
        <v>47634960</v>
      </c>
      <c r="E490">
        <v>27786564</v>
      </c>
      <c r="F490">
        <v>1</v>
      </c>
      <c r="G490">
        <v>27786564</v>
      </c>
      <c r="H490">
        <v>2</v>
      </c>
      <c r="I490" t="s">
        <v>468</v>
      </c>
      <c r="J490" t="s">
        <v>3</v>
      </c>
      <c r="K490" t="s">
        <v>469</v>
      </c>
      <c r="L490">
        <v>1344</v>
      </c>
      <c r="N490">
        <v>1008</v>
      </c>
      <c r="O490" t="s">
        <v>470</v>
      </c>
      <c r="P490" t="s">
        <v>470</v>
      </c>
      <c r="Q490">
        <v>1</v>
      </c>
      <c r="X490">
        <v>8.86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1</v>
      </c>
      <c r="AE490">
        <v>0</v>
      </c>
      <c r="AF490" t="s">
        <v>22</v>
      </c>
      <c r="AG490">
        <v>9.302999999999999</v>
      </c>
      <c r="AH490">
        <v>3</v>
      </c>
      <c r="AI490">
        <v>-1</v>
      </c>
      <c r="AJ490" t="s">
        <v>3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">
      <c r="A491">
        <f>ROW(Source!A261)</f>
        <v>261</v>
      </c>
      <c r="B491">
        <v>56610811</v>
      </c>
      <c r="C491">
        <v>56610809</v>
      </c>
      <c r="D491">
        <v>47634407</v>
      </c>
      <c r="E491">
        <v>27786564</v>
      </c>
      <c r="F491">
        <v>1</v>
      </c>
      <c r="G491">
        <v>27786564</v>
      </c>
      <c r="H491">
        <v>1</v>
      </c>
      <c r="I491" t="s">
        <v>452</v>
      </c>
      <c r="J491" t="s">
        <v>3</v>
      </c>
      <c r="K491" t="s">
        <v>453</v>
      </c>
      <c r="L491">
        <v>1191</v>
      </c>
      <c r="N491">
        <v>1013</v>
      </c>
      <c r="O491" t="s">
        <v>454</v>
      </c>
      <c r="P491" t="s">
        <v>454</v>
      </c>
      <c r="Q491">
        <v>1</v>
      </c>
      <c r="X491">
        <v>14.4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1</v>
      </c>
      <c r="AF491" t="s">
        <v>22</v>
      </c>
      <c r="AG491">
        <v>15.120000000000001</v>
      </c>
      <c r="AH491">
        <v>3</v>
      </c>
      <c r="AI491">
        <v>-1</v>
      </c>
      <c r="AJ491" t="s">
        <v>3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">
      <c r="A492">
        <f>ROW(Source!A261)</f>
        <v>261</v>
      </c>
      <c r="B492">
        <v>56610812</v>
      </c>
      <c r="C492">
        <v>56610809</v>
      </c>
      <c r="D492">
        <v>47766419</v>
      </c>
      <c r="E492">
        <v>1</v>
      </c>
      <c r="F492">
        <v>1</v>
      </c>
      <c r="G492">
        <v>27786564</v>
      </c>
      <c r="H492">
        <v>2</v>
      </c>
      <c r="I492" t="s">
        <v>608</v>
      </c>
      <c r="J492" t="s">
        <v>609</v>
      </c>
      <c r="K492" t="s">
        <v>610</v>
      </c>
      <c r="L492">
        <v>1368</v>
      </c>
      <c r="N492">
        <v>1011</v>
      </c>
      <c r="O492" t="s">
        <v>458</v>
      </c>
      <c r="P492" t="s">
        <v>458</v>
      </c>
      <c r="Q492">
        <v>1</v>
      </c>
      <c r="X492">
        <v>1.66</v>
      </c>
      <c r="Y492">
        <v>0</v>
      </c>
      <c r="Z492">
        <v>120.32</v>
      </c>
      <c r="AA492">
        <v>12.62</v>
      </c>
      <c r="AB492">
        <v>0</v>
      </c>
      <c r="AC492">
        <v>0</v>
      </c>
      <c r="AD492">
        <v>1</v>
      </c>
      <c r="AE492">
        <v>0</v>
      </c>
      <c r="AF492" t="s">
        <v>22</v>
      </c>
      <c r="AG492">
        <v>1.7429999999999999</v>
      </c>
      <c r="AH492">
        <v>3</v>
      </c>
      <c r="AI492">
        <v>-1</v>
      </c>
      <c r="AJ492" t="s">
        <v>3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">
      <c r="A493">
        <f>ROW(Source!A261)</f>
        <v>261</v>
      </c>
      <c r="B493">
        <v>56610813</v>
      </c>
      <c r="C493">
        <v>56610809</v>
      </c>
      <c r="D493">
        <v>47766660</v>
      </c>
      <c r="E493">
        <v>1</v>
      </c>
      <c r="F493">
        <v>1</v>
      </c>
      <c r="G493">
        <v>27786564</v>
      </c>
      <c r="H493">
        <v>2</v>
      </c>
      <c r="I493" t="s">
        <v>611</v>
      </c>
      <c r="J493" t="s">
        <v>612</v>
      </c>
      <c r="K493" t="s">
        <v>613</v>
      </c>
      <c r="L493">
        <v>1368</v>
      </c>
      <c r="N493">
        <v>1011</v>
      </c>
      <c r="O493" t="s">
        <v>458</v>
      </c>
      <c r="P493" t="s">
        <v>458</v>
      </c>
      <c r="Q493">
        <v>1</v>
      </c>
      <c r="X493">
        <v>1.66</v>
      </c>
      <c r="Y493">
        <v>0</v>
      </c>
      <c r="Z493">
        <v>281.32</v>
      </c>
      <c r="AA493">
        <v>16.93</v>
      </c>
      <c r="AB493">
        <v>0</v>
      </c>
      <c r="AC493">
        <v>0</v>
      </c>
      <c r="AD493">
        <v>1</v>
      </c>
      <c r="AE493">
        <v>0</v>
      </c>
      <c r="AF493" t="s">
        <v>22</v>
      </c>
      <c r="AG493">
        <v>1.7429999999999999</v>
      </c>
      <c r="AH493">
        <v>3</v>
      </c>
      <c r="AI493">
        <v>-1</v>
      </c>
      <c r="AJ493" t="s">
        <v>3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">
      <c r="A494">
        <f>ROW(Source!A261)</f>
        <v>261</v>
      </c>
      <c r="B494">
        <v>56610814</v>
      </c>
      <c r="C494">
        <v>56610809</v>
      </c>
      <c r="D494">
        <v>47766605</v>
      </c>
      <c r="E494">
        <v>1</v>
      </c>
      <c r="F494">
        <v>1</v>
      </c>
      <c r="G494">
        <v>27786564</v>
      </c>
      <c r="H494">
        <v>2</v>
      </c>
      <c r="I494" t="s">
        <v>614</v>
      </c>
      <c r="J494" t="s">
        <v>615</v>
      </c>
      <c r="K494" t="s">
        <v>616</v>
      </c>
      <c r="L494">
        <v>1368</v>
      </c>
      <c r="N494">
        <v>1011</v>
      </c>
      <c r="O494" t="s">
        <v>458</v>
      </c>
      <c r="P494" t="s">
        <v>458</v>
      </c>
      <c r="Q494">
        <v>1</v>
      </c>
      <c r="X494">
        <v>0.65</v>
      </c>
      <c r="Y494">
        <v>0</v>
      </c>
      <c r="Z494">
        <v>140.38</v>
      </c>
      <c r="AA494">
        <v>12.62</v>
      </c>
      <c r="AB494">
        <v>0</v>
      </c>
      <c r="AC494">
        <v>0</v>
      </c>
      <c r="AD494">
        <v>1</v>
      </c>
      <c r="AE494">
        <v>0</v>
      </c>
      <c r="AF494" t="s">
        <v>22</v>
      </c>
      <c r="AG494">
        <v>0.68250000000000011</v>
      </c>
      <c r="AH494">
        <v>3</v>
      </c>
      <c r="AI494">
        <v>-1</v>
      </c>
      <c r="AJ494" t="s">
        <v>3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">
      <c r="A495">
        <f>ROW(Source!A261)</f>
        <v>261</v>
      </c>
      <c r="B495">
        <v>56610815</v>
      </c>
      <c r="C495">
        <v>56610809</v>
      </c>
      <c r="D495">
        <v>47766620</v>
      </c>
      <c r="E495">
        <v>1</v>
      </c>
      <c r="F495">
        <v>1</v>
      </c>
      <c r="G495">
        <v>27786564</v>
      </c>
      <c r="H495">
        <v>2</v>
      </c>
      <c r="I495" t="s">
        <v>602</v>
      </c>
      <c r="J495" t="s">
        <v>603</v>
      </c>
      <c r="K495" t="s">
        <v>604</v>
      </c>
      <c r="L495">
        <v>1368</v>
      </c>
      <c r="N495">
        <v>1011</v>
      </c>
      <c r="O495" t="s">
        <v>458</v>
      </c>
      <c r="P495" t="s">
        <v>458</v>
      </c>
      <c r="Q495">
        <v>1</v>
      </c>
      <c r="X495">
        <v>1.55</v>
      </c>
      <c r="Y495">
        <v>0</v>
      </c>
      <c r="Z495">
        <v>219.56</v>
      </c>
      <c r="AA495">
        <v>18.62</v>
      </c>
      <c r="AB495">
        <v>0</v>
      </c>
      <c r="AC495">
        <v>0</v>
      </c>
      <c r="AD495">
        <v>1</v>
      </c>
      <c r="AE495">
        <v>0</v>
      </c>
      <c r="AF495" t="s">
        <v>22</v>
      </c>
      <c r="AG495">
        <v>1.6275000000000002</v>
      </c>
      <c r="AH495">
        <v>3</v>
      </c>
      <c r="AI495">
        <v>-1</v>
      </c>
      <c r="AJ495" t="s">
        <v>3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">
      <c r="A496">
        <f>ROW(Source!A261)</f>
        <v>261</v>
      </c>
      <c r="B496">
        <v>56610816</v>
      </c>
      <c r="C496">
        <v>56610809</v>
      </c>
      <c r="D496">
        <v>47766599</v>
      </c>
      <c r="E496">
        <v>1</v>
      </c>
      <c r="F496">
        <v>1</v>
      </c>
      <c r="G496">
        <v>27786564</v>
      </c>
      <c r="H496">
        <v>2</v>
      </c>
      <c r="I496" t="s">
        <v>617</v>
      </c>
      <c r="J496" t="s">
        <v>618</v>
      </c>
      <c r="K496" t="s">
        <v>619</v>
      </c>
      <c r="L496">
        <v>1368</v>
      </c>
      <c r="N496">
        <v>1011</v>
      </c>
      <c r="O496" t="s">
        <v>458</v>
      </c>
      <c r="P496" t="s">
        <v>458</v>
      </c>
      <c r="Q496">
        <v>1</v>
      </c>
      <c r="X496">
        <v>0.52</v>
      </c>
      <c r="Y496">
        <v>0</v>
      </c>
      <c r="Z496">
        <v>180.35</v>
      </c>
      <c r="AA496">
        <v>16.93</v>
      </c>
      <c r="AB496">
        <v>0</v>
      </c>
      <c r="AC496">
        <v>0</v>
      </c>
      <c r="AD496">
        <v>1</v>
      </c>
      <c r="AE496">
        <v>0</v>
      </c>
      <c r="AF496" t="s">
        <v>22</v>
      </c>
      <c r="AG496">
        <v>0.54600000000000004</v>
      </c>
      <c r="AH496">
        <v>3</v>
      </c>
      <c r="AI496">
        <v>-1</v>
      </c>
      <c r="AJ496" t="s">
        <v>3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">
      <c r="A497">
        <f>ROW(Source!A261)</f>
        <v>261</v>
      </c>
      <c r="B497">
        <v>56610817</v>
      </c>
      <c r="C497">
        <v>56610809</v>
      </c>
      <c r="D497">
        <v>30390465</v>
      </c>
      <c r="E497">
        <v>1</v>
      </c>
      <c r="F497">
        <v>1</v>
      </c>
      <c r="G497">
        <v>27786564</v>
      </c>
      <c r="H497">
        <v>3</v>
      </c>
      <c r="I497" t="s">
        <v>620</v>
      </c>
      <c r="J497" t="s">
        <v>621</v>
      </c>
      <c r="K497" t="s">
        <v>622</v>
      </c>
      <c r="L497">
        <v>1339</v>
      </c>
      <c r="N497">
        <v>1007</v>
      </c>
      <c r="O497" t="s">
        <v>85</v>
      </c>
      <c r="P497" t="s">
        <v>85</v>
      </c>
      <c r="Q497">
        <v>1</v>
      </c>
      <c r="X497">
        <v>5</v>
      </c>
      <c r="Y497">
        <v>7.07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 t="s">
        <v>3</v>
      </c>
      <c r="AG497">
        <v>5</v>
      </c>
      <c r="AH497">
        <v>3</v>
      </c>
      <c r="AI497">
        <v>-1</v>
      </c>
      <c r="AJ497" t="s">
        <v>3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">
      <c r="A498">
        <f>ROW(Source!A261)</f>
        <v>261</v>
      </c>
      <c r="B498">
        <v>56610818</v>
      </c>
      <c r="C498">
        <v>56610809</v>
      </c>
      <c r="D498">
        <v>30384156</v>
      </c>
      <c r="E498">
        <v>27786564</v>
      </c>
      <c r="F498">
        <v>1</v>
      </c>
      <c r="G498">
        <v>27786564</v>
      </c>
      <c r="H498">
        <v>3</v>
      </c>
      <c r="I498" t="s">
        <v>520</v>
      </c>
      <c r="J498" t="s">
        <v>3</v>
      </c>
      <c r="K498" t="s">
        <v>521</v>
      </c>
      <c r="L498">
        <v>1339</v>
      </c>
      <c r="N498">
        <v>1007</v>
      </c>
      <c r="O498" t="s">
        <v>85</v>
      </c>
      <c r="P498" t="s">
        <v>85</v>
      </c>
      <c r="Q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 t="s">
        <v>3</v>
      </c>
      <c r="AG498">
        <v>0</v>
      </c>
      <c r="AH498">
        <v>3</v>
      </c>
      <c r="AI498">
        <v>-1</v>
      </c>
      <c r="AJ498" t="s">
        <v>3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">
      <c r="A499">
        <f>ROW(Source!A262)</f>
        <v>262</v>
      </c>
      <c r="B499">
        <v>56610811</v>
      </c>
      <c r="C499">
        <v>56610809</v>
      </c>
      <c r="D499">
        <v>47634407</v>
      </c>
      <c r="E499">
        <v>27786564</v>
      </c>
      <c r="F499">
        <v>1</v>
      </c>
      <c r="G499">
        <v>27786564</v>
      </c>
      <c r="H499">
        <v>1</v>
      </c>
      <c r="I499" t="s">
        <v>452</v>
      </c>
      <c r="J499" t="s">
        <v>3</v>
      </c>
      <c r="K499" t="s">
        <v>453</v>
      </c>
      <c r="L499">
        <v>1191</v>
      </c>
      <c r="N499">
        <v>1013</v>
      </c>
      <c r="O499" t="s">
        <v>454</v>
      </c>
      <c r="P499" t="s">
        <v>454</v>
      </c>
      <c r="Q499">
        <v>1</v>
      </c>
      <c r="X499">
        <v>14.4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1</v>
      </c>
      <c r="AF499" t="s">
        <v>22</v>
      </c>
      <c r="AG499">
        <v>15.120000000000001</v>
      </c>
      <c r="AH499">
        <v>3</v>
      </c>
      <c r="AI499">
        <v>-1</v>
      </c>
      <c r="AJ499" t="s">
        <v>3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">
      <c r="A500">
        <f>ROW(Source!A262)</f>
        <v>262</v>
      </c>
      <c r="B500">
        <v>56610812</v>
      </c>
      <c r="C500">
        <v>56610809</v>
      </c>
      <c r="D500">
        <v>47766419</v>
      </c>
      <c r="E500">
        <v>1</v>
      </c>
      <c r="F500">
        <v>1</v>
      </c>
      <c r="G500">
        <v>27786564</v>
      </c>
      <c r="H500">
        <v>2</v>
      </c>
      <c r="I500" t="s">
        <v>608</v>
      </c>
      <c r="J500" t="s">
        <v>609</v>
      </c>
      <c r="K500" t="s">
        <v>610</v>
      </c>
      <c r="L500">
        <v>1368</v>
      </c>
      <c r="N500">
        <v>1011</v>
      </c>
      <c r="O500" t="s">
        <v>458</v>
      </c>
      <c r="P500" t="s">
        <v>458</v>
      </c>
      <c r="Q500">
        <v>1</v>
      </c>
      <c r="X500">
        <v>1.66</v>
      </c>
      <c r="Y500">
        <v>0</v>
      </c>
      <c r="Z500">
        <v>120.32</v>
      </c>
      <c r="AA500">
        <v>12.62</v>
      </c>
      <c r="AB500">
        <v>0</v>
      </c>
      <c r="AC500">
        <v>0</v>
      </c>
      <c r="AD500">
        <v>1</v>
      </c>
      <c r="AE500">
        <v>0</v>
      </c>
      <c r="AF500" t="s">
        <v>22</v>
      </c>
      <c r="AG500">
        <v>1.7429999999999999</v>
      </c>
      <c r="AH500">
        <v>3</v>
      </c>
      <c r="AI500">
        <v>-1</v>
      </c>
      <c r="AJ500" t="s">
        <v>3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">
      <c r="A501">
        <f>ROW(Source!A262)</f>
        <v>262</v>
      </c>
      <c r="B501">
        <v>56610813</v>
      </c>
      <c r="C501">
        <v>56610809</v>
      </c>
      <c r="D501">
        <v>47766660</v>
      </c>
      <c r="E501">
        <v>1</v>
      </c>
      <c r="F501">
        <v>1</v>
      </c>
      <c r="G501">
        <v>27786564</v>
      </c>
      <c r="H501">
        <v>2</v>
      </c>
      <c r="I501" t="s">
        <v>611</v>
      </c>
      <c r="J501" t="s">
        <v>612</v>
      </c>
      <c r="K501" t="s">
        <v>613</v>
      </c>
      <c r="L501">
        <v>1368</v>
      </c>
      <c r="N501">
        <v>1011</v>
      </c>
      <c r="O501" t="s">
        <v>458</v>
      </c>
      <c r="P501" t="s">
        <v>458</v>
      </c>
      <c r="Q501">
        <v>1</v>
      </c>
      <c r="X501">
        <v>1.66</v>
      </c>
      <c r="Y501">
        <v>0</v>
      </c>
      <c r="Z501">
        <v>281.32</v>
      </c>
      <c r="AA501">
        <v>16.93</v>
      </c>
      <c r="AB501">
        <v>0</v>
      </c>
      <c r="AC501">
        <v>0</v>
      </c>
      <c r="AD501">
        <v>1</v>
      </c>
      <c r="AE501">
        <v>0</v>
      </c>
      <c r="AF501" t="s">
        <v>22</v>
      </c>
      <c r="AG501">
        <v>1.7429999999999999</v>
      </c>
      <c r="AH501">
        <v>3</v>
      </c>
      <c r="AI501">
        <v>-1</v>
      </c>
      <c r="AJ501" t="s">
        <v>3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">
      <c r="A502">
        <f>ROW(Source!A262)</f>
        <v>262</v>
      </c>
      <c r="B502">
        <v>56610814</v>
      </c>
      <c r="C502">
        <v>56610809</v>
      </c>
      <c r="D502">
        <v>47766605</v>
      </c>
      <c r="E502">
        <v>1</v>
      </c>
      <c r="F502">
        <v>1</v>
      </c>
      <c r="G502">
        <v>27786564</v>
      </c>
      <c r="H502">
        <v>2</v>
      </c>
      <c r="I502" t="s">
        <v>614</v>
      </c>
      <c r="J502" t="s">
        <v>615</v>
      </c>
      <c r="K502" t="s">
        <v>616</v>
      </c>
      <c r="L502">
        <v>1368</v>
      </c>
      <c r="N502">
        <v>1011</v>
      </c>
      <c r="O502" t="s">
        <v>458</v>
      </c>
      <c r="P502" t="s">
        <v>458</v>
      </c>
      <c r="Q502">
        <v>1</v>
      </c>
      <c r="X502">
        <v>0.65</v>
      </c>
      <c r="Y502">
        <v>0</v>
      </c>
      <c r="Z502">
        <v>140.38</v>
      </c>
      <c r="AA502">
        <v>12.62</v>
      </c>
      <c r="AB502">
        <v>0</v>
      </c>
      <c r="AC502">
        <v>0</v>
      </c>
      <c r="AD502">
        <v>1</v>
      </c>
      <c r="AE502">
        <v>0</v>
      </c>
      <c r="AF502" t="s">
        <v>22</v>
      </c>
      <c r="AG502">
        <v>0.68250000000000011</v>
      </c>
      <c r="AH502">
        <v>3</v>
      </c>
      <c r="AI502">
        <v>-1</v>
      </c>
      <c r="AJ502" t="s">
        <v>3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">
      <c r="A503">
        <f>ROW(Source!A262)</f>
        <v>262</v>
      </c>
      <c r="B503">
        <v>56610815</v>
      </c>
      <c r="C503">
        <v>56610809</v>
      </c>
      <c r="D503">
        <v>47766620</v>
      </c>
      <c r="E503">
        <v>1</v>
      </c>
      <c r="F503">
        <v>1</v>
      </c>
      <c r="G503">
        <v>27786564</v>
      </c>
      <c r="H503">
        <v>2</v>
      </c>
      <c r="I503" t="s">
        <v>602</v>
      </c>
      <c r="J503" t="s">
        <v>603</v>
      </c>
      <c r="K503" t="s">
        <v>604</v>
      </c>
      <c r="L503">
        <v>1368</v>
      </c>
      <c r="N503">
        <v>1011</v>
      </c>
      <c r="O503" t="s">
        <v>458</v>
      </c>
      <c r="P503" t="s">
        <v>458</v>
      </c>
      <c r="Q503">
        <v>1</v>
      </c>
      <c r="X503">
        <v>1.55</v>
      </c>
      <c r="Y503">
        <v>0</v>
      </c>
      <c r="Z503">
        <v>219.56</v>
      </c>
      <c r="AA503">
        <v>18.62</v>
      </c>
      <c r="AB503">
        <v>0</v>
      </c>
      <c r="AC503">
        <v>0</v>
      </c>
      <c r="AD503">
        <v>1</v>
      </c>
      <c r="AE503">
        <v>0</v>
      </c>
      <c r="AF503" t="s">
        <v>22</v>
      </c>
      <c r="AG503">
        <v>1.6275000000000002</v>
      </c>
      <c r="AH503">
        <v>3</v>
      </c>
      <c r="AI503">
        <v>-1</v>
      </c>
      <c r="AJ503" t="s">
        <v>3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">
      <c r="A504">
        <f>ROW(Source!A262)</f>
        <v>262</v>
      </c>
      <c r="B504">
        <v>56610816</v>
      </c>
      <c r="C504">
        <v>56610809</v>
      </c>
      <c r="D504">
        <v>47766599</v>
      </c>
      <c r="E504">
        <v>1</v>
      </c>
      <c r="F504">
        <v>1</v>
      </c>
      <c r="G504">
        <v>27786564</v>
      </c>
      <c r="H504">
        <v>2</v>
      </c>
      <c r="I504" t="s">
        <v>617</v>
      </c>
      <c r="J504" t="s">
        <v>618</v>
      </c>
      <c r="K504" t="s">
        <v>619</v>
      </c>
      <c r="L504">
        <v>1368</v>
      </c>
      <c r="N504">
        <v>1011</v>
      </c>
      <c r="O504" t="s">
        <v>458</v>
      </c>
      <c r="P504" t="s">
        <v>458</v>
      </c>
      <c r="Q504">
        <v>1</v>
      </c>
      <c r="X504">
        <v>0.52</v>
      </c>
      <c r="Y504">
        <v>0</v>
      </c>
      <c r="Z504">
        <v>180.35</v>
      </c>
      <c r="AA504">
        <v>16.93</v>
      </c>
      <c r="AB504">
        <v>0</v>
      </c>
      <c r="AC504">
        <v>0</v>
      </c>
      <c r="AD504">
        <v>1</v>
      </c>
      <c r="AE504">
        <v>0</v>
      </c>
      <c r="AF504" t="s">
        <v>22</v>
      </c>
      <c r="AG504">
        <v>0.54600000000000004</v>
      </c>
      <c r="AH504">
        <v>3</v>
      </c>
      <c r="AI504">
        <v>-1</v>
      </c>
      <c r="AJ504" t="s">
        <v>3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">
      <c r="A505">
        <f>ROW(Source!A262)</f>
        <v>262</v>
      </c>
      <c r="B505">
        <v>56610817</v>
      </c>
      <c r="C505">
        <v>56610809</v>
      </c>
      <c r="D505">
        <v>30390465</v>
      </c>
      <c r="E505">
        <v>1</v>
      </c>
      <c r="F505">
        <v>1</v>
      </c>
      <c r="G505">
        <v>27786564</v>
      </c>
      <c r="H505">
        <v>3</v>
      </c>
      <c r="I505" t="s">
        <v>620</v>
      </c>
      <c r="J505" t="s">
        <v>621</v>
      </c>
      <c r="K505" t="s">
        <v>622</v>
      </c>
      <c r="L505">
        <v>1339</v>
      </c>
      <c r="N505">
        <v>1007</v>
      </c>
      <c r="O505" t="s">
        <v>85</v>
      </c>
      <c r="P505" t="s">
        <v>85</v>
      </c>
      <c r="Q505">
        <v>1</v>
      </c>
      <c r="X505">
        <v>5</v>
      </c>
      <c r="Y505">
        <v>7.07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 t="s">
        <v>3</v>
      </c>
      <c r="AG505">
        <v>5</v>
      </c>
      <c r="AH505">
        <v>3</v>
      </c>
      <c r="AI505">
        <v>-1</v>
      </c>
      <c r="AJ505" t="s">
        <v>3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">
      <c r="A506">
        <f>ROW(Source!A262)</f>
        <v>262</v>
      </c>
      <c r="B506">
        <v>56610818</v>
      </c>
      <c r="C506">
        <v>56610809</v>
      </c>
      <c r="D506">
        <v>30384156</v>
      </c>
      <c r="E506">
        <v>27786564</v>
      </c>
      <c r="F506">
        <v>1</v>
      </c>
      <c r="G506">
        <v>27786564</v>
      </c>
      <c r="H506">
        <v>3</v>
      </c>
      <c r="I506" t="s">
        <v>520</v>
      </c>
      <c r="J506" t="s">
        <v>3</v>
      </c>
      <c r="K506" t="s">
        <v>521</v>
      </c>
      <c r="L506">
        <v>1339</v>
      </c>
      <c r="N506">
        <v>1007</v>
      </c>
      <c r="O506" t="s">
        <v>85</v>
      </c>
      <c r="P506" t="s">
        <v>85</v>
      </c>
      <c r="Q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 t="s">
        <v>3</v>
      </c>
      <c r="AG506">
        <v>0</v>
      </c>
      <c r="AH506">
        <v>3</v>
      </c>
      <c r="AI506">
        <v>-1</v>
      </c>
      <c r="AJ506" t="s">
        <v>3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">
      <c r="A507">
        <f>ROW(Source!A265)</f>
        <v>265</v>
      </c>
      <c r="B507">
        <v>56610822</v>
      </c>
      <c r="C507">
        <v>56610820</v>
      </c>
      <c r="D507">
        <v>47634407</v>
      </c>
      <c r="E507">
        <v>27786564</v>
      </c>
      <c r="F507">
        <v>1</v>
      </c>
      <c r="G507">
        <v>27786564</v>
      </c>
      <c r="H507">
        <v>1</v>
      </c>
      <c r="I507" t="s">
        <v>452</v>
      </c>
      <c r="J507" t="s">
        <v>3</v>
      </c>
      <c r="K507" t="s">
        <v>453</v>
      </c>
      <c r="L507">
        <v>1191</v>
      </c>
      <c r="N507">
        <v>1013</v>
      </c>
      <c r="O507" t="s">
        <v>454</v>
      </c>
      <c r="P507" t="s">
        <v>454</v>
      </c>
      <c r="Q507">
        <v>1</v>
      </c>
      <c r="X507">
        <v>24.3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1</v>
      </c>
      <c r="AF507" t="s">
        <v>22</v>
      </c>
      <c r="AG507">
        <v>25.515000000000001</v>
      </c>
      <c r="AH507">
        <v>3</v>
      </c>
      <c r="AI507">
        <v>-1</v>
      </c>
      <c r="AJ507" t="s">
        <v>3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">
      <c r="A508">
        <f>ROW(Source!A265)</f>
        <v>265</v>
      </c>
      <c r="B508">
        <v>56610823</v>
      </c>
      <c r="C508">
        <v>56610820</v>
      </c>
      <c r="D508">
        <v>47766605</v>
      </c>
      <c r="E508">
        <v>1</v>
      </c>
      <c r="F508">
        <v>1</v>
      </c>
      <c r="G508">
        <v>27786564</v>
      </c>
      <c r="H508">
        <v>2</v>
      </c>
      <c r="I508" t="s">
        <v>614</v>
      </c>
      <c r="J508" t="s">
        <v>615</v>
      </c>
      <c r="K508" t="s">
        <v>616</v>
      </c>
      <c r="L508">
        <v>1368</v>
      </c>
      <c r="N508">
        <v>1011</v>
      </c>
      <c r="O508" t="s">
        <v>458</v>
      </c>
      <c r="P508" t="s">
        <v>458</v>
      </c>
      <c r="Q508">
        <v>1</v>
      </c>
      <c r="X508">
        <v>0.47</v>
      </c>
      <c r="Y508">
        <v>0</v>
      </c>
      <c r="Z508">
        <v>140.38</v>
      </c>
      <c r="AA508">
        <v>12.62</v>
      </c>
      <c r="AB508">
        <v>0</v>
      </c>
      <c r="AC508">
        <v>0</v>
      </c>
      <c r="AD508">
        <v>1</v>
      </c>
      <c r="AE508">
        <v>0</v>
      </c>
      <c r="AF508" t="s">
        <v>22</v>
      </c>
      <c r="AG508">
        <v>0.49349999999999999</v>
      </c>
      <c r="AH508">
        <v>3</v>
      </c>
      <c r="AI508">
        <v>-1</v>
      </c>
      <c r="AJ508" t="s">
        <v>3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">
      <c r="A509">
        <f>ROW(Source!A265)</f>
        <v>265</v>
      </c>
      <c r="B509">
        <v>56610824</v>
      </c>
      <c r="C509">
        <v>56610820</v>
      </c>
      <c r="D509">
        <v>47766595</v>
      </c>
      <c r="E509">
        <v>1</v>
      </c>
      <c r="F509">
        <v>1</v>
      </c>
      <c r="G509">
        <v>27786564</v>
      </c>
      <c r="H509">
        <v>2</v>
      </c>
      <c r="I509" t="s">
        <v>649</v>
      </c>
      <c r="J509" t="s">
        <v>650</v>
      </c>
      <c r="K509" t="s">
        <v>651</v>
      </c>
      <c r="L509">
        <v>1368</v>
      </c>
      <c r="N509">
        <v>1011</v>
      </c>
      <c r="O509" t="s">
        <v>458</v>
      </c>
      <c r="P509" t="s">
        <v>458</v>
      </c>
      <c r="Q509">
        <v>1</v>
      </c>
      <c r="X509">
        <v>1.3</v>
      </c>
      <c r="Y509">
        <v>0</v>
      </c>
      <c r="Z509">
        <v>163.81</v>
      </c>
      <c r="AA509">
        <v>14.54</v>
      </c>
      <c r="AB509">
        <v>0</v>
      </c>
      <c r="AC509">
        <v>0</v>
      </c>
      <c r="AD509">
        <v>1</v>
      </c>
      <c r="AE509">
        <v>0</v>
      </c>
      <c r="AF509" t="s">
        <v>22</v>
      </c>
      <c r="AG509">
        <v>1.3650000000000002</v>
      </c>
      <c r="AH509">
        <v>3</v>
      </c>
      <c r="AI509">
        <v>-1</v>
      </c>
      <c r="AJ509" t="s">
        <v>3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">
      <c r="A510">
        <f>ROW(Source!A265)</f>
        <v>265</v>
      </c>
      <c r="B510">
        <v>56610825</v>
      </c>
      <c r="C510">
        <v>56610820</v>
      </c>
      <c r="D510">
        <v>30390465</v>
      </c>
      <c r="E510">
        <v>1</v>
      </c>
      <c r="F510">
        <v>1</v>
      </c>
      <c r="G510">
        <v>27786564</v>
      </c>
      <c r="H510">
        <v>3</v>
      </c>
      <c r="I510" t="s">
        <v>620</v>
      </c>
      <c r="J510" t="s">
        <v>621</v>
      </c>
      <c r="K510" t="s">
        <v>622</v>
      </c>
      <c r="L510">
        <v>1339</v>
      </c>
      <c r="N510">
        <v>1007</v>
      </c>
      <c r="O510" t="s">
        <v>85</v>
      </c>
      <c r="P510" t="s">
        <v>85</v>
      </c>
      <c r="Q510">
        <v>1</v>
      </c>
      <c r="X510">
        <v>2</v>
      </c>
      <c r="Y510">
        <v>7.07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 t="s">
        <v>3</v>
      </c>
      <c r="AG510">
        <v>2</v>
      </c>
      <c r="AH510">
        <v>3</v>
      </c>
      <c r="AI510">
        <v>-1</v>
      </c>
      <c r="AJ510" t="s">
        <v>3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">
      <c r="A511">
        <f>ROW(Source!A265)</f>
        <v>265</v>
      </c>
      <c r="B511">
        <v>56610826</v>
      </c>
      <c r="C511">
        <v>56610820</v>
      </c>
      <c r="D511">
        <v>30384194</v>
      </c>
      <c r="E511">
        <v>27786564</v>
      </c>
      <c r="F511">
        <v>1</v>
      </c>
      <c r="G511">
        <v>27786564</v>
      </c>
      <c r="H511">
        <v>3</v>
      </c>
      <c r="I511" t="s">
        <v>663</v>
      </c>
      <c r="J511" t="s">
        <v>3</v>
      </c>
      <c r="K511" t="s">
        <v>664</v>
      </c>
      <c r="L511">
        <v>1339</v>
      </c>
      <c r="N511">
        <v>1007</v>
      </c>
      <c r="O511" t="s">
        <v>85</v>
      </c>
      <c r="P511" t="s">
        <v>85</v>
      </c>
      <c r="Q511">
        <v>1</v>
      </c>
      <c r="X511">
        <v>17.399999999999999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 t="s">
        <v>3</v>
      </c>
      <c r="AG511">
        <v>17.399999999999999</v>
      </c>
      <c r="AH511">
        <v>3</v>
      </c>
      <c r="AI511">
        <v>-1</v>
      </c>
      <c r="AJ511" t="s">
        <v>3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">
      <c r="A512">
        <f>ROW(Source!A266)</f>
        <v>266</v>
      </c>
      <c r="B512">
        <v>56610822</v>
      </c>
      <c r="C512">
        <v>56610820</v>
      </c>
      <c r="D512">
        <v>47634407</v>
      </c>
      <c r="E512">
        <v>27786564</v>
      </c>
      <c r="F512">
        <v>1</v>
      </c>
      <c r="G512">
        <v>27786564</v>
      </c>
      <c r="H512">
        <v>1</v>
      </c>
      <c r="I512" t="s">
        <v>452</v>
      </c>
      <c r="J512" t="s">
        <v>3</v>
      </c>
      <c r="K512" t="s">
        <v>453</v>
      </c>
      <c r="L512">
        <v>1191</v>
      </c>
      <c r="N512">
        <v>1013</v>
      </c>
      <c r="O512" t="s">
        <v>454</v>
      </c>
      <c r="P512" t="s">
        <v>454</v>
      </c>
      <c r="Q512">
        <v>1</v>
      </c>
      <c r="X512">
        <v>24.3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1</v>
      </c>
      <c r="AF512" t="s">
        <v>22</v>
      </c>
      <c r="AG512">
        <v>25.515000000000001</v>
      </c>
      <c r="AH512">
        <v>3</v>
      </c>
      <c r="AI512">
        <v>-1</v>
      </c>
      <c r="AJ512" t="s">
        <v>3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">
      <c r="A513">
        <f>ROW(Source!A266)</f>
        <v>266</v>
      </c>
      <c r="B513">
        <v>56610823</v>
      </c>
      <c r="C513">
        <v>56610820</v>
      </c>
      <c r="D513">
        <v>47766605</v>
      </c>
      <c r="E513">
        <v>1</v>
      </c>
      <c r="F513">
        <v>1</v>
      </c>
      <c r="G513">
        <v>27786564</v>
      </c>
      <c r="H513">
        <v>2</v>
      </c>
      <c r="I513" t="s">
        <v>614</v>
      </c>
      <c r="J513" t="s">
        <v>615</v>
      </c>
      <c r="K513" t="s">
        <v>616</v>
      </c>
      <c r="L513">
        <v>1368</v>
      </c>
      <c r="N513">
        <v>1011</v>
      </c>
      <c r="O513" t="s">
        <v>458</v>
      </c>
      <c r="P513" t="s">
        <v>458</v>
      </c>
      <c r="Q513">
        <v>1</v>
      </c>
      <c r="X513">
        <v>0.47</v>
      </c>
      <c r="Y513">
        <v>0</v>
      </c>
      <c r="Z513">
        <v>140.38</v>
      </c>
      <c r="AA513">
        <v>12.62</v>
      </c>
      <c r="AB513">
        <v>0</v>
      </c>
      <c r="AC513">
        <v>0</v>
      </c>
      <c r="AD513">
        <v>1</v>
      </c>
      <c r="AE513">
        <v>0</v>
      </c>
      <c r="AF513" t="s">
        <v>22</v>
      </c>
      <c r="AG513">
        <v>0.49349999999999999</v>
      </c>
      <c r="AH513">
        <v>3</v>
      </c>
      <c r="AI513">
        <v>-1</v>
      </c>
      <c r="AJ513" t="s">
        <v>3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">
      <c r="A514">
        <f>ROW(Source!A266)</f>
        <v>266</v>
      </c>
      <c r="B514">
        <v>56610824</v>
      </c>
      <c r="C514">
        <v>56610820</v>
      </c>
      <c r="D514">
        <v>47766595</v>
      </c>
      <c r="E514">
        <v>1</v>
      </c>
      <c r="F514">
        <v>1</v>
      </c>
      <c r="G514">
        <v>27786564</v>
      </c>
      <c r="H514">
        <v>2</v>
      </c>
      <c r="I514" t="s">
        <v>649</v>
      </c>
      <c r="J514" t="s">
        <v>650</v>
      </c>
      <c r="K514" t="s">
        <v>651</v>
      </c>
      <c r="L514">
        <v>1368</v>
      </c>
      <c r="N514">
        <v>1011</v>
      </c>
      <c r="O514" t="s">
        <v>458</v>
      </c>
      <c r="P514" t="s">
        <v>458</v>
      </c>
      <c r="Q514">
        <v>1</v>
      </c>
      <c r="X514">
        <v>1.3</v>
      </c>
      <c r="Y514">
        <v>0</v>
      </c>
      <c r="Z514">
        <v>163.81</v>
      </c>
      <c r="AA514">
        <v>14.54</v>
      </c>
      <c r="AB514">
        <v>0</v>
      </c>
      <c r="AC514">
        <v>0</v>
      </c>
      <c r="AD514">
        <v>1</v>
      </c>
      <c r="AE514">
        <v>0</v>
      </c>
      <c r="AF514" t="s">
        <v>22</v>
      </c>
      <c r="AG514">
        <v>1.3650000000000002</v>
      </c>
      <c r="AH514">
        <v>3</v>
      </c>
      <c r="AI514">
        <v>-1</v>
      </c>
      <c r="AJ514" t="s">
        <v>3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">
      <c r="A515">
        <f>ROW(Source!A266)</f>
        <v>266</v>
      </c>
      <c r="B515">
        <v>56610825</v>
      </c>
      <c r="C515">
        <v>56610820</v>
      </c>
      <c r="D515">
        <v>30390465</v>
      </c>
      <c r="E515">
        <v>1</v>
      </c>
      <c r="F515">
        <v>1</v>
      </c>
      <c r="G515">
        <v>27786564</v>
      </c>
      <c r="H515">
        <v>3</v>
      </c>
      <c r="I515" t="s">
        <v>620</v>
      </c>
      <c r="J515" t="s">
        <v>621</v>
      </c>
      <c r="K515" t="s">
        <v>622</v>
      </c>
      <c r="L515">
        <v>1339</v>
      </c>
      <c r="N515">
        <v>1007</v>
      </c>
      <c r="O515" t="s">
        <v>85</v>
      </c>
      <c r="P515" t="s">
        <v>85</v>
      </c>
      <c r="Q515">
        <v>1</v>
      </c>
      <c r="X515">
        <v>2</v>
      </c>
      <c r="Y515">
        <v>7.07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 t="s">
        <v>3</v>
      </c>
      <c r="AG515">
        <v>2</v>
      </c>
      <c r="AH515">
        <v>3</v>
      </c>
      <c r="AI515">
        <v>-1</v>
      </c>
      <c r="AJ515" t="s">
        <v>3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">
      <c r="A516">
        <f>ROW(Source!A266)</f>
        <v>266</v>
      </c>
      <c r="B516">
        <v>56610826</v>
      </c>
      <c r="C516">
        <v>56610820</v>
      </c>
      <c r="D516">
        <v>30384194</v>
      </c>
      <c r="E516">
        <v>27786564</v>
      </c>
      <c r="F516">
        <v>1</v>
      </c>
      <c r="G516">
        <v>27786564</v>
      </c>
      <c r="H516">
        <v>3</v>
      </c>
      <c r="I516" t="s">
        <v>663</v>
      </c>
      <c r="J516" t="s">
        <v>3</v>
      </c>
      <c r="K516" t="s">
        <v>664</v>
      </c>
      <c r="L516">
        <v>1339</v>
      </c>
      <c r="N516">
        <v>1007</v>
      </c>
      <c r="O516" t="s">
        <v>85</v>
      </c>
      <c r="P516" t="s">
        <v>85</v>
      </c>
      <c r="Q516">
        <v>1</v>
      </c>
      <c r="X516">
        <v>17.399999999999999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 t="s">
        <v>3</v>
      </c>
      <c r="AG516">
        <v>17.399999999999999</v>
      </c>
      <c r="AH516">
        <v>3</v>
      </c>
      <c r="AI516">
        <v>-1</v>
      </c>
      <c r="AJ516" t="s">
        <v>3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">
      <c r="A517">
        <f>ROW(Source!A269)</f>
        <v>269</v>
      </c>
      <c r="B517">
        <v>56610830</v>
      </c>
      <c r="C517">
        <v>56610828</v>
      </c>
      <c r="D517">
        <v>47634407</v>
      </c>
      <c r="E517">
        <v>27786564</v>
      </c>
      <c r="F517">
        <v>1</v>
      </c>
      <c r="G517">
        <v>27786564</v>
      </c>
      <c r="H517">
        <v>1</v>
      </c>
      <c r="I517" t="s">
        <v>452</v>
      </c>
      <c r="J517" t="s">
        <v>3</v>
      </c>
      <c r="K517" t="s">
        <v>453</v>
      </c>
      <c r="L517">
        <v>1191</v>
      </c>
      <c r="N517">
        <v>1013</v>
      </c>
      <c r="O517" t="s">
        <v>454</v>
      </c>
      <c r="P517" t="s">
        <v>454</v>
      </c>
      <c r="Q517">
        <v>1</v>
      </c>
      <c r="X517">
        <v>8.9600000000000009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1</v>
      </c>
      <c r="AF517" t="s">
        <v>22</v>
      </c>
      <c r="AG517">
        <v>9.4080000000000013</v>
      </c>
      <c r="AH517">
        <v>3</v>
      </c>
      <c r="AI517">
        <v>-1</v>
      </c>
      <c r="AJ517" t="s">
        <v>3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">
      <c r="A518">
        <f>ROW(Source!A269)</f>
        <v>269</v>
      </c>
      <c r="B518">
        <v>56610831</v>
      </c>
      <c r="C518">
        <v>56610828</v>
      </c>
      <c r="D518">
        <v>47766595</v>
      </c>
      <c r="E518">
        <v>1</v>
      </c>
      <c r="F518">
        <v>1</v>
      </c>
      <c r="G518">
        <v>27786564</v>
      </c>
      <c r="H518">
        <v>2</v>
      </c>
      <c r="I518" t="s">
        <v>649</v>
      </c>
      <c r="J518" t="s">
        <v>650</v>
      </c>
      <c r="K518" t="s">
        <v>651</v>
      </c>
      <c r="L518">
        <v>1368</v>
      </c>
      <c r="N518">
        <v>1011</v>
      </c>
      <c r="O518" t="s">
        <v>458</v>
      </c>
      <c r="P518" t="s">
        <v>458</v>
      </c>
      <c r="Q518">
        <v>1</v>
      </c>
      <c r="X518">
        <v>0.71</v>
      </c>
      <c r="Y518">
        <v>0</v>
      </c>
      <c r="Z518">
        <v>163.81</v>
      </c>
      <c r="AA518">
        <v>14.54</v>
      </c>
      <c r="AB518">
        <v>0</v>
      </c>
      <c r="AC518">
        <v>0</v>
      </c>
      <c r="AD518">
        <v>1</v>
      </c>
      <c r="AE518">
        <v>0</v>
      </c>
      <c r="AF518" t="s">
        <v>22</v>
      </c>
      <c r="AG518">
        <v>0.74549999999999994</v>
      </c>
      <c r="AH518">
        <v>3</v>
      </c>
      <c r="AI518">
        <v>-1</v>
      </c>
      <c r="AJ518" t="s">
        <v>3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">
      <c r="A519">
        <f>ROW(Source!A269)</f>
        <v>269</v>
      </c>
      <c r="B519">
        <v>56610832</v>
      </c>
      <c r="C519">
        <v>56610828</v>
      </c>
      <c r="D519">
        <v>46723279</v>
      </c>
      <c r="E519">
        <v>1</v>
      </c>
      <c r="F519">
        <v>1</v>
      </c>
      <c r="G519">
        <v>27786564</v>
      </c>
      <c r="H519">
        <v>3</v>
      </c>
      <c r="I519" t="s">
        <v>665</v>
      </c>
      <c r="J519" t="s">
        <v>666</v>
      </c>
      <c r="K519" t="s">
        <v>667</v>
      </c>
      <c r="L519">
        <v>1348</v>
      </c>
      <c r="N519">
        <v>1009</v>
      </c>
      <c r="O519" t="s">
        <v>318</v>
      </c>
      <c r="P519" t="s">
        <v>318</v>
      </c>
      <c r="Q519">
        <v>1000</v>
      </c>
      <c r="X519">
        <v>0.06</v>
      </c>
      <c r="Y519">
        <v>3501.78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 t="s">
        <v>3</v>
      </c>
      <c r="AG519">
        <v>0.06</v>
      </c>
      <c r="AH519">
        <v>3</v>
      </c>
      <c r="AI519">
        <v>-1</v>
      </c>
      <c r="AJ519" t="s">
        <v>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">
      <c r="A520">
        <f>ROW(Source!A269)</f>
        <v>269</v>
      </c>
      <c r="B520">
        <v>56610833</v>
      </c>
      <c r="C520">
        <v>56610828</v>
      </c>
      <c r="D520">
        <v>30384722</v>
      </c>
      <c r="E520">
        <v>27786564</v>
      </c>
      <c r="F520">
        <v>1</v>
      </c>
      <c r="G520">
        <v>27786564</v>
      </c>
      <c r="H520">
        <v>3</v>
      </c>
      <c r="I520" t="s">
        <v>661</v>
      </c>
      <c r="J520" t="s">
        <v>3</v>
      </c>
      <c r="K520" t="s">
        <v>662</v>
      </c>
      <c r="L520">
        <v>1348</v>
      </c>
      <c r="N520">
        <v>1009</v>
      </c>
      <c r="O520" t="s">
        <v>318</v>
      </c>
      <c r="P520" t="s">
        <v>318</v>
      </c>
      <c r="Q520">
        <v>1000</v>
      </c>
      <c r="X520">
        <v>10.7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3</v>
      </c>
      <c r="AG520">
        <v>10.7</v>
      </c>
      <c r="AH520">
        <v>3</v>
      </c>
      <c r="AI520">
        <v>-1</v>
      </c>
      <c r="AJ520" t="s">
        <v>3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">
      <c r="A521">
        <f>ROW(Source!A270)</f>
        <v>270</v>
      </c>
      <c r="B521">
        <v>56610830</v>
      </c>
      <c r="C521">
        <v>56610828</v>
      </c>
      <c r="D521">
        <v>47634407</v>
      </c>
      <c r="E521">
        <v>27786564</v>
      </c>
      <c r="F521">
        <v>1</v>
      </c>
      <c r="G521">
        <v>27786564</v>
      </c>
      <c r="H521">
        <v>1</v>
      </c>
      <c r="I521" t="s">
        <v>452</v>
      </c>
      <c r="J521" t="s">
        <v>3</v>
      </c>
      <c r="K521" t="s">
        <v>453</v>
      </c>
      <c r="L521">
        <v>1191</v>
      </c>
      <c r="N521">
        <v>1013</v>
      </c>
      <c r="O521" t="s">
        <v>454</v>
      </c>
      <c r="P521" t="s">
        <v>454</v>
      </c>
      <c r="Q521">
        <v>1</v>
      </c>
      <c r="X521">
        <v>8.9600000000000009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1</v>
      </c>
      <c r="AF521" t="s">
        <v>22</v>
      </c>
      <c r="AG521">
        <v>9.4080000000000013</v>
      </c>
      <c r="AH521">
        <v>3</v>
      </c>
      <c r="AI521">
        <v>-1</v>
      </c>
      <c r="AJ521" t="s">
        <v>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">
      <c r="A522">
        <f>ROW(Source!A270)</f>
        <v>270</v>
      </c>
      <c r="B522">
        <v>56610831</v>
      </c>
      <c r="C522">
        <v>56610828</v>
      </c>
      <c r="D522">
        <v>47766595</v>
      </c>
      <c r="E522">
        <v>1</v>
      </c>
      <c r="F522">
        <v>1</v>
      </c>
      <c r="G522">
        <v>27786564</v>
      </c>
      <c r="H522">
        <v>2</v>
      </c>
      <c r="I522" t="s">
        <v>649</v>
      </c>
      <c r="J522" t="s">
        <v>650</v>
      </c>
      <c r="K522" t="s">
        <v>651</v>
      </c>
      <c r="L522">
        <v>1368</v>
      </c>
      <c r="N522">
        <v>1011</v>
      </c>
      <c r="O522" t="s">
        <v>458</v>
      </c>
      <c r="P522" t="s">
        <v>458</v>
      </c>
      <c r="Q522">
        <v>1</v>
      </c>
      <c r="X522">
        <v>0.71</v>
      </c>
      <c r="Y522">
        <v>0</v>
      </c>
      <c r="Z522">
        <v>163.81</v>
      </c>
      <c r="AA522">
        <v>14.54</v>
      </c>
      <c r="AB522">
        <v>0</v>
      </c>
      <c r="AC522">
        <v>0</v>
      </c>
      <c r="AD522">
        <v>1</v>
      </c>
      <c r="AE522">
        <v>0</v>
      </c>
      <c r="AF522" t="s">
        <v>22</v>
      </c>
      <c r="AG522">
        <v>0.74549999999999994</v>
      </c>
      <c r="AH522">
        <v>3</v>
      </c>
      <c r="AI522">
        <v>-1</v>
      </c>
      <c r="AJ522" t="s">
        <v>3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">
      <c r="A523">
        <f>ROW(Source!A270)</f>
        <v>270</v>
      </c>
      <c r="B523">
        <v>56610832</v>
      </c>
      <c r="C523">
        <v>56610828</v>
      </c>
      <c r="D523">
        <v>46723279</v>
      </c>
      <c r="E523">
        <v>1</v>
      </c>
      <c r="F523">
        <v>1</v>
      </c>
      <c r="G523">
        <v>27786564</v>
      </c>
      <c r="H523">
        <v>3</v>
      </c>
      <c r="I523" t="s">
        <v>665</v>
      </c>
      <c r="J523" t="s">
        <v>666</v>
      </c>
      <c r="K523" t="s">
        <v>667</v>
      </c>
      <c r="L523">
        <v>1348</v>
      </c>
      <c r="N523">
        <v>1009</v>
      </c>
      <c r="O523" t="s">
        <v>318</v>
      </c>
      <c r="P523" t="s">
        <v>318</v>
      </c>
      <c r="Q523">
        <v>1000</v>
      </c>
      <c r="X523">
        <v>0.06</v>
      </c>
      <c r="Y523">
        <v>3501.78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 t="s">
        <v>3</v>
      </c>
      <c r="AG523">
        <v>0.06</v>
      </c>
      <c r="AH523">
        <v>3</v>
      </c>
      <c r="AI523">
        <v>-1</v>
      </c>
      <c r="AJ523" t="s">
        <v>3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">
      <c r="A524">
        <f>ROW(Source!A270)</f>
        <v>270</v>
      </c>
      <c r="B524">
        <v>56610833</v>
      </c>
      <c r="C524">
        <v>56610828</v>
      </c>
      <c r="D524">
        <v>30384722</v>
      </c>
      <c r="E524">
        <v>27786564</v>
      </c>
      <c r="F524">
        <v>1</v>
      </c>
      <c r="G524">
        <v>27786564</v>
      </c>
      <c r="H524">
        <v>3</v>
      </c>
      <c r="I524" t="s">
        <v>661</v>
      </c>
      <c r="J524" t="s">
        <v>3</v>
      </c>
      <c r="K524" t="s">
        <v>662</v>
      </c>
      <c r="L524">
        <v>1348</v>
      </c>
      <c r="N524">
        <v>1009</v>
      </c>
      <c r="O524" t="s">
        <v>318</v>
      </c>
      <c r="P524" t="s">
        <v>318</v>
      </c>
      <c r="Q524">
        <v>1000</v>
      </c>
      <c r="X524">
        <v>10.7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 t="s">
        <v>3</v>
      </c>
      <c r="AG524">
        <v>10.7</v>
      </c>
      <c r="AH524">
        <v>3</v>
      </c>
      <c r="AI524">
        <v>-1</v>
      </c>
      <c r="AJ524" t="s">
        <v>3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">
      <c r="A525">
        <f>ROW(Source!A273)</f>
        <v>273</v>
      </c>
      <c r="B525">
        <v>56610837</v>
      </c>
      <c r="C525">
        <v>56610835</v>
      </c>
      <c r="D525">
        <v>47634407</v>
      </c>
      <c r="E525">
        <v>27786564</v>
      </c>
      <c r="F525">
        <v>1</v>
      </c>
      <c r="G525">
        <v>27786564</v>
      </c>
      <c r="H525">
        <v>1</v>
      </c>
      <c r="I525" t="s">
        <v>452</v>
      </c>
      <c r="J525" t="s">
        <v>3</v>
      </c>
      <c r="K525" t="s">
        <v>453</v>
      </c>
      <c r="L525">
        <v>1191</v>
      </c>
      <c r="N525">
        <v>1013</v>
      </c>
      <c r="O525" t="s">
        <v>454</v>
      </c>
      <c r="P525" t="s">
        <v>454</v>
      </c>
      <c r="Q525">
        <v>1</v>
      </c>
      <c r="X525">
        <v>8.9600000000000009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1</v>
      </c>
      <c r="AF525" t="s">
        <v>22</v>
      </c>
      <c r="AG525">
        <v>9.4080000000000013</v>
      </c>
      <c r="AH525">
        <v>3</v>
      </c>
      <c r="AI525">
        <v>-1</v>
      </c>
      <c r="AJ525" t="s">
        <v>3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">
      <c r="A526">
        <f>ROW(Source!A273)</f>
        <v>273</v>
      </c>
      <c r="B526">
        <v>56610838</v>
      </c>
      <c r="C526">
        <v>56610835</v>
      </c>
      <c r="D526">
        <v>47766595</v>
      </c>
      <c r="E526">
        <v>1</v>
      </c>
      <c r="F526">
        <v>1</v>
      </c>
      <c r="G526">
        <v>27786564</v>
      </c>
      <c r="H526">
        <v>2</v>
      </c>
      <c r="I526" t="s">
        <v>649</v>
      </c>
      <c r="J526" t="s">
        <v>650</v>
      </c>
      <c r="K526" t="s">
        <v>651</v>
      </c>
      <c r="L526">
        <v>1368</v>
      </c>
      <c r="N526">
        <v>1011</v>
      </c>
      <c r="O526" t="s">
        <v>458</v>
      </c>
      <c r="P526" t="s">
        <v>458</v>
      </c>
      <c r="Q526">
        <v>1</v>
      </c>
      <c r="X526">
        <v>0.71</v>
      </c>
      <c r="Y526">
        <v>0</v>
      </c>
      <c r="Z526">
        <v>163.81</v>
      </c>
      <c r="AA526">
        <v>14.54</v>
      </c>
      <c r="AB526">
        <v>0</v>
      </c>
      <c r="AC526">
        <v>0</v>
      </c>
      <c r="AD526">
        <v>1</v>
      </c>
      <c r="AE526">
        <v>0</v>
      </c>
      <c r="AF526" t="s">
        <v>22</v>
      </c>
      <c r="AG526">
        <v>0.74549999999999994</v>
      </c>
      <c r="AH526">
        <v>3</v>
      </c>
      <c r="AI526">
        <v>-1</v>
      </c>
      <c r="AJ526" t="s">
        <v>3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">
      <c r="A527">
        <f>ROW(Source!A273)</f>
        <v>273</v>
      </c>
      <c r="B527">
        <v>56610839</v>
      </c>
      <c r="C527">
        <v>56610835</v>
      </c>
      <c r="D527">
        <v>46723279</v>
      </c>
      <c r="E527">
        <v>1</v>
      </c>
      <c r="F527">
        <v>1</v>
      </c>
      <c r="G527">
        <v>27786564</v>
      </c>
      <c r="H527">
        <v>3</v>
      </c>
      <c r="I527" t="s">
        <v>665</v>
      </c>
      <c r="J527" t="s">
        <v>666</v>
      </c>
      <c r="K527" t="s">
        <v>667</v>
      </c>
      <c r="L527">
        <v>1348</v>
      </c>
      <c r="N527">
        <v>1009</v>
      </c>
      <c r="O527" t="s">
        <v>318</v>
      </c>
      <c r="P527" t="s">
        <v>318</v>
      </c>
      <c r="Q527">
        <v>1000</v>
      </c>
      <c r="X527">
        <v>0.06</v>
      </c>
      <c r="Y527">
        <v>3501.78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 t="s">
        <v>3</v>
      </c>
      <c r="AG527">
        <v>0.06</v>
      </c>
      <c r="AH527">
        <v>3</v>
      </c>
      <c r="AI527">
        <v>-1</v>
      </c>
      <c r="AJ527" t="s">
        <v>3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">
      <c r="A528">
        <f>ROW(Source!A273)</f>
        <v>273</v>
      </c>
      <c r="B528">
        <v>56610840</v>
      </c>
      <c r="C528">
        <v>56610835</v>
      </c>
      <c r="D528">
        <v>30384722</v>
      </c>
      <c r="E528">
        <v>27786564</v>
      </c>
      <c r="F528">
        <v>1</v>
      </c>
      <c r="G528">
        <v>27786564</v>
      </c>
      <c r="H528">
        <v>3</v>
      </c>
      <c r="I528" t="s">
        <v>661</v>
      </c>
      <c r="J528" t="s">
        <v>3</v>
      </c>
      <c r="K528" t="s">
        <v>662</v>
      </c>
      <c r="L528">
        <v>1348</v>
      </c>
      <c r="N528">
        <v>1009</v>
      </c>
      <c r="O528" t="s">
        <v>318</v>
      </c>
      <c r="P528" t="s">
        <v>318</v>
      </c>
      <c r="Q528">
        <v>1000</v>
      </c>
      <c r="X528">
        <v>7.14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 t="s">
        <v>3</v>
      </c>
      <c r="AG528">
        <v>7.14</v>
      </c>
      <c r="AH528">
        <v>3</v>
      </c>
      <c r="AI528">
        <v>-1</v>
      </c>
      <c r="AJ528" t="s">
        <v>3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">
      <c r="A529">
        <f>ROW(Source!A274)</f>
        <v>274</v>
      </c>
      <c r="B529">
        <v>56610837</v>
      </c>
      <c r="C529">
        <v>56610835</v>
      </c>
      <c r="D529">
        <v>47634407</v>
      </c>
      <c r="E529">
        <v>27786564</v>
      </c>
      <c r="F529">
        <v>1</v>
      </c>
      <c r="G529">
        <v>27786564</v>
      </c>
      <c r="H529">
        <v>1</v>
      </c>
      <c r="I529" t="s">
        <v>452</v>
      </c>
      <c r="J529" t="s">
        <v>3</v>
      </c>
      <c r="K529" t="s">
        <v>453</v>
      </c>
      <c r="L529">
        <v>1191</v>
      </c>
      <c r="N529">
        <v>1013</v>
      </c>
      <c r="O529" t="s">
        <v>454</v>
      </c>
      <c r="P529" t="s">
        <v>454</v>
      </c>
      <c r="Q529">
        <v>1</v>
      </c>
      <c r="X529">
        <v>8.9600000000000009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1</v>
      </c>
      <c r="AF529" t="s">
        <v>22</v>
      </c>
      <c r="AG529">
        <v>9.4080000000000013</v>
      </c>
      <c r="AH529">
        <v>3</v>
      </c>
      <c r="AI529">
        <v>-1</v>
      </c>
      <c r="AJ529" t="s">
        <v>3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">
      <c r="A530">
        <f>ROW(Source!A274)</f>
        <v>274</v>
      </c>
      <c r="B530">
        <v>56610838</v>
      </c>
      <c r="C530">
        <v>56610835</v>
      </c>
      <c r="D530">
        <v>47766595</v>
      </c>
      <c r="E530">
        <v>1</v>
      </c>
      <c r="F530">
        <v>1</v>
      </c>
      <c r="G530">
        <v>27786564</v>
      </c>
      <c r="H530">
        <v>2</v>
      </c>
      <c r="I530" t="s">
        <v>649</v>
      </c>
      <c r="J530" t="s">
        <v>650</v>
      </c>
      <c r="K530" t="s">
        <v>651</v>
      </c>
      <c r="L530">
        <v>1368</v>
      </c>
      <c r="N530">
        <v>1011</v>
      </c>
      <c r="O530" t="s">
        <v>458</v>
      </c>
      <c r="P530" t="s">
        <v>458</v>
      </c>
      <c r="Q530">
        <v>1</v>
      </c>
      <c r="X530">
        <v>0.71</v>
      </c>
      <c r="Y530">
        <v>0</v>
      </c>
      <c r="Z530">
        <v>163.81</v>
      </c>
      <c r="AA530">
        <v>14.54</v>
      </c>
      <c r="AB530">
        <v>0</v>
      </c>
      <c r="AC530">
        <v>0</v>
      </c>
      <c r="AD530">
        <v>1</v>
      </c>
      <c r="AE530">
        <v>0</v>
      </c>
      <c r="AF530" t="s">
        <v>22</v>
      </c>
      <c r="AG530">
        <v>0.74549999999999994</v>
      </c>
      <c r="AH530">
        <v>3</v>
      </c>
      <c r="AI530">
        <v>-1</v>
      </c>
      <c r="AJ530" t="s">
        <v>3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">
      <c r="A531">
        <f>ROW(Source!A274)</f>
        <v>274</v>
      </c>
      <c r="B531">
        <v>56610839</v>
      </c>
      <c r="C531">
        <v>56610835</v>
      </c>
      <c r="D531">
        <v>46723279</v>
      </c>
      <c r="E531">
        <v>1</v>
      </c>
      <c r="F531">
        <v>1</v>
      </c>
      <c r="G531">
        <v>27786564</v>
      </c>
      <c r="H531">
        <v>3</v>
      </c>
      <c r="I531" t="s">
        <v>665</v>
      </c>
      <c r="J531" t="s">
        <v>666</v>
      </c>
      <c r="K531" t="s">
        <v>667</v>
      </c>
      <c r="L531">
        <v>1348</v>
      </c>
      <c r="N531">
        <v>1009</v>
      </c>
      <c r="O531" t="s">
        <v>318</v>
      </c>
      <c r="P531" t="s">
        <v>318</v>
      </c>
      <c r="Q531">
        <v>1000</v>
      </c>
      <c r="X531">
        <v>0.06</v>
      </c>
      <c r="Y531">
        <v>3501.78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 t="s">
        <v>3</v>
      </c>
      <c r="AG531">
        <v>0.06</v>
      </c>
      <c r="AH531">
        <v>3</v>
      </c>
      <c r="AI531">
        <v>-1</v>
      </c>
      <c r="AJ531" t="s">
        <v>3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">
      <c r="A532">
        <f>ROW(Source!A274)</f>
        <v>274</v>
      </c>
      <c r="B532">
        <v>56610840</v>
      </c>
      <c r="C532">
        <v>56610835</v>
      </c>
      <c r="D532">
        <v>30384722</v>
      </c>
      <c r="E532">
        <v>27786564</v>
      </c>
      <c r="F532">
        <v>1</v>
      </c>
      <c r="G532">
        <v>27786564</v>
      </c>
      <c r="H532">
        <v>3</v>
      </c>
      <c r="I532" t="s">
        <v>661</v>
      </c>
      <c r="J532" t="s">
        <v>3</v>
      </c>
      <c r="K532" t="s">
        <v>662</v>
      </c>
      <c r="L532">
        <v>1348</v>
      </c>
      <c r="N532">
        <v>1009</v>
      </c>
      <c r="O532" t="s">
        <v>318</v>
      </c>
      <c r="P532" t="s">
        <v>318</v>
      </c>
      <c r="Q532">
        <v>1000</v>
      </c>
      <c r="X532">
        <v>7.14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 t="s">
        <v>3</v>
      </c>
      <c r="AG532">
        <v>7.14</v>
      </c>
      <c r="AH532">
        <v>3</v>
      </c>
      <c r="AI532">
        <v>-1</v>
      </c>
      <c r="AJ532" t="s">
        <v>3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">
      <c r="A533">
        <f>ROW(Source!A277)</f>
        <v>277</v>
      </c>
      <c r="B533">
        <v>56610844</v>
      </c>
      <c r="C533">
        <v>56610842</v>
      </c>
      <c r="D533">
        <v>47634407</v>
      </c>
      <c r="E533">
        <v>27786564</v>
      </c>
      <c r="F533">
        <v>1</v>
      </c>
      <c r="G533">
        <v>27786564</v>
      </c>
      <c r="H533">
        <v>1</v>
      </c>
      <c r="I533" t="s">
        <v>452</v>
      </c>
      <c r="J533" t="s">
        <v>3</v>
      </c>
      <c r="K533" t="s">
        <v>453</v>
      </c>
      <c r="L533">
        <v>1191</v>
      </c>
      <c r="N533">
        <v>1013</v>
      </c>
      <c r="O533" t="s">
        <v>454</v>
      </c>
      <c r="P533" t="s">
        <v>454</v>
      </c>
      <c r="Q533">
        <v>1</v>
      </c>
      <c r="X533">
        <v>76.7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1</v>
      </c>
      <c r="AF533" t="s">
        <v>22</v>
      </c>
      <c r="AG533">
        <v>80.535000000000011</v>
      </c>
      <c r="AH533">
        <v>2</v>
      </c>
      <c r="AI533">
        <v>56610843</v>
      </c>
      <c r="AJ533">
        <v>47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">
      <c r="A534">
        <f>ROW(Source!A278)</f>
        <v>278</v>
      </c>
      <c r="B534">
        <v>56610844</v>
      </c>
      <c r="C534">
        <v>56610842</v>
      </c>
      <c r="D534">
        <v>47634407</v>
      </c>
      <c r="E534">
        <v>27786564</v>
      </c>
      <c r="F534">
        <v>1</v>
      </c>
      <c r="G534">
        <v>27786564</v>
      </c>
      <c r="H534">
        <v>1</v>
      </c>
      <c r="I534" t="s">
        <v>452</v>
      </c>
      <c r="J534" t="s">
        <v>3</v>
      </c>
      <c r="K534" t="s">
        <v>453</v>
      </c>
      <c r="L534">
        <v>1191</v>
      </c>
      <c r="N534">
        <v>1013</v>
      </c>
      <c r="O534" t="s">
        <v>454</v>
      </c>
      <c r="P534" t="s">
        <v>454</v>
      </c>
      <c r="Q534">
        <v>1</v>
      </c>
      <c r="X534">
        <v>76.7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1</v>
      </c>
      <c r="AF534" t="s">
        <v>22</v>
      </c>
      <c r="AG534">
        <v>80.535000000000011</v>
      </c>
      <c r="AH534">
        <v>2</v>
      </c>
      <c r="AI534">
        <v>56610843</v>
      </c>
      <c r="AJ534">
        <v>48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">
      <c r="A535">
        <f>ROW(Source!A279)</f>
        <v>279</v>
      </c>
      <c r="B535">
        <v>56610846</v>
      </c>
      <c r="C535">
        <v>56610845</v>
      </c>
      <c r="D535">
        <v>47634407</v>
      </c>
      <c r="E535">
        <v>27786564</v>
      </c>
      <c r="F535">
        <v>1</v>
      </c>
      <c r="G535">
        <v>27786564</v>
      </c>
      <c r="H535">
        <v>1</v>
      </c>
      <c r="I535" t="s">
        <v>452</v>
      </c>
      <c r="J535" t="s">
        <v>3</v>
      </c>
      <c r="K535" t="s">
        <v>453</v>
      </c>
      <c r="L535">
        <v>1191</v>
      </c>
      <c r="N535">
        <v>1013</v>
      </c>
      <c r="O535" t="s">
        <v>454</v>
      </c>
      <c r="P535" t="s">
        <v>454</v>
      </c>
      <c r="Q535">
        <v>1</v>
      </c>
      <c r="X535">
        <v>69.8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1</v>
      </c>
      <c r="AF535" t="s">
        <v>22</v>
      </c>
      <c r="AG535">
        <v>73.290000000000006</v>
      </c>
      <c r="AH535">
        <v>3</v>
      </c>
      <c r="AI535">
        <v>-1</v>
      </c>
      <c r="AJ535" t="s">
        <v>3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">
      <c r="A536">
        <f>ROW(Source!A279)</f>
        <v>279</v>
      </c>
      <c r="B536">
        <v>56610847</v>
      </c>
      <c r="C536">
        <v>56610845</v>
      </c>
      <c r="D536">
        <v>47766454</v>
      </c>
      <c r="E536">
        <v>1</v>
      </c>
      <c r="F536">
        <v>1</v>
      </c>
      <c r="G536">
        <v>27786564</v>
      </c>
      <c r="H536">
        <v>2</v>
      </c>
      <c r="I536" t="s">
        <v>491</v>
      </c>
      <c r="J536" t="s">
        <v>492</v>
      </c>
      <c r="K536" t="s">
        <v>493</v>
      </c>
      <c r="L536">
        <v>1368</v>
      </c>
      <c r="N536">
        <v>1011</v>
      </c>
      <c r="O536" t="s">
        <v>458</v>
      </c>
      <c r="P536" t="s">
        <v>458</v>
      </c>
      <c r="Q536">
        <v>1</v>
      </c>
      <c r="X536">
        <v>0.61</v>
      </c>
      <c r="Y536">
        <v>0</v>
      </c>
      <c r="Z536">
        <v>179.17</v>
      </c>
      <c r="AA536">
        <v>16.93</v>
      </c>
      <c r="AB536">
        <v>0</v>
      </c>
      <c r="AC536">
        <v>0</v>
      </c>
      <c r="AD536">
        <v>1</v>
      </c>
      <c r="AE536">
        <v>0</v>
      </c>
      <c r="AF536" t="s">
        <v>22</v>
      </c>
      <c r="AG536">
        <v>0.64049999999999996</v>
      </c>
      <c r="AH536">
        <v>3</v>
      </c>
      <c r="AI536">
        <v>-1</v>
      </c>
      <c r="AJ536" t="s">
        <v>3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">
      <c r="A537">
        <f>ROW(Source!A279)</f>
        <v>279</v>
      </c>
      <c r="B537">
        <v>56610848</v>
      </c>
      <c r="C537">
        <v>56610845</v>
      </c>
      <c r="D537">
        <v>30390478</v>
      </c>
      <c r="E537">
        <v>1</v>
      </c>
      <c r="F537">
        <v>1</v>
      </c>
      <c r="G537">
        <v>27786564</v>
      </c>
      <c r="H537">
        <v>3</v>
      </c>
      <c r="I537" t="s">
        <v>668</v>
      </c>
      <c r="J537" t="s">
        <v>669</v>
      </c>
      <c r="K537" t="s">
        <v>670</v>
      </c>
      <c r="L537">
        <v>1348</v>
      </c>
      <c r="N537">
        <v>1009</v>
      </c>
      <c r="O537" t="s">
        <v>318</v>
      </c>
      <c r="P537" t="s">
        <v>318</v>
      </c>
      <c r="Q537">
        <v>1000</v>
      </c>
      <c r="X537">
        <v>1E-3</v>
      </c>
      <c r="Y537">
        <v>6521.42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 t="s">
        <v>3</v>
      </c>
      <c r="AG537">
        <v>1E-3</v>
      </c>
      <c r="AH537">
        <v>3</v>
      </c>
      <c r="AI537">
        <v>-1</v>
      </c>
      <c r="AJ537" t="s">
        <v>3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">
      <c r="A538">
        <f>ROW(Source!A279)</f>
        <v>279</v>
      </c>
      <c r="B538">
        <v>56610849</v>
      </c>
      <c r="C538">
        <v>56610845</v>
      </c>
      <c r="D538">
        <v>46723375</v>
      </c>
      <c r="E538">
        <v>1</v>
      </c>
      <c r="F538">
        <v>1</v>
      </c>
      <c r="G538">
        <v>27786564</v>
      </c>
      <c r="H538">
        <v>3</v>
      </c>
      <c r="I538" t="s">
        <v>671</v>
      </c>
      <c r="J538" t="s">
        <v>672</v>
      </c>
      <c r="K538" t="s">
        <v>673</v>
      </c>
      <c r="L538">
        <v>1339</v>
      </c>
      <c r="N538">
        <v>1007</v>
      </c>
      <c r="O538" t="s">
        <v>85</v>
      </c>
      <c r="P538" t="s">
        <v>85</v>
      </c>
      <c r="Q538">
        <v>1</v>
      </c>
      <c r="X538">
        <v>0.17</v>
      </c>
      <c r="Y538">
        <v>1828.56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 t="s">
        <v>3</v>
      </c>
      <c r="AG538">
        <v>0.17</v>
      </c>
      <c r="AH538">
        <v>3</v>
      </c>
      <c r="AI538">
        <v>-1</v>
      </c>
      <c r="AJ538" t="s">
        <v>3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">
      <c r="A539">
        <f>ROW(Source!A279)</f>
        <v>279</v>
      </c>
      <c r="B539">
        <v>56610850</v>
      </c>
      <c r="C539">
        <v>56610845</v>
      </c>
      <c r="D539">
        <v>46725730</v>
      </c>
      <c r="E539">
        <v>1</v>
      </c>
      <c r="F539">
        <v>1</v>
      </c>
      <c r="G539">
        <v>27786564</v>
      </c>
      <c r="H539">
        <v>3</v>
      </c>
      <c r="I539" t="s">
        <v>674</v>
      </c>
      <c r="J539" t="s">
        <v>675</v>
      </c>
      <c r="K539" t="s">
        <v>676</v>
      </c>
      <c r="L539">
        <v>1339</v>
      </c>
      <c r="N539">
        <v>1007</v>
      </c>
      <c r="O539" t="s">
        <v>85</v>
      </c>
      <c r="P539" t="s">
        <v>85</v>
      </c>
      <c r="Q539">
        <v>1</v>
      </c>
      <c r="X539">
        <v>3.9</v>
      </c>
      <c r="Y539">
        <v>704.89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 t="s">
        <v>3</v>
      </c>
      <c r="AG539">
        <v>3.9</v>
      </c>
      <c r="AH539">
        <v>3</v>
      </c>
      <c r="AI539">
        <v>-1</v>
      </c>
      <c r="AJ539" t="s">
        <v>3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">
      <c r="A540">
        <f>ROW(Source!A279)</f>
        <v>279</v>
      </c>
      <c r="B540">
        <v>56610851</v>
      </c>
      <c r="C540">
        <v>56610845</v>
      </c>
      <c r="D540">
        <v>46725864</v>
      </c>
      <c r="E540">
        <v>1</v>
      </c>
      <c r="F540">
        <v>1</v>
      </c>
      <c r="G540">
        <v>27786564</v>
      </c>
      <c r="H540">
        <v>3</v>
      </c>
      <c r="I540" t="s">
        <v>677</v>
      </c>
      <c r="J540" t="s">
        <v>678</v>
      </c>
      <c r="K540" t="s">
        <v>679</v>
      </c>
      <c r="L540">
        <v>1339</v>
      </c>
      <c r="N540">
        <v>1007</v>
      </c>
      <c r="O540" t="s">
        <v>85</v>
      </c>
      <c r="P540" t="s">
        <v>85</v>
      </c>
      <c r="Q540">
        <v>1</v>
      </c>
      <c r="X540">
        <v>0.06</v>
      </c>
      <c r="Y540">
        <v>451.14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 t="s">
        <v>3</v>
      </c>
      <c r="AG540">
        <v>0.06</v>
      </c>
      <c r="AH540">
        <v>3</v>
      </c>
      <c r="AI540">
        <v>-1</v>
      </c>
      <c r="AJ540" t="s">
        <v>3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">
      <c r="A541">
        <f>ROW(Source!A279)</f>
        <v>279</v>
      </c>
      <c r="B541">
        <v>56610852</v>
      </c>
      <c r="C541">
        <v>56610845</v>
      </c>
      <c r="D541">
        <v>30389469</v>
      </c>
      <c r="E541">
        <v>27786564</v>
      </c>
      <c r="F541">
        <v>1</v>
      </c>
      <c r="G541">
        <v>27786564</v>
      </c>
      <c r="H541">
        <v>3</v>
      </c>
      <c r="I541" t="s">
        <v>680</v>
      </c>
      <c r="J541" t="s">
        <v>3</v>
      </c>
      <c r="K541" t="s">
        <v>681</v>
      </c>
      <c r="L541">
        <v>1339</v>
      </c>
      <c r="N541">
        <v>1007</v>
      </c>
      <c r="O541" t="s">
        <v>85</v>
      </c>
      <c r="P541" t="s">
        <v>85</v>
      </c>
      <c r="Q541">
        <v>1</v>
      </c>
      <c r="X541">
        <v>4.3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 t="s">
        <v>3</v>
      </c>
      <c r="AG541">
        <v>4.3</v>
      </c>
      <c r="AH541">
        <v>3</v>
      </c>
      <c r="AI541">
        <v>-1</v>
      </c>
      <c r="AJ541" t="s">
        <v>3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">
      <c r="A542">
        <f>ROW(Source!A280)</f>
        <v>280</v>
      </c>
      <c r="B542">
        <v>56610846</v>
      </c>
      <c r="C542">
        <v>56610845</v>
      </c>
      <c r="D542">
        <v>47634407</v>
      </c>
      <c r="E542">
        <v>27786564</v>
      </c>
      <c r="F542">
        <v>1</v>
      </c>
      <c r="G542">
        <v>27786564</v>
      </c>
      <c r="H542">
        <v>1</v>
      </c>
      <c r="I542" t="s">
        <v>452</v>
      </c>
      <c r="J542" t="s">
        <v>3</v>
      </c>
      <c r="K542" t="s">
        <v>453</v>
      </c>
      <c r="L542">
        <v>1191</v>
      </c>
      <c r="N542">
        <v>1013</v>
      </c>
      <c r="O542" t="s">
        <v>454</v>
      </c>
      <c r="P542" t="s">
        <v>454</v>
      </c>
      <c r="Q542">
        <v>1</v>
      </c>
      <c r="X542">
        <v>69.8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1</v>
      </c>
      <c r="AF542" t="s">
        <v>22</v>
      </c>
      <c r="AG542">
        <v>73.290000000000006</v>
      </c>
      <c r="AH542">
        <v>3</v>
      </c>
      <c r="AI542">
        <v>-1</v>
      </c>
      <c r="AJ542" t="s">
        <v>3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">
      <c r="A543">
        <f>ROW(Source!A280)</f>
        <v>280</v>
      </c>
      <c r="B543">
        <v>56610847</v>
      </c>
      <c r="C543">
        <v>56610845</v>
      </c>
      <c r="D543">
        <v>47766454</v>
      </c>
      <c r="E543">
        <v>1</v>
      </c>
      <c r="F543">
        <v>1</v>
      </c>
      <c r="G543">
        <v>27786564</v>
      </c>
      <c r="H543">
        <v>2</v>
      </c>
      <c r="I543" t="s">
        <v>491</v>
      </c>
      <c r="J543" t="s">
        <v>492</v>
      </c>
      <c r="K543" t="s">
        <v>493</v>
      </c>
      <c r="L543">
        <v>1368</v>
      </c>
      <c r="N543">
        <v>1011</v>
      </c>
      <c r="O543" t="s">
        <v>458</v>
      </c>
      <c r="P543" t="s">
        <v>458</v>
      </c>
      <c r="Q543">
        <v>1</v>
      </c>
      <c r="X543">
        <v>0.61</v>
      </c>
      <c r="Y543">
        <v>0</v>
      </c>
      <c r="Z543">
        <v>179.17</v>
      </c>
      <c r="AA543">
        <v>16.93</v>
      </c>
      <c r="AB543">
        <v>0</v>
      </c>
      <c r="AC543">
        <v>0</v>
      </c>
      <c r="AD543">
        <v>1</v>
      </c>
      <c r="AE543">
        <v>0</v>
      </c>
      <c r="AF543" t="s">
        <v>22</v>
      </c>
      <c r="AG543">
        <v>0.64049999999999996</v>
      </c>
      <c r="AH543">
        <v>3</v>
      </c>
      <c r="AI543">
        <v>-1</v>
      </c>
      <c r="AJ543" t="s">
        <v>3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">
      <c r="A544">
        <f>ROW(Source!A280)</f>
        <v>280</v>
      </c>
      <c r="B544">
        <v>56610848</v>
      </c>
      <c r="C544">
        <v>56610845</v>
      </c>
      <c r="D544">
        <v>30390478</v>
      </c>
      <c r="E544">
        <v>1</v>
      </c>
      <c r="F544">
        <v>1</v>
      </c>
      <c r="G544">
        <v>27786564</v>
      </c>
      <c r="H544">
        <v>3</v>
      </c>
      <c r="I544" t="s">
        <v>668</v>
      </c>
      <c r="J544" t="s">
        <v>669</v>
      </c>
      <c r="K544" t="s">
        <v>670</v>
      </c>
      <c r="L544">
        <v>1348</v>
      </c>
      <c r="N544">
        <v>1009</v>
      </c>
      <c r="O544" t="s">
        <v>318</v>
      </c>
      <c r="P544" t="s">
        <v>318</v>
      </c>
      <c r="Q544">
        <v>1000</v>
      </c>
      <c r="X544">
        <v>1E-3</v>
      </c>
      <c r="Y544">
        <v>6521.42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 t="s">
        <v>3</v>
      </c>
      <c r="AG544">
        <v>1E-3</v>
      </c>
      <c r="AH544">
        <v>3</v>
      </c>
      <c r="AI544">
        <v>-1</v>
      </c>
      <c r="AJ544" t="s">
        <v>3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">
      <c r="A545">
        <f>ROW(Source!A280)</f>
        <v>280</v>
      </c>
      <c r="B545">
        <v>56610849</v>
      </c>
      <c r="C545">
        <v>56610845</v>
      </c>
      <c r="D545">
        <v>46723375</v>
      </c>
      <c r="E545">
        <v>1</v>
      </c>
      <c r="F545">
        <v>1</v>
      </c>
      <c r="G545">
        <v>27786564</v>
      </c>
      <c r="H545">
        <v>3</v>
      </c>
      <c r="I545" t="s">
        <v>671</v>
      </c>
      <c r="J545" t="s">
        <v>672</v>
      </c>
      <c r="K545" t="s">
        <v>673</v>
      </c>
      <c r="L545">
        <v>1339</v>
      </c>
      <c r="N545">
        <v>1007</v>
      </c>
      <c r="O545" t="s">
        <v>85</v>
      </c>
      <c r="P545" t="s">
        <v>85</v>
      </c>
      <c r="Q545">
        <v>1</v>
      </c>
      <c r="X545">
        <v>0.17</v>
      </c>
      <c r="Y545">
        <v>1828.56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 t="s">
        <v>3</v>
      </c>
      <c r="AG545">
        <v>0.17</v>
      </c>
      <c r="AH545">
        <v>3</v>
      </c>
      <c r="AI545">
        <v>-1</v>
      </c>
      <c r="AJ545" t="s">
        <v>3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">
      <c r="A546">
        <f>ROW(Source!A280)</f>
        <v>280</v>
      </c>
      <c r="B546">
        <v>56610850</v>
      </c>
      <c r="C546">
        <v>56610845</v>
      </c>
      <c r="D546">
        <v>46725730</v>
      </c>
      <c r="E546">
        <v>1</v>
      </c>
      <c r="F546">
        <v>1</v>
      </c>
      <c r="G546">
        <v>27786564</v>
      </c>
      <c r="H546">
        <v>3</v>
      </c>
      <c r="I546" t="s">
        <v>674</v>
      </c>
      <c r="J546" t="s">
        <v>675</v>
      </c>
      <c r="K546" t="s">
        <v>676</v>
      </c>
      <c r="L546">
        <v>1339</v>
      </c>
      <c r="N546">
        <v>1007</v>
      </c>
      <c r="O546" t="s">
        <v>85</v>
      </c>
      <c r="P546" t="s">
        <v>85</v>
      </c>
      <c r="Q546">
        <v>1</v>
      </c>
      <c r="X546">
        <v>3.9</v>
      </c>
      <c r="Y546">
        <v>704.89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  <c r="AF546" t="s">
        <v>3</v>
      </c>
      <c r="AG546">
        <v>3.9</v>
      </c>
      <c r="AH546">
        <v>3</v>
      </c>
      <c r="AI546">
        <v>-1</v>
      </c>
      <c r="AJ546" t="s">
        <v>3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">
      <c r="A547">
        <f>ROW(Source!A280)</f>
        <v>280</v>
      </c>
      <c r="B547">
        <v>56610851</v>
      </c>
      <c r="C547">
        <v>56610845</v>
      </c>
      <c r="D547">
        <v>46725864</v>
      </c>
      <c r="E547">
        <v>1</v>
      </c>
      <c r="F547">
        <v>1</v>
      </c>
      <c r="G547">
        <v>27786564</v>
      </c>
      <c r="H547">
        <v>3</v>
      </c>
      <c r="I547" t="s">
        <v>677</v>
      </c>
      <c r="J547" t="s">
        <v>678</v>
      </c>
      <c r="K547" t="s">
        <v>679</v>
      </c>
      <c r="L547">
        <v>1339</v>
      </c>
      <c r="N547">
        <v>1007</v>
      </c>
      <c r="O547" t="s">
        <v>85</v>
      </c>
      <c r="P547" t="s">
        <v>85</v>
      </c>
      <c r="Q547">
        <v>1</v>
      </c>
      <c r="X547">
        <v>0.06</v>
      </c>
      <c r="Y547">
        <v>451.14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 t="s">
        <v>3</v>
      </c>
      <c r="AG547">
        <v>0.06</v>
      </c>
      <c r="AH547">
        <v>3</v>
      </c>
      <c r="AI547">
        <v>-1</v>
      </c>
      <c r="AJ547" t="s">
        <v>3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">
      <c r="A548">
        <f>ROW(Source!A280)</f>
        <v>280</v>
      </c>
      <c r="B548">
        <v>56610852</v>
      </c>
      <c r="C548">
        <v>56610845</v>
      </c>
      <c r="D548">
        <v>30389469</v>
      </c>
      <c r="E548">
        <v>27786564</v>
      </c>
      <c r="F548">
        <v>1</v>
      </c>
      <c r="G548">
        <v>27786564</v>
      </c>
      <c r="H548">
        <v>3</v>
      </c>
      <c r="I548" t="s">
        <v>680</v>
      </c>
      <c r="J548" t="s">
        <v>3</v>
      </c>
      <c r="K548" t="s">
        <v>681</v>
      </c>
      <c r="L548">
        <v>1339</v>
      </c>
      <c r="N548">
        <v>1007</v>
      </c>
      <c r="O548" t="s">
        <v>85</v>
      </c>
      <c r="P548" t="s">
        <v>85</v>
      </c>
      <c r="Q548">
        <v>1</v>
      </c>
      <c r="X548">
        <v>4.3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 t="s">
        <v>3</v>
      </c>
      <c r="AG548">
        <v>4.3</v>
      </c>
      <c r="AH548">
        <v>3</v>
      </c>
      <c r="AI548">
        <v>-1</v>
      </c>
      <c r="AJ548" t="s">
        <v>3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">
      <c r="A549">
        <f>ROW(Source!A316)</f>
        <v>316</v>
      </c>
      <c r="B549">
        <v>56610858</v>
      </c>
      <c r="C549">
        <v>56610853</v>
      </c>
      <c r="D549">
        <v>47634407</v>
      </c>
      <c r="E549">
        <v>27786564</v>
      </c>
      <c r="F549">
        <v>1</v>
      </c>
      <c r="G549">
        <v>27786564</v>
      </c>
      <c r="H549">
        <v>1</v>
      </c>
      <c r="I549" t="s">
        <v>452</v>
      </c>
      <c r="J549" t="s">
        <v>3</v>
      </c>
      <c r="K549" t="s">
        <v>453</v>
      </c>
      <c r="L549">
        <v>1191</v>
      </c>
      <c r="N549">
        <v>1013</v>
      </c>
      <c r="O549" t="s">
        <v>454</v>
      </c>
      <c r="P549" t="s">
        <v>454</v>
      </c>
      <c r="Q549">
        <v>1</v>
      </c>
      <c r="X549">
        <v>26.78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1</v>
      </c>
      <c r="AF549" t="s">
        <v>22</v>
      </c>
      <c r="AG549">
        <v>28.119000000000003</v>
      </c>
      <c r="AH549">
        <v>2</v>
      </c>
      <c r="AI549">
        <v>56610854</v>
      </c>
      <c r="AJ549">
        <v>49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">
      <c r="A550">
        <f>ROW(Source!A316)</f>
        <v>316</v>
      </c>
      <c r="B550">
        <v>56610859</v>
      </c>
      <c r="C550">
        <v>56610853</v>
      </c>
      <c r="D550">
        <v>47766425</v>
      </c>
      <c r="E550">
        <v>1</v>
      </c>
      <c r="F550">
        <v>1</v>
      </c>
      <c r="G550">
        <v>27786564</v>
      </c>
      <c r="H550">
        <v>2</v>
      </c>
      <c r="I550" t="s">
        <v>465</v>
      </c>
      <c r="J550" t="s">
        <v>466</v>
      </c>
      <c r="K550" t="s">
        <v>467</v>
      </c>
      <c r="L550">
        <v>1368</v>
      </c>
      <c r="N550">
        <v>1011</v>
      </c>
      <c r="O550" t="s">
        <v>458</v>
      </c>
      <c r="P550" t="s">
        <v>458</v>
      </c>
      <c r="Q550">
        <v>1</v>
      </c>
      <c r="X550">
        <v>0.05</v>
      </c>
      <c r="Y550">
        <v>0</v>
      </c>
      <c r="Z550">
        <v>97.62</v>
      </c>
      <c r="AA550">
        <v>12.62</v>
      </c>
      <c r="AB550">
        <v>0</v>
      </c>
      <c r="AC550">
        <v>0</v>
      </c>
      <c r="AD550">
        <v>1</v>
      </c>
      <c r="AE550">
        <v>0</v>
      </c>
      <c r="AF550" t="s">
        <v>22</v>
      </c>
      <c r="AG550">
        <v>5.2500000000000005E-2</v>
      </c>
      <c r="AH550">
        <v>2</v>
      </c>
      <c r="AI550">
        <v>56610855</v>
      </c>
      <c r="AJ550">
        <v>50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">
      <c r="A551">
        <f>ROW(Source!A316)</f>
        <v>316</v>
      </c>
      <c r="B551">
        <v>56610860</v>
      </c>
      <c r="C551">
        <v>56610853</v>
      </c>
      <c r="D551">
        <v>47634960</v>
      </c>
      <c r="E551">
        <v>27786564</v>
      </c>
      <c r="F551">
        <v>1</v>
      </c>
      <c r="G551">
        <v>27786564</v>
      </c>
      <c r="H551">
        <v>2</v>
      </c>
      <c r="I551" t="s">
        <v>468</v>
      </c>
      <c r="J551" t="s">
        <v>3</v>
      </c>
      <c r="K551" t="s">
        <v>469</v>
      </c>
      <c r="L551">
        <v>1344</v>
      </c>
      <c r="N551">
        <v>1008</v>
      </c>
      <c r="O551" t="s">
        <v>470</v>
      </c>
      <c r="P551" t="s">
        <v>470</v>
      </c>
      <c r="Q551">
        <v>1</v>
      </c>
      <c r="X551">
        <v>0.12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1</v>
      </c>
      <c r="AE551">
        <v>0</v>
      </c>
      <c r="AF551" t="s">
        <v>22</v>
      </c>
      <c r="AG551">
        <v>0.126</v>
      </c>
      <c r="AH551">
        <v>2</v>
      </c>
      <c r="AI551">
        <v>56610856</v>
      </c>
      <c r="AJ551">
        <v>51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">
      <c r="A552">
        <f>ROW(Source!A316)</f>
        <v>316</v>
      </c>
      <c r="B552">
        <v>56610861</v>
      </c>
      <c r="C552">
        <v>56610853</v>
      </c>
      <c r="D552">
        <v>30390288</v>
      </c>
      <c r="E552">
        <v>27786564</v>
      </c>
      <c r="F552">
        <v>1</v>
      </c>
      <c r="G552">
        <v>27786564</v>
      </c>
      <c r="H552">
        <v>3</v>
      </c>
      <c r="I552" t="s">
        <v>682</v>
      </c>
      <c r="J552" t="s">
        <v>3</v>
      </c>
      <c r="K552" t="s">
        <v>392</v>
      </c>
      <c r="L552">
        <v>1339</v>
      </c>
      <c r="N552">
        <v>1007</v>
      </c>
      <c r="O552" t="s">
        <v>85</v>
      </c>
      <c r="P552" t="s">
        <v>85</v>
      </c>
      <c r="Q552">
        <v>1</v>
      </c>
      <c r="X552">
        <v>15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 t="s">
        <v>3</v>
      </c>
      <c r="AG552">
        <v>15</v>
      </c>
      <c r="AH552">
        <v>3</v>
      </c>
      <c r="AI552">
        <v>-1</v>
      </c>
      <c r="AJ552" t="s">
        <v>3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">
      <c r="A553">
        <f>ROW(Source!A317)</f>
        <v>317</v>
      </c>
      <c r="B553">
        <v>56610858</v>
      </c>
      <c r="C553">
        <v>56610853</v>
      </c>
      <c r="D553">
        <v>47634407</v>
      </c>
      <c r="E553">
        <v>27786564</v>
      </c>
      <c r="F553">
        <v>1</v>
      </c>
      <c r="G553">
        <v>27786564</v>
      </c>
      <c r="H553">
        <v>1</v>
      </c>
      <c r="I553" t="s">
        <v>452</v>
      </c>
      <c r="J553" t="s">
        <v>3</v>
      </c>
      <c r="K553" t="s">
        <v>453</v>
      </c>
      <c r="L553">
        <v>1191</v>
      </c>
      <c r="N553">
        <v>1013</v>
      </c>
      <c r="O553" t="s">
        <v>454</v>
      </c>
      <c r="P553" t="s">
        <v>454</v>
      </c>
      <c r="Q553">
        <v>1</v>
      </c>
      <c r="X553">
        <v>26.78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1</v>
      </c>
      <c r="AF553" t="s">
        <v>22</v>
      </c>
      <c r="AG553">
        <v>28.119000000000003</v>
      </c>
      <c r="AH553">
        <v>2</v>
      </c>
      <c r="AI553">
        <v>56610854</v>
      </c>
      <c r="AJ553">
        <v>53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">
      <c r="A554">
        <f>ROW(Source!A317)</f>
        <v>317</v>
      </c>
      <c r="B554">
        <v>56610859</v>
      </c>
      <c r="C554">
        <v>56610853</v>
      </c>
      <c r="D554">
        <v>47766425</v>
      </c>
      <c r="E554">
        <v>1</v>
      </c>
      <c r="F554">
        <v>1</v>
      </c>
      <c r="G554">
        <v>27786564</v>
      </c>
      <c r="H554">
        <v>2</v>
      </c>
      <c r="I554" t="s">
        <v>465</v>
      </c>
      <c r="J554" t="s">
        <v>466</v>
      </c>
      <c r="K554" t="s">
        <v>467</v>
      </c>
      <c r="L554">
        <v>1368</v>
      </c>
      <c r="N554">
        <v>1011</v>
      </c>
      <c r="O554" t="s">
        <v>458</v>
      </c>
      <c r="P554" t="s">
        <v>458</v>
      </c>
      <c r="Q554">
        <v>1</v>
      </c>
      <c r="X554">
        <v>0.05</v>
      </c>
      <c r="Y554">
        <v>0</v>
      </c>
      <c r="Z554">
        <v>97.62</v>
      </c>
      <c r="AA554">
        <v>12.62</v>
      </c>
      <c r="AB554">
        <v>0</v>
      </c>
      <c r="AC554">
        <v>0</v>
      </c>
      <c r="AD554">
        <v>1</v>
      </c>
      <c r="AE554">
        <v>0</v>
      </c>
      <c r="AF554" t="s">
        <v>22</v>
      </c>
      <c r="AG554">
        <v>5.2500000000000005E-2</v>
      </c>
      <c r="AH554">
        <v>2</v>
      </c>
      <c r="AI554">
        <v>56610855</v>
      </c>
      <c r="AJ554">
        <v>54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">
      <c r="A555">
        <f>ROW(Source!A317)</f>
        <v>317</v>
      </c>
      <c r="B555">
        <v>56610860</v>
      </c>
      <c r="C555">
        <v>56610853</v>
      </c>
      <c r="D555">
        <v>47634960</v>
      </c>
      <c r="E555">
        <v>27786564</v>
      </c>
      <c r="F555">
        <v>1</v>
      </c>
      <c r="G555">
        <v>27786564</v>
      </c>
      <c r="H555">
        <v>2</v>
      </c>
      <c r="I555" t="s">
        <v>468</v>
      </c>
      <c r="J555" t="s">
        <v>3</v>
      </c>
      <c r="K555" t="s">
        <v>469</v>
      </c>
      <c r="L555">
        <v>1344</v>
      </c>
      <c r="N555">
        <v>1008</v>
      </c>
      <c r="O555" t="s">
        <v>470</v>
      </c>
      <c r="P555" t="s">
        <v>470</v>
      </c>
      <c r="Q555">
        <v>1</v>
      </c>
      <c r="X555">
        <v>0.12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1</v>
      </c>
      <c r="AE555">
        <v>0</v>
      </c>
      <c r="AF555" t="s">
        <v>22</v>
      </c>
      <c r="AG555">
        <v>0.126</v>
      </c>
      <c r="AH555">
        <v>2</v>
      </c>
      <c r="AI555">
        <v>56610856</v>
      </c>
      <c r="AJ555">
        <v>55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">
      <c r="A556">
        <f>ROW(Source!A317)</f>
        <v>317</v>
      </c>
      <c r="B556">
        <v>56610861</v>
      </c>
      <c r="C556">
        <v>56610853</v>
      </c>
      <c r="D556">
        <v>30390288</v>
      </c>
      <c r="E556">
        <v>27786564</v>
      </c>
      <c r="F556">
        <v>1</v>
      </c>
      <c r="G556">
        <v>27786564</v>
      </c>
      <c r="H556">
        <v>3</v>
      </c>
      <c r="I556" t="s">
        <v>682</v>
      </c>
      <c r="J556" t="s">
        <v>3</v>
      </c>
      <c r="K556" t="s">
        <v>392</v>
      </c>
      <c r="L556">
        <v>1339</v>
      </c>
      <c r="N556">
        <v>1007</v>
      </c>
      <c r="O556" t="s">
        <v>85</v>
      </c>
      <c r="P556" t="s">
        <v>85</v>
      </c>
      <c r="Q556">
        <v>1</v>
      </c>
      <c r="X556">
        <v>15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 t="s">
        <v>3</v>
      </c>
      <c r="AG556">
        <v>15</v>
      </c>
      <c r="AH556">
        <v>3</v>
      </c>
      <c r="AI556">
        <v>-1</v>
      </c>
      <c r="AJ556" t="s">
        <v>3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">
      <c r="A557">
        <f>ROW(Source!A320)</f>
        <v>320</v>
      </c>
      <c r="B557">
        <v>56610865</v>
      </c>
      <c r="C557">
        <v>56610863</v>
      </c>
      <c r="D557">
        <v>47634407</v>
      </c>
      <c r="E557">
        <v>27786564</v>
      </c>
      <c r="F557">
        <v>1</v>
      </c>
      <c r="G557">
        <v>27786564</v>
      </c>
      <c r="H557">
        <v>1</v>
      </c>
      <c r="I557" t="s">
        <v>452</v>
      </c>
      <c r="J557" t="s">
        <v>3</v>
      </c>
      <c r="K557" t="s">
        <v>453</v>
      </c>
      <c r="L557">
        <v>1191</v>
      </c>
      <c r="N557">
        <v>1013</v>
      </c>
      <c r="O557" t="s">
        <v>454</v>
      </c>
      <c r="P557" t="s">
        <v>454</v>
      </c>
      <c r="Q557">
        <v>1</v>
      </c>
      <c r="X557">
        <v>40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1</v>
      </c>
      <c r="AF557" t="s">
        <v>22</v>
      </c>
      <c r="AG557">
        <v>42</v>
      </c>
      <c r="AH557">
        <v>3</v>
      </c>
      <c r="AI557">
        <v>-1</v>
      </c>
      <c r="AJ557" t="s">
        <v>3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">
      <c r="A558">
        <f>ROW(Source!A320)</f>
        <v>320</v>
      </c>
      <c r="B558">
        <v>56610866</v>
      </c>
      <c r="C558">
        <v>56610863</v>
      </c>
      <c r="D558">
        <v>30390288</v>
      </c>
      <c r="E558">
        <v>27786564</v>
      </c>
      <c r="F558">
        <v>1</v>
      </c>
      <c r="G558">
        <v>27786564</v>
      </c>
      <c r="H558">
        <v>3</v>
      </c>
      <c r="I558" t="s">
        <v>682</v>
      </c>
      <c r="J558" t="s">
        <v>3</v>
      </c>
      <c r="K558" t="s">
        <v>392</v>
      </c>
      <c r="L558">
        <v>1339</v>
      </c>
      <c r="N558">
        <v>1007</v>
      </c>
      <c r="O558" t="s">
        <v>85</v>
      </c>
      <c r="P558" t="s">
        <v>85</v>
      </c>
      <c r="Q558">
        <v>1</v>
      </c>
      <c r="X558">
        <v>15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 t="s">
        <v>3</v>
      </c>
      <c r="AG558">
        <v>15</v>
      </c>
      <c r="AH558">
        <v>3</v>
      </c>
      <c r="AI558">
        <v>-1</v>
      </c>
      <c r="AJ558" t="s">
        <v>3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">
      <c r="A559">
        <f>ROW(Source!A321)</f>
        <v>321</v>
      </c>
      <c r="B559">
        <v>56610865</v>
      </c>
      <c r="C559">
        <v>56610863</v>
      </c>
      <c r="D559">
        <v>47634407</v>
      </c>
      <c r="E559">
        <v>27786564</v>
      </c>
      <c r="F559">
        <v>1</v>
      </c>
      <c r="G559">
        <v>27786564</v>
      </c>
      <c r="H559">
        <v>1</v>
      </c>
      <c r="I559" t="s">
        <v>452</v>
      </c>
      <c r="J559" t="s">
        <v>3</v>
      </c>
      <c r="K559" t="s">
        <v>453</v>
      </c>
      <c r="L559">
        <v>1191</v>
      </c>
      <c r="N559">
        <v>1013</v>
      </c>
      <c r="O559" t="s">
        <v>454</v>
      </c>
      <c r="P559" t="s">
        <v>454</v>
      </c>
      <c r="Q559">
        <v>1</v>
      </c>
      <c r="X559">
        <v>40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1</v>
      </c>
      <c r="AF559" t="s">
        <v>22</v>
      </c>
      <c r="AG559">
        <v>42</v>
      </c>
      <c r="AH559">
        <v>3</v>
      </c>
      <c r="AI559">
        <v>-1</v>
      </c>
      <c r="AJ559" t="s">
        <v>3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">
      <c r="A560">
        <f>ROW(Source!A321)</f>
        <v>321</v>
      </c>
      <c r="B560">
        <v>56610866</v>
      </c>
      <c r="C560">
        <v>56610863</v>
      </c>
      <c r="D560">
        <v>30390288</v>
      </c>
      <c r="E560">
        <v>27786564</v>
      </c>
      <c r="F560">
        <v>1</v>
      </c>
      <c r="G560">
        <v>27786564</v>
      </c>
      <c r="H560">
        <v>3</v>
      </c>
      <c r="I560" t="s">
        <v>682</v>
      </c>
      <c r="J560" t="s">
        <v>3</v>
      </c>
      <c r="K560" t="s">
        <v>392</v>
      </c>
      <c r="L560">
        <v>1339</v>
      </c>
      <c r="N560">
        <v>1007</v>
      </c>
      <c r="O560" t="s">
        <v>85</v>
      </c>
      <c r="P560" t="s">
        <v>85</v>
      </c>
      <c r="Q560">
        <v>1</v>
      </c>
      <c r="X560">
        <v>15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3</v>
      </c>
      <c r="AG560">
        <v>15</v>
      </c>
      <c r="AH560">
        <v>3</v>
      </c>
      <c r="AI560">
        <v>-1</v>
      </c>
      <c r="AJ560" t="s">
        <v>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">
      <c r="A561">
        <f>ROW(Source!A324)</f>
        <v>324</v>
      </c>
      <c r="B561">
        <v>56610870</v>
      </c>
      <c r="C561">
        <v>56610868</v>
      </c>
      <c r="D561">
        <v>47634407</v>
      </c>
      <c r="E561">
        <v>27786564</v>
      </c>
      <c r="F561">
        <v>1</v>
      </c>
      <c r="G561">
        <v>27786564</v>
      </c>
      <c r="H561">
        <v>1</v>
      </c>
      <c r="I561" t="s">
        <v>452</v>
      </c>
      <c r="J561" t="s">
        <v>3</v>
      </c>
      <c r="K561" t="s">
        <v>453</v>
      </c>
      <c r="L561">
        <v>1191</v>
      </c>
      <c r="N561">
        <v>1013</v>
      </c>
      <c r="O561" t="s">
        <v>454</v>
      </c>
      <c r="P561" t="s">
        <v>454</v>
      </c>
      <c r="Q561">
        <v>1</v>
      </c>
      <c r="X561">
        <v>5.47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1</v>
      </c>
      <c r="AF561" t="s">
        <v>22</v>
      </c>
      <c r="AG561">
        <v>5.7435</v>
      </c>
      <c r="AH561">
        <v>3</v>
      </c>
      <c r="AI561">
        <v>-1</v>
      </c>
      <c r="AJ561" t="s">
        <v>3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">
      <c r="A562">
        <f>ROW(Source!A324)</f>
        <v>324</v>
      </c>
      <c r="B562">
        <v>56610871</v>
      </c>
      <c r="C562">
        <v>56610868</v>
      </c>
      <c r="D562">
        <v>30390288</v>
      </c>
      <c r="E562">
        <v>27786564</v>
      </c>
      <c r="F562">
        <v>1</v>
      </c>
      <c r="G562">
        <v>27786564</v>
      </c>
      <c r="H562">
        <v>3</v>
      </c>
      <c r="I562" t="s">
        <v>682</v>
      </c>
      <c r="J562" t="s">
        <v>3</v>
      </c>
      <c r="K562" t="s">
        <v>392</v>
      </c>
      <c r="L562">
        <v>1339</v>
      </c>
      <c r="N562">
        <v>1007</v>
      </c>
      <c r="O562" t="s">
        <v>85</v>
      </c>
      <c r="P562" t="s">
        <v>85</v>
      </c>
      <c r="Q562">
        <v>1</v>
      </c>
      <c r="X562">
        <v>5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 t="s">
        <v>3</v>
      </c>
      <c r="AG562">
        <v>5</v>
      </c>
      <c r="AH562">
        <v>3</v>
      </c>
      <c r="AI562">
        <v>-1</v>
      </c>
      <c r="AJ562" t="s">
        <v>3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">
      <c r="A563">
        <f>ROW(Source!A325)</f>
        <v>325</v>
      </c>
      <c r="B563">
        <v>56610870</v>
      </c>
      <c r="C563">
        <v>56610868</v>
      </c>
      <c r="D563">
        <v>47634407</v>
      </c>
      <c r="E563">
        <v>27786564</v>
      </c>
      <c r="F563">
        <v>1</v>
      </c>
      <c r="G563">
        <v>27786564</v>
      </c>
      <c r="H563">
        <v>1</v>
      </c>
      <c r="I563" t="s">
        <v>452</v>
      </c>
      <c r="J563" t="s">
        <v>3</v>
      </c>
      <c r="K563" t="s">
        <v>453</v>
      </c>
      <c r="L563">
        <v>1191</v>
      </c>
      <c r="N563">
        <v>1013</v>
      </c>
      <c r="O563" t="s">
        <v>454</v>
      </c>
      <c r="P563" t="s">
        <v>454</v>
      </c>
      <c r="Q563">
        <v>1</v>
      </c>
      <c r="X563">
        <v>5.47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1</v>
      </c>
      <c r="AF563" t="s">
        <v>22</v>
      </c>
      <c r="AG563">
        <v>5.7435</v>
      </c>
      <c r="AH563">
        <v>3</v>
      </c>
      <c r="AI563">
        <v>-1</v>
      </c>
      <c r="AJ563" t="s">
        <v>3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">
      <c r="A564">
        <f>ROW(Source!A325)</f>
        <v>325</v>
      </c>
      <c r="B564">
        <v>56610871</v>
      </c>
      <c r="C564">
        <v>56610868</v>
      </c>
      <c r="D564">
        <v>30390288</v>
      </c>
      <c r="E564">
        <v>27786564</v>
      </c>
      <c r="F564">
        <v>1</v>
      </c>
      <c r="G564">
        <v>27786564</v>
      </c>
      <c r="H564">
        <v>3</v>
      </c>
      <c r="I564" t="s">
        <v>682</v>
      </c>
      <c r="J564" t="s">
        <v>3</v>
      </c>
      <c r="K564" t="s">
        <v>392</v>
      </c>
      <c r="L564">
        <v>1339</v>
      </c>
      <c r="N564">
        <v>1007</v>
      </c>
      <c r="O564" t="s">
        <v>85</v>
      </c>
      <c r="P564" t="s">
        <v>85</v>
      </c>
      <c r="Q564">
        <v>1</v>
      </c>
      <c r="X564">
        <v>5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3</v>
      </c>
      <c r="AG564">
        <v>5</v>
      </c>
      <c r="AH564">
        <v>3</v>
      </c>
      <c r="AI564">
        <v>-1</v>
      </c>
      <c r="AJ564" t="s">
        <v>3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">
      <c r="A565">
        <f>ROW(Source!A328)</f>
        <v>328</v>
      </c>
      <c r="B565">
        <v>56610875</v>
      </c>
      <c r="C565">
        <v>56610873</v>
      </c>
      <c r="D565">
        <v>47634407</v>
      </c>
      <c r="E565">
        <v>27786564</v>
      </c>
      <c r="F565">
        <v>1</v>
      </c>
      <c r="G565">
        <v>27786564</v>
      </c>
      <c r="H565">
        <v>1</v>
      </c>
      <c r="I565" t="s">
        <v>452</v>
      </c>
      <c r="J565" t="s">
        <v>3</v>
      </c>
      <c r="K565" t="s">
        <v>453</v>
      </c>
      <c r="L565">
        <v>1191</v>
      </c>
      <c r="N565">
        <v>1013</v>
      </c>
      <c r="O565" t="s">
        <v>454</v>
      </c>
      <c r="P565" t="s">
        <v>454</v>
      </c>
      <c r="Q565">
        <v>1</v>
      </c>
      <c r="X565">
        <v>5.25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1</v>
      </c>
      <c r="AF565" t="s">
        <v>22</v>
      </c>
      <c r="AG565">
        <v>5.5125000000000002</v>
      </c>
      <c r="AH565">
        <v>3</v>
      </c>
      <c r="AI565">
        <v>-1</v>
      </c>
      <c r="AJ565" t="s">
        <v>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">
      <c r="A566">
        <f>ROW(Source!A328)</f>
        <v>328</v>
      </c>
      <c r="B566">
        <v>56610876</v>
      </c>
      <c r="C566">
        <v>56610873</v>
      </c>
      <c r="D566">
        <v>30390465</v>
      </c>
      <c r="E566">
        <v>1</v>
      </c>
      <c r="F566">
        <v>1</v>
      </c>
      <c r="G566">
        <v>27786564</v>
      </c>
      <c r="H566">
        <v>3</v>
      </c>
      <c r="I566" t="s">
        <v>620</v>
      </c>
      <c r="J566" t="s">
        <v>621</v>
      </c>
      <c r="K566" t="s">
        <v>622</v>
      </c>
      <c r="L566">
        <v>1339</v>
      </c>
      <c r="N566">
        <v>1007</v>
      </c>
      <c r="O566" t="s">
        <v>85</v>
      </c>
      <c r="P566" t="s">
        <v>85</v>
      </c>
      <c r="Q566">
        <v>1</v>
      </c>
      <c r="X566">
        <v>10</v>
      </c>
      <c r="Y566">
        <v>7.07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 t="s">
        <v>3</v>
      </c>
      <c r="AG566">
        <v>10</v>
      </c>
      <c r="AH566">
        <v>3</v>
      </c>
      <c r="AI566">
        <v>-1</v>
      </c>
      <c r="AJ566" t="s">
        <v>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">
      <c r="A567">
        <f>ROW(Source!A328)</f>
        <v>328</v>
      </c>
      <c r="B567">
        <v>56610877</v>
      </c>
      <c r="C567">
        <v>56610873</v>
      </c>
      <c r="D567">
        <v>30390094</v>
      </c>
      <c r="E567">
        <v>27786564</v>
      </c>
      <c r="F567">
        <v>1</v>
      </c>
      <c r="G567">
        <v>27786564</v>
      </c>
      <c r="H567">
        <v>3</v>
      </c>
      <c r="I567" t="s">
        <v>683</v>
      </c>
      <c r="J567" t="s">
        <v>3</v>
      </c>
      <c r="K567" t="s">
        <v>684</v>
      </c>
      <c r="L567">
        <v>1346</v>
      </c>
      <c r="N567">
        <v>1009</v>
      </c>
      <c r="O567" t="s">
        <v>101</v>
      </c>
      <c r="P567" t="s">
        <v>101</v>
      </c>
      <c r="Q567">
        <v>1</v>
      </c>
      <c r="X567">
        <v>4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3</v>
      </c>
      <c r="AG567">
        <v>4</v>
      </c>
      <c r="AH567">
        <v>3</v>
      </c>
      <c r="AI567">
        <v>-1</v>
      </c>
      <c r="AJ567" t="s">
        <v>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">
      <c r="A568">
        <f>ROW(Source!A329)</f>
        <v>329</v>
      </c>
      <c r="B568">
        <v>56610875</v>
      </c>
      <c r="C568">
        <v>56610873</v>
      </c>
      <c r="D568">
        <v>47634407</v>
      </c>
      <c r="E568">
        <v>27786564</v>
      </c>
      <c r="F568">
        <v>1</v>
      </c>
      <c r="G568">
        <v>27786564</v>
      </c>
      <c r="H568">
        <v>1</v>
      </c>
      <c r="I568" t="s">
        <v>452</v>
      </c>
      <c r="J568" t="s">
        <v>3</v>
      </c>
      <c r="K568" t="s">
        <v>453</v>
      </c>
      <c r="L568">
        <v>1191</v>
      </c>
      <c r="N568">
        <v>1013</v>
      </c>
      <c r="O568" t="s">
        <v>454</v>
      </c>
      <c r="P568" t="s">
        <v>454</v>
      </c>
      <c r="Q568">
        <v>1</v>
      </c>
      <c r="X568">
        <v>5.25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1</v>
      </c>
      <c r="AF568" t="s">
        <v>22</v>
      </c>
      <c r="AG568">
        <v>5.5125000000000002</v>
      </c>
      <c r="AH568">
        <v>3</v>
      </c>
      <c r="AI568">
        <v>-1</v>
      </c>
      <c r="AJ568" t="s">
        <v>3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">
      <c r="A569">
        <f>ROW(Source!A329)</f>
        <v>329</v>
      </c>
      <c r="B569">
        <v>56610876</v>
      </c>
      <c r="C569">
        <v>56610873</v>
      </c>
      <c r="D569">
        <v>30390465</v>
      </c>
      <c r="E569">
        <v>1</v>
      </c>
      <c r="F569">
        <v>1</v>
      </c>
      <c r="G569">
        <v>27786564</v>
      </c>
      <c r="H569">
        <v>3</v>
      </c>
      <c r="I569" t="s">
        <v>620</v>
      </c>
      <c r="J569" t="s">
        <v>621</v>
      </c>
      <c r="K569" t="s">
        <v>622</v>
      </c>
      <c r="L569">
        <v>1339</v>
      </c>
      <c r="N569">
        <v>1007</v>
      </c>
      <c r="O569" t="s">
        <v>85</v>
      </c>
      <c r="P569" t="s">
        <v>85</v>
      </c>
      <c r="Q569">
        <v>1</v>
      </c>
      <c r="X569">
        <v>10</v>
      </c>
      <c r="Y569">
        <v>7.07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0</v>
      </c>
      <c r="AF569" t="s">
        <v>3</v>
      </c>
      <c r="AG569">
        <v>10</v>
      </c>
      <c r="AH569">
        <v>3</v>
      </c>
      <c r="AI569">
        <v>-1</v>
      </c>
      <c r="AJ569" t="s">
        <v>3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">
      <c r="A570">
        <f>ROW(Source!A329)</f>
        <v>329</v>
      </c>
      <c r="B570">
        <v>56610877</v>
      </c>
      <c r="C570">
        <v>56610873</v>
      </c>
      <c r="D570">
        <v>30390094</v>
      </c>
      <c r="E570">
        <v>27786564</v>
      </c>
      <c r="F570">
        <v>1</v>
      </c>
      <c r="G570">
        <v>27786564</v>
      </c>
      <c r="H570">
        <v>3</v>
      </c>
      <c r="I570" t="s">
        <v>683</v>
      </c>
      <c r="J570" t="s">
        <v>3</v>
      </c>
      <c r="K570" t="s">
        <v>684</v>
      </c>
      <c r="L570">
        <v>1346</v>
      </c>
      <c r="N570">
        <v>1009</v>
      </c>
      <c r="O570" t="s">
        <v>101</v>
      </c>
      <c r="P570" t="s">
        <v>101</v>
      </c>
      <c r="Q570">
        <v>1</v>
      </c>
      <c r="X570">
        <v>4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 t="s">
        <v>3</v>
      </c>
      <c r="AG570">
        <v>4</v>
      </c>
      <c r="AH570">
        <v>3</v>
      </c>
      <c r="AI570">
        <v>-1</v>
      </c>
      <c r="AJ570" t="s">
        <v>3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">
      <c r="A571">
        <f>ROW(Source!A367)</f>
        <v>367</v>
      </c>
      <c r="B571">
        <v>56610880</v>
      </c>
      <c r="C571">
        <v>56610879</v>
      </c>
      <c r="D571">
        <v>47634407</v>
      </c>
      <c r="E571">
        <v>27786564</v>
      </c>
      <c r="F571">
        <v>1</v>
      </c>
      <c r="G571">
        <v>27786564</v>
      </c>
      <c r="H571">
        <v>1</v>
      </c>
      <c r="I571" t="s">
        <v>452</v>
      </c>
      <c r="J571" t="s">
        <v>3</v>
      </c>
      <c r="K571" t="s">
        <v>453</v>
      </c>
      <c r="L571">
        <v>1191</v>
      </c>
      <c r="N571">
        <v>1013</v>
      </c>
      <c r="O571" t="s">
        <v>454</v>
      </c>
      <c r="P571" t="s">
        <v>454</v>
      </c>
      <c r="Q571">
        <v>1</v>
      </c>
      <c r="X571">
        <v>29.81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1</v>
      </c>
      <c r="AF571" t="s">
        <v>22</v>
      </c>
      <c r="AG571">
        <v>31.3005</v>
      </c>
      <c r="AH571">
        <v>3</v>
      </c>
      <c r="AI571">
        <v>-1</v>
      </c>
      <c r="AJ571" t="s">
        <v>3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">
      <c r="A572">
        <f>ROW(Source!A367)</f>
        <v>367</v>
      </c>
      <c r="B572">
        <v>56610881</v>
      </c>
      <c r="C572">
        <v>56610879</v>
      </c>
      <c r="D572">
        <v>30365433</v>
      </c>
      <c r="E572">
        <v>27786564</v>
      </c>
      <c r="F572">
        <v>1</v>
      </c>
      <c r="G572">
        <v>27786564</v>
      </c>
      <c r="H572">
        <v>3</v>
      </c>
      <c r="I572" t="s">
        <v>685</v>
      </c>
      <c r="J572" t="s">
        <v>3</v>
      </c>
      <c r="K572" t="s">
        <v>686</v>
      </c>
      <c r="L572">
        <v>1327</v>
      </c>
      <c r="N572">
        <v>1005</v>
      </c>
      <c r="O572" t="s">
        <v>514</v>
      </c>
      <c r="P572" t="s">
        <v>514</v>
      </c>
      <c r="Q572">
        <v>1</v>
      </c>
      <c r="X572">
        <v>97.16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3</v>
      </c>
      <c r="AG572">
        <v>97.16</v>
      </c>
      <c r="AH572">
        <v>3</v>
      </c>
      <c r="AI572">
        <v>-1</v>
      </c>
      <c r="AJ572" t="s">
        <v>3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">
      <c r="A573">
        <f>ROW(Source!A368)</f>
        <v>368</v>
      </c>
      <c r="B573">
        <v>56610880</v>
      </c>
      <c r="C573">
        <v>56610879</v>
      </c>
      <c r="D573">
        <v>47634407</v>
      </c>
      <c r="E573">
        <v>27786564</v>
      </c>
      <c r="F573">
        <v>1</v>
      </c>
      <c r="G573">
        <v>27786564</v>
      </c>
      <c r="H573">
        <v>1</v>
      </c>
      <c r="I573" t="s">
        <v>452</v>
      </c>
      <c r="J573" t="s">
        <v>3</v>
      </c>
      <c r="K573" t="s">
        <v>453</v>
      </c>
      <c r="L573">
        <v>1191</v>
      </c>
      <c r="N573">
        <v>1013</v>
      </c>
      <c r="O573" t="s">
        <v>454</v>
      </c>
      <c r="P573" t="s">
        <v>454</v>
      </c>
      <c r="Q573">
        <v>1</v>
      </c>
      <c r="X573">
        <v>29.81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1</v>
      </c>
      <c r="AF573" t="s">
        <v>22</v>
      </c>
      <c r="AG573">
        <v>31.3005</v>
      </c>
      <c r="AH573">
        <v>3</v>
      </c>
      <c r="AI573">
        <v>-1</v>
      </c>
      <c r="AJ573" t="s">
        <v>3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">
      <c r="A574">
        <f>ROW(Source!A368)</f>
        <v>368</v>
      </c>
      <c r="B574">
        <v>56610881</v>
      </c>
      <c r="C574">
        <v>56610879</v>
      </c>
      <c r="D574">
        <v>30365433</v>
      </c>
      <c r="E574">
        <v>27786564</v>
      </c>
      <c r="F574">
        <v>1</v>
      </c>
      <c r="G574">
        <v>27786564</v>
      </c>
      <c r="H574">
        <v>3</v>
      </c>
      <c r="I574" t="s">
        <v>685</v>
      </c>
      <c r="J574" t="s">
        <v>3</v>
      </c>
      <c r="K574" t="s">
        <v>686</v>
      </c>
      <c r="L574">
        <v>1327</v>
      </c>
      <c r="N574">
        <v>1005</v>
      </c>
      <c r="O574" t="s">
        <v>514</v>
      </c>
      <c r="P574" t="s">
        <v>514</v>
      </c>
      <c r="Q574">
        <v>1</v>
      </c>
      <c r="X574">
        <v>97.16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3</v>
      </c>
      <c r="AG574">
        <v>97.16</v>
      </c>
      <c r="AH574">
        <v>3</v>
      </c>
      <c r="AI574">
        <v>-1</v>
      </c>
      <c r="AJ574" t="s">
        <v>3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">
      <c r="A575">
        <f>ROW(Source!A369)</f>
        <v>369</v>
      </c>
      <c r="B575">
        <v>56610883</v>
      </c>
      <c r="C575">
        <v>56610882</v>
      </c>
      <c r="D575">
        <v>47634407</v>
      </c>
      <c r="E575">
        <v>27786564</v>
      </c>
      <c r="F575">
        <v>1</v>
      </c>
      <c r="G575">
        <v>27786564</v>
      </c>
      <c r="H575">
        <v>1</v>
      </c>
      <c r="I575" t="s">
        <v>452</v>
      </c>
      <c r="J575" t="s">
        <v>3</v>
      </c>
      <c r="K575" t="s">
        <v>453</v>
      </c>
      <c r="L575">
        <v>1191</v>
      </c>
      <c r="N575">
        <v>1013</v>
      </c>
      <c r="O575" t="s">
        <v>454</v>
      </c>
      <c r="P575" t="s">
        <v>454</v>
      </c>
      <c r="Q575">
        <v>1</v>
      </c>
      <c r="X575">
        <v>11.7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1</v>
      </c>
      <c r="AF575" t="s">
        <v>22</v>
      </c>
      <c r="AG575">
        <v>12.285</v>
      </c>
      <c r="AH575">
        <v>3</v>
      </c>
      <c r="AI575">
        <v>-1</v>
      </c>
      <c r="AJ575" t="s">
        <v>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">
      <c r="A576">
        <f>ROW(Source!A369)</f>
        <v>369</v>
      </c>
      <c r="B576">
        <v>56610884</v>
      </c>
      <c r="C576">
        <v>56610882</v>
      </c>
      <c r="D576">
        <v>47766419</v>
      </c>
      <c r="E576">
        <v>1</v>
      </c>
      <c r="F576">
        <v>1</v>
      </c>
      <c r="G576">
        <v>27786564</v>
      </c>
      <c r="H576">
        <v>2</v>
      </c>
      <c r="I576" t="s">
        <v>608</v>
      </c>
      <c r="J576" t="s">
        <v>609</v>
      </c>
      <c r="K576" t="s">
        <v>610</v>
      </c>
      <c r="L576">
        <v>1368</v>
      </c>
      <c r="N576">
        <v>1011</v>
      </c>
      <c r="O576" t="s">
        <v>458</v>
      </c>
      <c r="P576" t="s">
        <v>458</v>
      </c>
      <c r="Q576">
        <v>1</v>
      </c>
      <c r="X576">
        <v>1.26</v>
      </c>
      <c r="Y576">
        <v>0</v>
      </c>
      <c r="Z576">
        <v>120.32</v>
      </c>
      <c r="AA576">
        <v>12.62</v>
      </c>
      <c r="AB576">
        <v>0</v>
      </c>
      <c r="AC576">
        <v>0</v>
      </c>
      <c r="AD576">
        <v>1</v>
      </c>
      <c r="AE576">
        <v>0</v>
      </c>
      <c r="AF576" t="s">
        <v>22</v>
      </c>
      <c r="AG576">
        <v>1.3230000000000002</v>
      </c>
      <c r="AH576">
        <v>3</v>
      </c>
      <c r="AI576">
        <v>-1</v>
      </c>
      <c r="AJ576" t="s">
        <v>3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">
      <c r="A577">
        <f>ROW(Source!A369)</f>
        <v>369</v>
      </c>
      <c r="B577">
        <v>56610885</v>
      </c>
      <c r="C577">
        <v>56610882</v>
      </c>
      <c r="D577">
        <v>47766620</v>
      </c>
      <c r="E577">
        <v>1</v>
      </c>
      <c r="F577">
        <v>1</v>
      </c>
      <c r="G577">
        <v>27786564</v>
      </c>
      <c r="H577">
        <v>2</v>
      </c>
      <c r="I577" t="s">
        <v>602</v>
      </c>
      <c r="J577" t="s">
        <v>603</v>
      </c>
      <c r="K577" t="s">
        <v>604</v>
      </c>
      <c r="L577">
        <v>1368</v>
      </c>
      <c r="N577">
        <v>1011</v>
      </c>
      <c r="O577" t="s">
        <v>458</v>
      </c>
      <c r="P577" t="s">
        <v>458</v>
      </c>
      <c r="Q577">
        <v>1</v>
      </c>
      <c r="X577">
        <v>1.7</v>
      </c>
      <c r="Y577">
        <v>0</v>
      </c>
      <c r="Z577">
        <v>219.56</v>
      </c>
      <c r="AA577">
        <v>18.62</v>
      </c>
      <c r="AB577">
        <v>0</v>
      </c>
      <c r="AC577">
        <v>0</v>
      </c>
      <c r="AD577">
        <v>1</v>
      </c>
      <c r="AE577">
        <v>0</v>
      </c>
      <c r="AF577" t="s">
        <v>22</v>
      </c>
      <c r="AG577">
        <v>1.7849999999999999</v>
      </c>
      <c r="AH577">
        <v>3</v>
      </c>
      <c r="AI577">
        <v>-1</v>
      </c>
      <c r="AJ577" t="s">
        <v>3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">
      <c r="A578">
        <f>ROW(Source!A369)</f>
        <v>369</v>
      </c>
      <c r="B578">
        <v>56610886</v>
      </c>
      <c r="C578">
        <v>56610882</v>
      </c>
      <c r="D578">
        <v>47634960</v>
      </c>
      <c r="E578">
        <v>27786564</v>
      </c>
      <c r="F578">
        <v>1</v>
      </c>
      <c r="G578">
        <v>27786564</v>
      </c>
      <c r="H578">
        <v>2</v>
      </c>
      <c r="I578" t="s">
        <v>468</v>
      </c>
      <c r="J578" t="s">
        <v>3</v>
      </c>
      <c r="K578" t="s">
        <v>469</v>
      </c>
      <c r="L578">
        <v>1344</v>
      </c>
      <c r="N578">
        <v>1008</v>
      </c>
      <c r="O578" t="s">
        <v>470</v>
      </c>
      <c r="P578" t="s">
        <v>470</v>
      </c>
      <c r="Q578">
        <v>1</v>
      </c>
      <c r="X578">
        <v>42.41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1</v>
      </c>
      <c r="AE578">
        <v>0</v>
      </c>
      <c r="AF578" t="s">
        <v>22</v>
      </c>
      <c r="AG578">
        <v>44.530499999999996</v>
      </c>
      <c r="AH578">
        <v>3</v>
      </c>
      <c r="AI578">
        <v>-1</v>
      </c>
      <c r="AJ578" t="s">
        <v>3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">
      <c r="A579">
        <f>ROW(Source!A370)</f>
        <v>370</v>
      </c>
      <c r="B579">
        <v>56610883</v>
      </c>
      <c r="C579">
        <v>56610882</v>
      </c>
      <c r="D579">
        <v>47634407</v>
      </c>
      <c r="E579">
        <v>27786564</v>
      </c>
      <c r="F579">
        <v>1</v>
      </c>
      <c r="G579">
        <v>27786564</v>
      </c>
      <c r="H579">
        <v>1</v>
      </c>
      <c r="I579" t="s">
        <v>452</v>
      </c>
      <c r="J579" t="s">
        <v>3</v>
      </c>
      <c r="K579" t="s">
        <v>453</v>
      </c>
      <c r="L579">
        <v>1191</v>
      </c>
      <c r="N579">
        <v>1013</v>
      </c>
      <c r="O579" t="s">
        <v>454</v>
      </c>
      <c r="P579" t="s">
        <v>454</v>
      </c>
      <c r="Q579">
        <v>1</v>
      </c>
      <c r="X579">
        <v>11.7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1</v>
      </c>
      <c r="AF579" t="s">
        <v>22</v>
      </c>
      <c r="AG579">
        <v>12.285</v>
      </c>
      <c r="AH579">
        <v>3</v>
      </c>
      <c r="AI579">
        <v>-1</v>
      </c>
      <c r="AJ579" t="s">
        <v>3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">
      <c r="A580">
        <f>ROW(Source!A370)</f>
        <v>370</v>
      </c>
      <c r="B580">
        <v>56610884</v>
      </c>
      <c r="C580">
        <v>56610882</v>
      </c>
      <c r="D580">
        <v>47766419</v>
      </c>
      <c r="E580">
        <v>1</v>
      </c>
      <c r="F580">
        <v>1</v>
      </c>
      <c r="G580">
        <v>27786564</v>
      </c>
      <c r="H580">
        <v>2</v>
      </c>
      <c r="I580" t="s">
        <v>608</v>
      </c>
      <c r="J580" t="s">
        <v>609</v>
      </c>
      <c r="K580" t="s">
        <v>610</v>
      </c>
      <c r="L580">
        <v>1368</v>
      </c>
      <c r="N580">
        <v>1011</v>
      </c>
      <c r="O580" t="s">
        <v>458</v>
      </c>
      <c r="P580" t="s">
        <v>458</v>
      </c>
      <c r="Q580">
        <v>1</v>
      </c>
      <c r="X580">
        <v>1.26</v>
      </c>
      <c r="Y580">
        <v>0</v>
      </c>
      <c r="Z580">
        <v>120.32</v>
      </c>
      <c r="AA580">
        <v>12.62</v>
      </c>
      <c r="AB580">
        <v>0</v>
      </c>
      <c r="AC580">
        <v>0</v>
      </c>
      <c r="AD580">
        <v>1</v>
      </c>
      <c r="AE580">
        <v>0</v>
      </c>
      <c r="AF580" t="s">
        <v>22</v>
      </c>
      <c r="AG580">
        <v>1.3230000000000002</v>
      </c>
      <c r="AH580">
        <v>3</v>
      </c>
      <c r="AI580">
        <v>-1</v>
      </c>
      <c r="AJ580" t="s">
        <v>3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">
      <c r="A581">
        <f>ROW(Source!A370)</f>
        <v>370</v>
      </c>
      <c r="B581">
        <v>56610885</v>
      </c>
      <c r="C581">
        <v>56610882</v>
      </c>
      <c r="D581">
        <v>47766620</v>
      </c>
      <c r="E581">
        <v>1</v>
      </c>
      <c r="F581">
        <v>1</v>
      </c>
      <c r="G581">
        <v>27786564</v>
      </c>
      <c r="H581">
        <v>2</v>
      </c>
      <c r="I581" t="s">
        <v>602</v>
      </c>
      <c r="J581" t="s">
        <v>603</v>
      </c>
      <c r="K581" t="s">
        <v>604</v>
      </c>
      <c r="L581">
        <v>1368</v>
      </c>
      <c r="N581">
        <v>1011</v>
      </c>
      <c r="O581" t="s">
        <v>458</v>
      </c>
      <c r="P581" t="s">
        <v>458</v>
      </c>
      <c r="Q581">
        <v>1</v>
      </c>
      <c r="X581">
        <v>1.7</v>
      </c>
      <c r="Y581">
        <v>0</v>
      </c>
      <c r="Z581">
        <v>219.56</v>
      </c>
      <c r="AA581">
        <v>18.62</v>
      </c>
      <c r="AB581">
        <v>0</v>
      </c>
      <c r="AC581">
        <v>0</v>
      </c>
      <c r="AD581">
        <v>1</v>
      </c>
      <c r="AE581">
        <v>0</v>
      </c>
      <c r="AF581" t="s">
        <v>22</v>
      </c>
      <c r="AG581">
        <v>1.7849999999999999</v>
      </c>
      <c r="AH581">
        <v>3</v>
      </c>
      <c r="AI581">
        <v>-1</v>
      </c>
      <c r="AJ581" t="s">
        <v>3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">
      <c r="A582">
        <f>ROW(Source!A370)</f>
        <v>370</v>
      </c>
      <c r="B582">
        <v>56610886</v>
      </c>
      <c r="C582">
        <v>56610882</v>
      </c>
      <c r="D582">
        <v>47634960</v>
      </c>
      <c r="E582">
        <v>27786564</v>
      </c>
      <c r="F582">
        <v>1</v>
      </c>
      <c r="G582">
        <v>27786564</v>
      </c>
      <c r="H582">
        <v>2</v>
      </c>
      <c r="I582" t="s">
        <v>468</v>
      </c>
      <c r="J582" t="s">
        <v>3</v>
      </c>
      <c r="K582" t="s">
        <v>469</v>
      </c>
      <c r="L582">
        <v>1344</v>
      </c>
      <c r="N582">
        <v>1008</v>
      </c>
      <c r="O582" t="s">
        <v>470</v>
      </c>
      <c r="P582" t="s">
        <v>470</v>
      </c>
      <c r="Q582">
        <v>1</v>
      </c>
      <c r="X582">
        <v>42.41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1</v>
      </c>
      <c r="AE582">
        <v>0</v>
      </c>
      <c r="AF582" t="s">
        <v>22</v>
      </c>
      <c r="AG582">
        <v>44.530499999999996</v>
      </c>
      <c r="AH582">
        <v>3</v>
      </c>
      <c r="AI582">
        <v>-1</v>
      </c>
      <c r="AJ582" t="s">
        <v>3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">
      <c r="A583">
        <f>ROW(Source!A371)</f>
        <v>371</v>
      </c>
      <c r="B583">
        <v>56610888</v>
      </c>
      <c r="C583">
        <v>56610887</v>
      </c>
      <c r="D583">
        <v>47634407</v>
      </c>
      <c r="E583">
        <v>27786564</v>
      </c>
      <c r="F583">
        <v>1</v>
      </c>
      <c r="G583">
        <v>27786564</v>
      </c>
      <c r="H583">
        <v>1</v>
      </c>
      <c r="I583" t="s">
        <v>452</v>
      </c>
      <c r="J583" t="s">
        <v>3</v>
      </c>
      <c r="K583" t="s">
        <v>453</v>
      </c>
      <c r="L583">
        <v>1191</v>
      </c>
      <c r="N583">
        <v>1013</v>
      </c>
      <c r="O583" t="s">
        <v>454</v>
      </c>
      <c r="P583" t="s">
        <v>454</v>
      </c>
      <c r="Q583">
        <v>1</v>
      </c>
      <c r="X583">
        <v>49.5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22</v>
      </c>
      <c r="AG583">
        <v>51.975000000000001</v>
      </c>
      <c r="AH583">
        <v>3</v>
      </c>
      <c r="AI583">
        <v>-1</v>
      </c>
      <c r="AJ583" t="s">
        <v>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">
      <c r="A584">
        <f>ROW(Source!A371)</f>
        <v>371</v>
      </c>
      <c r="B584">
        <v>56610889</v>
      </c>
      <c r="C584">
        <v>56610887</v>
      </c>
      <c r="D584">
        <v>47766400</v>
      </c>
      <c r="E584">
        <v>1</v>
      </c>
      <c r="F584">
        <v>1</v>
      </c>
      <c r="G584">
        <v>27786564</v>
      </c>
      <c r="H584">
        <v>2</v>
      </c>
      <c r="I584" t="s">
        <v>474</v>
      </c>
      <c r="J584" t="s">
        <v>475</v>
      </c>
      <c r="K584" t="s">
        <v>476</v>
      </c>
      <c r="L584">
        <v>1368</v>
      </c>
      <c r="N584">
        <v>1011</v>
      </c>
      <c r="O584" t="s">
        <v>458</v>
      </c>
      <c r="P584" t="s">
        <v>458</v>
      </c>
      <c r="Q584">
        <v>1</v>
      </c>
      <c r="X584">
        <v>2.87</v>
      </c>
      <c r="Y584">
        <v>0</v>
      </c>
      <c r="Z584">
        <v>145.59</v>
      </c>
      <c r="AA584">
        <v>14.54</v>
      </c>
      <c r="AB584">
        <v>0</v>
      </c>
      <c r="AC584">
        <v>0</v>
      </c>
      <c r="AD584">
        <v>1</v>
      </c>
      <c r="AE584">
        <v>0</v>
      </c>
      <c r="AF584" t="s">
        <v>22</v>
      </c>
      <c r="AG584">
        <v>3.0135000000000001</v>
      </c>
      <c r="AH584">
        <v>3</v>
      </c>
      <c r="AI584">
        <v>-1</v>
      </c>
      <c r="AJ584" t="s">
        <v>3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">
      <c r="A585">
        <f>ROW(Source!A371)</f>
        <v>371</v>
      </c>
      <c r="B585">
        <v>56610890</v>
      </c>
      <c r="C585">
        <v>56610887</v>
      </c>
      <c r="D585">
        <v>47766383</v>
      </c>
      <c r="E585">
        <v>1</v>
      </c>
      <c r="F585">
        <v>1</v>
      </c>
      <c r="G585">
        <v>27786564</v>
      </c>
      <c r="H585">
        <v>2</v>
      </c>
      <c r="I585" t="s">
        <v>605</v>
      </c>
      <c r="J585" t="s">
        <v>606</v>
      </c>
      <c r="K585" t="s">
        <v>607</v>
      </c>
      <c r="L585">
        <v>1368</v>
      </c>
      <c r="N585">
        <v>1011</v>
      </c>
      <c r="O585" t="s">
        <v>458</v>
      </c>
      <c r="P585" t="s">
        <v>458</v>
      </c>
      <c r="Q585">
        <v>1</v>
      </c>
      <c r="X585">
        <v>7.86</v>
      </c>
      <c r="Y585">
        <v>0</v>
      </c>
      <c r="Z585">
        <v>245.8</v>
      </c>
      <c r="AA585">
        <v>16.93</v>
      </c>
      <c r="AB585">
        <v>0</v>
      </c>
      <c r="AC585">
        <v>0</v>
      </c>
      <c r="AD585">
        <v>1</v>
      </c>
      <c r="AE585">
        <v>0</v>
      </c>
      <c r="AF585" t="s">
        <v>22</v>
      </c>
      <c r="AG585">
        <v>8.2530000000000001</v>
      </c>
      <c r="AH585">
        <v>3</v>
      </c>
      <c r="AI585">
        <v>-1</v>
      </c>
      <c r="AJ585" t="s">
        <v>3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">
      <c r="A586">
        <f>ROW(Source!A371)</f>
        <v>371</v>
      </c>
      <c r="B586">
        <v>56610891</v>
      </c>
      <c r="C586">
        <v>56610887</v>
      </c>
      <c r="D586">
        <v>47634960</v>
      </c>
      <c r="E586">
        <v>27786564</v>
      </c>
      <c r="F586">
        <v>1</v>
      </c>
      <c r="G586">
        <v>27786564</v>
      </c>
      <c r="H586">
        <v>2</v>
      </c>
      <c r="I586" t="s">
        <v>468</v>
      </c>
      <c r="J586" t="s">
        <v>3</v>
      </c>
      <c r="K586" t="s">
        <v>469</v>
      </c>
      <c r="L586">
        <v>1344</v>
      </c>
      <c r="N586">
        <v>1008</v>
      </c>
      <c r="O586" t="s">
        <v>470</v>
      </c>
      <c r="P586" t="s">
        <v>470</v>
      </c>
      <c r="Q586">
        <v>1</v>
      </c>
      <c r="X586">
        <v>5.21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1</v>
      </c>
      <c r="AE586">
        <v>0</v>
      </c>
      <c r="AF586" t="s">
        <v>22</v>
      </c>
      <c r="AG586">
        <v>5.4705000000000004</v>
      </c>
      <c r="AH586">
        <v>3</v>
      </c>
      <c r="AI586">
        <v>-1</v>
      </c>
      <c r="AJ586" t="s">
        <v>3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">
      <c r="A587">
        <f>ROW(Source!A372)</f>
        <v>372</v>
      </c>
      <c r="B587">
        <v>56610888</v>
      </c>
      <c r="C587">
        <v>56610887</v>
      </c>
      <c r="D587">
        <v>47634407</v>
      </c>
      <c r="E587">
        <v>27786564</v>
      </c>
      <c r="F587">
        <v>1</v>
      </c>
      <c r="G587">
        <v>27786564</v>
      </c>
      <c r="H587">
        <v>1</v>
      </c>
      <c r="I587" t="s">
        <v>452</v>
      </c>
      <c r="J587" t="s">
        <v>3</v>
      </c>
      <c r="K587" t="s">
        <v>453</v>
      </c>
      <c r="L587">
        <v>1191</v>
      </c>
      <c r="N587">
        <v>1013</v>
      </c>
      <c r="O587" t="s">
        <v>454</v>
      </c>
      <c r="P587" t="s">
        <v>454</v>
      </c>
      <c r="Q587">
        <v>1</v>
      </c>
      <c r="X587">
        <v>49.5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1</v>
      </c>
      <c r="AF587" t="s">
        <v>22</v>
      </c>
      <c r="AG587">
        <v>51.975000000000001</v>
      </c>
      <c r="AH587">
        <v>3</v>
      </c>
      <c r="AI587">
        <v>-1</v>
      </c>
      <c r="AJ587" t="s">
        <v>3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">
      <c r="A588">
        <f>ROW(Source!A372)</f>
        <v>372</v>
      </c>
      <c r="B588">
        <v>56610889</v>
      </c>
      <c r="C588">
        <v>56610887</v>
      </c>
      <c r="D588">
        <v>47766400</v>
      </c>
      <c r="E588">
        <v>1</v>
      </c>
      <c r="F588">
        <v>1</v>
      </c>
      <c r="G588">
        <v>27786564</v>
      </c>
      <c r="H588">
        <v>2</v>
      </c>
      <c r="I588" t="s">
        <v>474</v>
      </c>
      <c r="J588" t="s">
        <v>475</v>
      </c>
      <c r="K588" t="s">
        <v>476</v>
      </c>
      <c r="L588">
        <v>1368</v>
      </c>
      <c r="N588">
        <v>1011</v>
      </c>
      <c r="O588" t="s">
        <v>458</v>
      </c>
      <c r="P588" t="s">
        <v>458</v>
      </c>
      <c r="Q588">
        <v>1</v>
      </c>
      <c r="X588">
        <v>2.87</v>
      </c>
      <c r="Y588">
        <v>0</v>
      </c>
      <c r="Z588">
        <v>145.59</v>
      </c>
      <c r="AA588">
        <v>14.54</v>
      </c>
      <c r="AB588">
        <v>0</v>
      </c>
      <c r="AC588">
        <v>0</v>
      </c>
      <c r="AD588">
        <v>1</v>
      </c>
      <c r="AE588">
        <v>0</v>
      </c>
      <c r="AF588" t="s">
        <v>22</v>
      </c>
      <c r="AG588">
        <v>3.0135000000000001</v>
      </c>
      <c r="AH588">
        <v>3</v>
      </c>
      <c r="AI588">
        <v>-1</v>
      </c>
      <c r="AJ588" t="s">
        <v>3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">
      <c r="A589">
        <f>ROW(Source!A372)</f>
        <v>372</v>
      </c>
      <c r="B589">
        <v>56610890</v>
      </c>
      <c r="C589">
        <v>56610887</v>
      </c>
      <c r="D589">
        <v>47766383</v>
      </c>
      <c r="E589">
        <v>1</v>
      </c>
      <c r="F589">
        <v>1</v>
      </c>
      <c r="G589">
        <v>27786564</v>
      </c>
      <c r="H589">
        <v>2</v>
      </c>
      <c r="I589" t="s">
        <v>605</v>
      </c>
      <c r="J589" t="s">
        <v>606</v>
      </c>
      <c r="K589" t="s">
        <v>607</v>
      </c>
      <c r="L589">
        <v>1368</v>
      </c>
      <c r="N589">
        <v>1011</v>
      </c>
      <c r="O589" t="s">
        <v>458</v>
      </c>
      <c r="P589" t="s">
        <v>458</v>
      </c>
      <c r="Q589">
        <v>1</v>
      </c>
      <c r="X589">
        <v>7.86</v>
      </c>
      <c r="Y589">
        <v>0</v>
      </c>
      <c r="Z589">
        <v>245.8</v>
      </c>
      <c r="AA589">
        <v>16.93</v>
      </c>
      <c r="AB589">
        <v>0</v>
      </c>
      <c r="AC589">
        <v>0</v>
      </c>
      <c r="AD589">
        <v>1</v>
      </c>
      <c r="AE589">
        <v>0</v>
      </c>
      <c r="AF589" t="s">
        <v>22</v>
      </c>
      <c r="AG589">
        <v>8.2530000000000001</v>
      </c>
      <c r="AH589">
        <v>3</v>
      </c>
      <c r="AI589">
        <v>-1</v>
      </c>
      <c r="AJ589" t="s">
        <v>3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">
      <c r="A590">
        <f>ROW(Source!A372)</f>
        <v>372</v>
      </c>
      <c r="B590">
        <v>56610891</v>
      </c>
      <c r="C590">
        <v>56610887</v>
      </c>
      <c r="D590">
        <v>47634960</v>
      </c>
      <c r="E590">
        <v>27786564</v>
      </c>
      <c r="F590">
        <v>1</v>
      </c>
      <c r="G590">
        <v>27786564</v>
      </c>
      <c r="H590">
        <v>2</v>
      </c>
      <c r="I590" t="s">
        <v>468</v>
      </c>
      <c r="J590" t="s">
        <v>3</v>
      </c>
      <c r="K590" t="s">
        <v>469</v>
      </c>
      <c r="L590">
        <v>1344</v>
      </c>
      <c r="N590">
        <v>1008</v>
      </c>
      <c r="O590" t="s">
        <v>470</v>
      </c>
      <c r="P590" t="s">
        <v>470</v>
      </c>
      <c r="Q590">
        <v>1</v>
      </c>
      <c r="X590">
        <v>5.21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1</v>
      </c>
      <c r="AE590">
        <v>0</v>
      </c>
      <c r="AF590" t="s">
        <v>22</v>
      </c>
      <c r="AG590">
        <v>5.4705000000000004</v>
      </c>
      <c r="AH590">
        <v>3</v>
      </c>
      <c r="AI590">
        <v>-1</v>
      </c>
      <c r="AJ590" t="s">
        <v>3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">
      <c r="A591">
        <f>ROW(Source!A373)</f>
        <v>373</v>
      </c>
      <c r="B591">
        <v>56610893</v>
      </c>
      <c r="C591">
        <v>56610892</v>
      </c>
      <c r="D591">
        <v>47634960</v>
      </c>
      <c r="E591">
        <v>27786564</v>
      </c>
      <c r="F591">
        <v>1</v>
      </c>
      <c r="G591">
        <v>27786564</v>
      </c>
      <c r="H591">
        <v>2</v>
      </c>
      <c r="I591" t="s">
        <v>468</v>
      </c>
      <c r="J591" t="s">
        <v>3</v>
      </c>
      <c r="K591" t="s">
        <v>469</v>
      </c>
      <c r="L591">
        <v>1344</v>
      </c>
      <c r="N591">
        <v>1008</v>
      </c>
      <c r="O591" t="s">
        <v>470</v>
      </c>
      <c r="P591" t="s">
        <v>470</v>
      </c>
      <c r="Q591">
        <v>1</v>
      </c>
      <c r="X591">
        <v>8.86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1</v>
      </c>
      <c r="AE591">
        <v>0</v>
      </c>
      <c r="AF591" t="s">
        <v>22</v>
      </c>
      <c r="AG591">
        <v>9.302999999999999</v>
      </c>
      <c r="AH591">
        <v>3</v>
      </c>
      <c r="AI591">
        <v>-1</v>
      </c>
      <c r="AJ591" t="s">
        <v>3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">
      <c r="A592">
        <f>ROW(Source!A374)</f>
        <v>374</v>
      </c>
      <c r="B592">
        <v>56610893</v>
      </c>
      <c r="C592">
        <v>56610892</v>
      </c>
      <c r="D592">
        <v>47634960</v>
      </c>
      <c r="E592">
        <v>27786564</v>
      </c>
      <c r="F592">
        <v>1</v>
      </c>
      <c r="G592">
        <v>27786564</v>
      </c>
      <c r="H592">
        <v>2</v>
      </c>
      <c r="I592" t="s">
        <v>468</v>
      </c>
      <c r="J592" t="s">
        <v>3</v>
      </c>
      <c r="K592" t="s">
        <v>469</v>
      </c>
      <c r="L592">
        <v>1344</v>
      </c>
      <c r="N592">
        <v>1008</v>
      </c>
      <c r="O592" t="s">
        <v>470</v>
      </c>
      <c r="P592" t="s">
        <v>470</v>
      </c>
      <c r="Q592">
        <v>1</v>
      </c>
      <c r="X592">
        <v>8.86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1</v>
      </c>
      <c r="AE592">
        <v>0</v>
      </c>
      <c r="AF592" t="s">
        <v>22</v>
      </c>
      <c r="AG592">
        <v>9.302999999999999</v>
      </c>
      <c r="AH592">
        <v>3</v>
      </c>
      <c r="AI592">
        <v>-1</v>
      </c>
      <c r="AJ592" t="s">
        <v>3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">
      <c r="A593">
        <f>ROW(Source!A375)</f>
        <v>375</v>
      </c>
      <c r="B593">
        <v>56610896</v>
      </c>
      <c r="C593">
        <v>56610894</v>
      </c>
      <c r="D593">
        <v>47634407</v>
      </c>
      <c r="E593">
        <v>27786564</v>
      </c>
      <c r="F593">
        <v>1</v>
      </c>
      <c r="G593">
        <v>27786564</v>
      </c>
      <c r="H593">
        <v>1</v>
      </c>
      <c r="I593" t="s">
        <v>452</v>
      </c>
      <c r="J593" t="s">
        <v>3</v>
      </c>
      <c r="K593" t="s">
        <v>453</v>
      </c>
      <c r="L593">
        <v>1191</v>
      </c>
      <c r="N593">
        <v>1013</v>
      </c>
      <c r="O593" t="s">
        <v>454</v>
      </c>
      <c r="P593" t="s">
        <v>454</v>
      </c>
      <c r="Q593">
        <v>1</v>
      </c>
      <c r="X593">
        <v>14.4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1</v>
      </c>
      <c r="AF593" t="s">
        <v>22</v>
      </c>
      <c r="AG593">
        <v>15.120000000000001</v>
      </c>
      <c r="AH593">
        <v>3</v>
      </c>
      <c r="AI593">
        <v>-1</v>
      </c>
      <c r="AJ593" t="s">
        <v>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">
      <c r="A594">
        <f>ROW(Source!A375)</f>
        <v>375</v>
      </c>
      <c r="B594">
        <v>56610897</v>
      </c>
      <c r="C594">
        <v>56610894</v>
      </c>
      <c r="D594">
        <v>47766419</v>
      </c>
      <c r="E594">
        <v>1</v>
      </c>
      <c r="F594">
        <v>1</v>
      </c>
      <c r="G594">
        <v>27786564</v>
      </c>
      <c r="H594">
        <v>2</v>
      </c>
      <c r="I594" t="s">
        <v>608</v>
      </c>
      <c r="J594" t="s">
        <v>609</v>
      </c>
      <c r="K594" t="s">
        <v>610</v>
      </c>
      <c r="L594">
        <v>1368</v>
      </c>
      <c r="N594">
        <v>1011</v>
      </c>
      <c r="O594" t="s">
        <v>458</v>
      </c>
      <c r="P594" t="s">
        <v>458</v>
      </c>
      <c r="Q594">
        <v>1</v>
      </c>
      <c r="X594">
        <v>1.66</v>
      </c>
      <c r="Y594">
        <v>0</v>
      </c>
      <c r="Z594">
        <v>120.32</v>
      </c>
      <c r="AA594">
        <v>12.62</v>
      </c>
      <c r="AB594">
        <v>0</v>
      </c>
      <c r="AC594">
        <v>0</v>
      </c>
      <c r="AD594">
        <v>1</v>
      </c>
      <c r="AE594">
        <v>0</v>
      </c>
      <c r="AF594" t="s">
        <v>22</v>
      </c>
      <c r="AG594">
        <v>1.7429999999999999</v>
      </c>
      <c r="AH594">
        <v>3</v>
      </c>
      <c r="AI594">
        <v>-1</v>
      </c>
      <c r="AJ594" t="s">
        <v>3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">
      <c r="A595">
        <f>ROW(Source!A375)</f>
        <v>375</v>
      </c>
      <c r="B595">
        <v>56610898</v>
      </c>
      <c r="C595">
        <v>56610894</v>
      </c>
      <c r="D595">
        <v>47766660</v>
      </c>
      <c r="E595">
        <v>1</v>
      </c>
      <c r="F595">
        <v>1</v>
      </c>
      <c r="G595">
        <v>27786564</v>
      </c>
      <c r="H595">
        <v>2</v>
      </c>
      <c r="I595" t="s">
        <v>611</v>
      </c>
      <c r="J595" t="s">
        <v>612</v>
      </c>
      <c r="K595" t="s">
        <v>613</v>
      </c>
      <c r="L595">
        <v>1368</v>
      </c>
      <c r="N595">
        <v>1011</v>
      </c>
      <c r="O595" t="s">
        <v>458</v>
      </c>
      <c r="P595" t="s">
        <v>458</v>
      </c>
      <c r="Q595">
        <v>1</v>
      </c>
      <c r="X595">
        <v>1.66</v>
      </c>
      <c r="Y595">
        <v>0</v>
      </c>
      <c r="Z595">
        <v>281.32</v>
      </c>
      <c r="AA595">
        <v>16.93</v>
      </c>
      <c r="AB595">
        <v>0</v>
      </c>
      <c r="AC595">
        <v>0</v>
      </c>
      <c r="AD595">
        <v>1</v>
      </c>
      <c r="AE595">
        <v>0</v>
      </c>
      <c r="AF595" t="s">
        <v>22</v>
      </c>
      <c r="AG595">
        <v>1.7429999999999999</v>
      </c>
      <c r="AH595">
        <v>3</v>
      </c>
      <c r="AI595">
        <v>-1</v>
      </c>
      <c r="AJ595" t="s">
        <v>3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">
      <c r="A596">
        <f>ROW(Source!A375)</f>
        <v>375</v>
      </c>
      <c r="B596">
        <v>56610899</v>
      </c>
      <c r="C596">
        <v>56610894</v>
      </c>
      <c r="D596">
        <v>47766605</v>
      </c>
      <c r="E596">
        <v>1</v>
      </c>
      <c r="F596">
        <v>1</v>
      </c>
      <c r="G596">
        <v>27786564</v>
      </c>
      <c r="H596">
        <v>2</v>
      </c>
      <c r="I596" t="s">
        <v>614</v>
      </c>
      <c r="J596" t="s">
        <v>615</v>
      </c>
      <c r="K596" t="s">
        <v>616</v>
      </c>
      <c r="L596">
        <v>1368</v>
      </c>
      <c r="N596">
        <v>1011</v>
      </c>
      <c r="O596" t="s">
        <v>458</v>
      </c>
      <c r="P596" t="s">
        <v>458</v>
      </c>
      <c r="Q596">
        <v>1</v>
      </c>
      <c r="X596">
        <v>0.65</v>
      </c>
      <c r="Y596">
        <v>0</v>
      </c>
      <c r="Z596">
        <v>140.38</v>
      </c>
      <c r="AA596">
        <v>12.62</v>
      </c>
      <c r="AB596">
        <v>0</v>
      </c>
      <c r="AC596">
        <v>0</v>
      </c>
      <c r="AD596">
        <v>1</v>
      </c>
      <c r="AE596">
        <v>0</v>
      </c>
      <c r="AF596" t="s">
        <v>22</v>
      </c>
      <c r="AG596">
        <v>0.68250000000000011</v>
      </c>
      <c r="AH596">
        <v>3</v>
      </c>
      <c r="AI596">
        <v>-1</v>
      </c>
      <c r="AJ596" t="s">
        <v>3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">
      <c r="A597">
        <f>ROW(Source!A375)</f>
        <v>375</v>
      </c>
      <c r="B597">
        <v>56610900</v>
      </c>
      <c r="C597">
        <v>56610894</v>
      </c>
      <c r="D597">
        <v>47766620</v>
      </c>
      <c r="E597">
        <v>1</v>
      </c>
      <c r="F597">
        <v>1</v>
      </c>
      <c r="G597">
        <v>27786564</v>
      </c>
      <c r="H597">
        <v>2</v>
      </c>
      <c r="I597" t="s">
        <v>602</v>
      </c>
      <c r="J597" t="s">
        <v>603</v>
      </c>
      <c r="K597" t="s">
        <v>604</v>
      </c>
      <c r="L597">
        <v>1368</v>
      </c>
      <c r="N597">
        <v>1011</v>
      </c>
      <c r="O597" t="s">
        <v>458</v>
      </c>
      <c r="P597" t="s">
        <v>458</v>
      </c>
      <c r="Q597">
        <v>1</v>
      </c>
      <c r="X597">
        <v>1.55</v>
      </c>
      <c r="Y597">
        <v>0</v>
      </c>
      <c r="Z597">
        <v>219.56</v>
      </c>
      <c r="AA597">
        <v>18.62</v>
      </c>
      <c r="AB597">
        <v>0</v>
      </c>
      <c r="AC597">
        <v>0</v>
      </c>
      <c r="AD597">
        <v>1</v>
      </c>
      <c r="AE597">
        <v>0</v>
      </c>
      <c r="AF597" t="s">
        <v>22</v>
      </c>
      <c r="AG597">
        <v>1.6275000000000002</v>
      </c>
      <c r="AH597">
        <v>3</v>
      </c>
      <c r="AI597">
        <v>-1</v>
      </c>
      <c r="AJ597" t="s">
        <v>3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">
      <c r="A598">
        <f>ROW(Source!A375)</f>
        <v>375</v>
      </c>
      <c r="B598">
        <v>56610901</v>
      </c>
      <c r="C598">
        <v>56610894</v>
      </c>
      <c r="D598">
        <v>47766599</v>
      </c>
      <c r="E598">
        <v>1</v>
      </c>
      <c r="F598">
        <v>1</v>
      </c>
      <c r="G598">
        <v>27786564</v>
      </c>
      <c r="H598">
        <v>2</v>
      </c>
      <c r="I598" t="s">
        <v>617</v>
      </c>
      <c r="J598" t="s">
        <v>618</v>
      </c>
      <c r="K598" t="s">
        <v>619</v>
      </c>
      <c r="L598">
        <v>1368</v>
      </c>
      <c r="N598">
        <v>1011</v>
      </c>
      <c r="O598" t="s">
        <v>458</v>
      </c>
      <c r="P598" t="s">
        <v>458</v>
      </c>
      <c r="Q598">
        <v>1</v>
      </c>
      <c r="X598">
        <v>0.52</v>
      </c>
      <c r="Y598">
        <v>0</v>
      </c>
      <c r="Z598">
        <v>180.35</v>
      </c>
      <c r="AA598">
        <v>16.93</v>
      </c>
      <c r="AB598">
        <v>0</v>
      </c>
      <c r="AC598">
        <v>0</v>
      </c>
      <c r="AD598">
        <v>1</v>
      </c>
      <c r="AE598">
        <v>0</v>
      </c>
      <c r="AF598" t="s">
        <v>22</v>
      </c>
      <c r="AG598">
        <v>0.54600000000000004</v>
      </c>
      <c r="AH598">
        <v>3</v>
      </c>
      <c r="AI598">
        <v>-1</v>
      </c>
      <c r="AJ598" t="s">
        <v>3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">
      <c r="A599">
        <f>ROW(Source!A375)</f>
        <v>375</v>
      </c>
      <c r="B599">
        <v>56610902</v>
      </c>
      <c r="C599">
        <v>56610894</v>
      </c>
      <c r="D599">
        <v>30390465</v>
      </c>
      <c r="E599">
        <v>1</v>
      </c>
      <c r="F599">
        <v>1</v>
      </c>
      <c r="G599">
        <v>27786564</v>
      </c>
      <c r="H599">
        <v>3</v>
      </c>
      <c r="I599" t="s">
        <v>620</v>
      </c>
      <c r="J599" t="s">
        <v>621</v>
      </c>
      <c r="K599" t="s">
        <v>622</v>
      </c>
      <c r="L599">
        <v>1339</v>
      </c>
      <c r="N599">
        <v>1007</v>
      </c>
      <c r="O599" t="s">
        <v>85</v>
      </c>
      <c r="P599" t="s">
        <v>85</v>
      </c>
      <c r="Q599">
        <v>1</v>
      </c>
      <c r="X599">
        <v>5</v>
      </c>
      <c r="Y599">
        <v>7.07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 t="s">
        <v>3</v>
      </c>
      <c r="AG599">
        <v>5</v>
      </c>
      <c r="AH599">
        <v>3</v>
      </c>
      <c r="AI599">
        <v>-1</v>
      </c>
      <c r="AJ599" t="s">
        <v>3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">
      <c r="A600">
        <f>ROW(Source!A375)</f>
        <v>375</v>
      </c>
      <c r="B600">
        <v>56610903</v>
      </c>
      <c r="C600">
        <v>56610894</v>
      </c>
      <c r="D600">
        <v>30384156</v>
      </c>
      <c r="E600">
        <v>27786564</v>
      </c>
      <c r="F600">
        <v>1</v>
      </c>
      <c r="G600">
        <v>27786564</v>
      </c>
      <c r="H600">
        <v>3</v>
      </c>
      <c r="I600" t="s">
        <v>520</v>
      </c>
      <c r="J600" t="s">
        <v>3</v>
      </c>
      <c r="K600" t="s">
        <v>521</v>
      </c>
      <c r="L600">
        <v>1339</v>
      </c>
      <c r="N600">
        <v>1007</v>
      </c>
      <c r="O600" t="s">
        <v>85</v>
      </c>
      <c r="P600" t="s">
        <v>85</v>
      </c>
      <c r="Q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 t="s">
        <v>3</v>
      </c>
      <c r="AG600">
        <v>0</v>
      </c>
      <c r="AH600">
        <v>3</v>
      </c>
      <c r="AI600">
        <v>-1</v>
      </c>
      <c r="AJ600" t="s">
        <v>3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">
      <c r="A601">
        <f>ROW(Source!A376)</f>
        <v>376</v>
      </c>
      <c r="B601">
        <v>56610896</v>
      </c>
      <c r="C601">
        <v>56610894</v>
      </c>
      <c r="D601">
        <v>47634407</v>
      </c>
      <c r="E601">
        <v>27786564</v>
      </c>
      <c r="F601">
        <v>1</v>
      </c>
      <c r="G601">
        <v>27786564</v>
      </c>
      <c r="H601">
        <v>1</v>
      </c>
      <c r="I601" t="s">
        <v>452</v>
      </c>
      <c r="J601" t="s">
        <v>3</v>
      </c>
      <c r="K601" t="s">
        <v>453</v>
      </c>
      <c r="L601">
        <v>1191</v>
      </c>
      <c r="N601">
        <v>1013</v>
      </c>
      <c r="O601" t="s">
        <v>454</v>
      </c>
      <c r="P601" t="s">
        <v>454</v>
      </c>
      <c r="Q601">
        <v>1</v>
      </c>
      <c r="X601">
        <v>14.4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1</v>
      </c>
      <c r="AF601" t="s">
        <v>22</v>
      </c>
      <c r="AG601">
        <v>15.120000000000001</v>
      </c>
      <c r="AH601">
        <v>3</v>
      </c>
      <c r="AI601">
        <v>-1</v>
      </c>
      <c r="AJ601" t="s">
        <v>3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">
      <c r="A602">
        <f>ROW(Source!A376)</f>
        <v>376</v>
      </c>
      <c r="B602">
        <v>56610897</v>
      </c>
      <c r="C602">
        <v>56610894</v>
      </c>
      <c r="D602">
        <v>47766419</v>
      </c>
      <c r="E602">
        <v>1</v>
      </c>
      <c r="F602">
        <v>1</v>
      </c>
      <c r="G602">
        <v>27786564</v>
      </c>
      <c r="H602">
        <v>2</v>
      </c>
      <c r="I602" t="s">
        <v>608</v>
      </c>
      <c r="J602" t="s">
        <v>609</v>
      </c>
      <c r="K602" t="s">
        <v>610</v>
      </c>
      <c r="L602">
        <v>1368</v>
      </c>
      <c r="N602">
        <v>1011</v>
      </c>
      <c r="O602" t="s">
        <v>458</v>
      </c>
      <c r="P602" t="s">
        <v>458</v>
      </c>
      <c r="Q602">
        <v>1</v>
      </c>
      <c r="X602">
        <v>1.66</v>
      </c>
      <c r="Y602">
        <v>0</v>
      </c>
      <c r="Z602">
        <v>120.32</v>
      </c>
      <c r="AA602">
        <v>12.62</v>
      </c>
      <c r="AB602">
        <v>0</v>
      </c>
      <c r="AC602">
        <v>0</v>
      </c>
      <c r="AD602">
        <v>1</v>
      </c>
      <c r="AE602">
        <v>0</v>
      </c>
      <c r="AF602" t="s">
        <v>22</v>
      </c>
      <c r="AG602">
        <v>1.7429999999999999</v>
      </c>
      <c r="AH602">
        <v>3</v>
      </c>
      <c r="AI602">
        <v>-1</v>
      </c>
      <c r="AJ602" t="s">
        <v>3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">
      <c r="A603">
        <f>ROW(Source!A376)</f>
        <v>376</v>
      </c>
      <c r="B603">
        <v>56610898</v>
      </c>
      <c r="C603">
        <v>56610894</v>
      </c>
      <c r="D603">
        <v>47766660</v>
      </c>
      <c r="E603">
        <v>1</v>
      </c>
      <c r="F603">
        <v>1</v>
      </c>
      <c r="G603">
        <v>27786564</v>
      </c>
      <c r="H603">
        <v>2</v>
      </c>
      <c r="I603" t="s">
        <v>611</v>
      </c>
      <c r="J603" t="s">
        <v>612</v>
      </c>
      <c r="K603" t="s">
        <v>613</v>
      </c>
      <c r="L603">
        <v>1368</v>
      </c>
      <c r="N603">
        <v>1011</v>
      </c>
      <c r="O603" t="s">
        <v>458</v>
      </c>
      <c r="P603" t="s">
        <v>458</v>
      </c>
      <c r="Q603">
        <v>1</v>
      </c>
      <c r="X603">
        <v>1.66</v>
      </c>
      <c r="Y603">
        <v>0</v>
      </c>
      <c r="Z603">
        <v>281.32</v>
      </c>
      <c r="AA603">
        <v>16.93</v>
      </c>
      <c r="AB603">
        <v>0</v>
      </c>
      <c r="AC603">
        <v>0</v>
      </c>
      <c r="AD603">
        <v>1</v>
      </c>
      <c r="AE603">
        <v>0</v>
      </c>
      <c r="AF603" t="s">
        <v>22</v>
      </c>
      <c r="AG603">
        <v>1.7429999999999999</v>
      </c>
      <c r="AH603">
        <v>3</v>
      </c>
      <c r="AI603">
        <v>-1</v>
      </c>
      <c r="AJ603" t="s">
        <v>3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">
      <c r="A604">
        <f>ROW(Source!A376)</f>
        <v>376</v>
      </c>
      <c r="B604">
        <v>56610899</v>
      </c>
      <c r="C604">
        <v>56610894</v>
      </c>
      <c r="D604">
        <v>47766605</v>
      </c>
      <c r="E604">
        <v>1</v>
      </c>
      <c r="F604">
        <v>1</v>
      </c>
      <c r="G604">
        <v>27786564</v>
      </c>
      <c r="H604">
        <v>2</v>
      </c>
      <c r="I604" t="s">
        <v>614</v>
      </c>
      <c r="J604" t="s">
        <v>615</v>
      </c>
      <c r="K604" t="s">
        <v>616</v>
      </c>
      <c r="L604">
        <v>1368</v>
      </c>
      <c r="N604">
        <v>1011</v>
      </c>
      <c r="O604" t="s">
        <v>458</v>
      </c>
      <c r="P604" t="s">
        <v>458</v>
      </c>
      <c r="Q604">
        <v>1</v>
      </c>
      <c r="X604">
        <v>0.65</v>
      </c>
      <c r="Y604">
        <v>0</v>
      </c>
      <c r="Z604">
        <v>140.38</v>
      </c>
      <c r="AA604">
        <v>12.62</v>
      </c>
      <c r="AB604">
        <v>0</v>
      </c>
      <c r="AC604">
        <v>0</v>
      </c>
      <c r="AD604">
        <v>1</v>
      </c>
      <c r="AE604">
        <v>0</v>
      </c>
      <c r="AF604" t="s">
        <v>22</v>
      </c>
      <c r="AG604">
        <v>0.68250000000000011</v>
      </c>
      <c r="AH604">
        <v>3</v>
      </c>
      <c r="AI604">
        <v>-1</v>
      </c>
      <c r="AJ604" t="s">
        <v>3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">
      <c r="A605">
        <f>ROW(Source!A376)</f>
        <v>376</v>
      </c>
      <c r="B605">
        <v>56610900</v>
      </c>
      <c r="C605">
        <v>56610894</v>
      </c>
      <c r="D605">
        <v>47766620</v>
      </c>
      <c r="E605">
        <v>1</v>
      </c>
      <c r="F605">
        <v>1</v>
      </c>
      <c r="G605">
        <v>27786564</v>
      </c>
      <c r="H605">
        <v>2</v>
      </c>
      <c r="I605" t="s">
        <v>602</v>
      </c>
      <c r="J605" t="s">
        <v>603</v>
      </c>
      <c r="K605" t="s">
        <v>604</v>
      </c>
      <c r="L605">
        <v>1368</v>
      </c>
      <c r="N605">
        <v>1011</v>
      </c>
      <c r="O605" t="s">
        <v>458</v>
      </c>
      <c r="P605" t="s">
        <v>458</v>
      </c>
      <c r="Q605">
        <v>1</v>
      </c>
      <c r="X605">
        <v>1.55</v>
      </c>
      <c r="Y605">
        <v>0</v>
      </c>
      <c r="Z605">
        <v>219.56</v>
      </c>
      <c r="AA605">
        <v>18.62</v>
      </c>
      <c r="AB605">
        <v>0</v>
      </c>
      <c r="AC605">
        <v>0</v>
      </c>
      <c r="AD605">
        <v>1</v>
      </c>
      <c r="AE605">
        <v>0</v>
      </c>
      <c r="AF605" t="s">
        <v>22</v>
      </c>
      <c r="AG605">
        <v>1.6275000000000002</v>
      </c>
      <c r="AH605">
        <v>3</v>
      </c>
      <c r="AI605">
        <v>-1</v>
      </c>
      <c r="AJ605" t="s">
        <v>3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">
      <c r="A606">
        <f>ROW(Source!A376)</f>
        <v>376</v>
      </c>
      <c r="B606">
        <v>56610901</v>
      </c>
      <c r="C606">
        <v>56610894</v>
      </c>
      <c r="D606">
        <v>47766599</v>
      </c>
      <c r="E606">
        <v>1</v>
      </c>
      <c r="F606">
        <v>1</v>
      </c>
      <c r="G606">
        <v>27786564</v>
      </c>
      <c r="H606">
        <v>2</v>
      </c>
      <c r="I606" t="s">
        <v>617</v>
      </c>
      <c r="J606" t="s">
        <v>618</v>
      </c>
      <c r="K606" t="s">
        <v>619</v>
      </c>
      <c r="L606">
        <v>1368</v>
      </c>
      <c r="N606">
        <v>1011</v>
      </c>
      <c r="O606" t="s">
        <v>458</v>
      </c>
      <c r="P606" t="s">
        <v>458</v>
      </c>
      <c r="Q606">
        <v>1</v>
      </c>
      <c r="X606">
        <v>0.52</v>
      </c>
      <c r="Y606">
        <v>0</v>
      </c>
      <c r="Z606">
        <v>180.35</v>
      </c>
      <c r="AA606">
        <v>16.93</v>
      </c>
      <c r="AB606">
        <v>0</v>
      </c>
      <c r="AC606">
        <v>0</v>
      </c>
      <c r="AD606">
        <v>1</v>
      </c>
      <c r="AE606">
        <v>0</v>
      </c>
      <c r="AF606" t="s">
        <v>22</v>
      </c>
      <c r="AG606">
        <v>0.54600000000000004</v>
      </c>
      <c r="AH606">
        <v>3</v>
      </c>
      <c r="AI606">
        <v>-1</v>
      </c>
      <c r="AJ606" t="s">
        <v>3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">
      <c r="A607">
        <f>ROW(Source!A376)</f>
        <v>376</v>
      </c>
      <c r="B607">
        <v>56610902</v>
      </c>
      <c r="C607">
        <v>56610894</v>
      </c>
      <c r="D607">
        <v>30390465</v>
      </c>
      <c r="E607">
        <v>1</v>
      </c>
      <c r="F607">
        <v>1</v>
      </c>
      <c r="G607">
        <v>27786564</v>
      </c>
      <c r="H607">
        <v>3</v>
      </c>
      <c r="I607" t="s">
        <v>620</v>
      </c>
      <c r="J607" t="s">
        <v>621</v>
      </c>
      <c r="K607" t="s">
        <v>622</v>
      </c>
      <c r="L607">
        <v>1339</v>
      </c>
      <c r="N607">
        <v>1007</v>
      </c>
      <c r="O607" t="s">
        <v>85</v>
      </c>
      <c r="P607" t="s">
        <v>85</v>
      </c>
      <c r="Q607">
        <v>1</v>
      </c>
      <c r="X607">
        <v>5</v>
      </c>
      <c r="Y607">
        <v>7.07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 t="s">
        <v>3</v>
      </c>
      <c r="AG607">
        <v>5</v>
      </c>
      <c r="AH607">
        <v>3</v>
      </c>
      <c r="AI607">
        <v>-1</v>
      </c>
      <c r="AJ607" t="s">
        <v>3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">
      <c r="A608">
        <f>ROW(Source!A376)</f>
        <v>376</v>
      </c>
      <c r="B608">
        <v>56610903</v>
      </c>
      <c r="C608">
        <v>56610894</v>
      </c>
      <c r="D608">
        <v>30384156</v>
      </c>
      <c r="E608">
        <v>27786564</v>
      </c>
      <c r="F608">
        <v>1</v>
      </c>
      <c r="G608">
        <v>27786564</v>
      </c>
      <c r="H608">
        <v>3</v>
      </c>
      <c r="I608" t="s">
        <v>520</v>
      </c>
      <c r="J608" t="s">
        <v>3</v>
      </c>
      <c r="K608" t="s">
        <v>521</v>
      </c>
      <c r="L608">
        <v>1339</v>
      </c>
      <c r="N608">
        <v>1007</v>
      </c>
      <c r="O608" t="s">
        <v>85</v>
      </c>
      <c r="P608" t="s">
        <v>85</v>
      </c>
      <c r="Q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3</v>
      </c>
      <c r="AG608">
        <v>0</v>
      </c>
      <c r="AH608">
        <v>3</v>
      </c>
      <c r="AI608">
        <v>-1</v>
      </c>
      <c r="AJ608" t="s">
        <v>3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">
      <c r="A609">
        <f>ROW(Source!A379)</f>
        <v>379</v>
      </c>
      <c r="B609">
        <v>56610907</v>
      </c>
      <c r="C609">
        <v>56610905</v>
      </c>
      <c r="D609">
        <v>47634407</v>
      </c>
      <c r="E609">
        <v>27786564</v>
      </c>
      <c r="F609">
        <v>1</v>
      </c>
      <c r="G609">
        <v>27786564</v>
      </c>
      <c r="H609">
        <v>1</v>
      </c>
      <c r="I609" t="s">
        <v>452</v>
      </c>
      <c r="J609" t="s">
        <v>3</v>
      </c>
      <c r="K609" t="s">
        <v>453</v>
      </c>
      <c r="L609">
        <v>1191</v>
      </c>
      <c r="N609">
        <v>1013</v>
      </c>
      <c r="O609" t="s">
        <v>454</v>
      </c>
      <c r="P609" t="s">
        <v>454</v>
      </c>
      <c r="Q609">
        <v>1</v>
      </c>
      <c r="X609">
        <v>267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1</v>
      </c>
      <c r="AF609" t="s">
        <v>22</v>
      </c>
      <c r="AG609">
        <v>280.35000000000002</v>
      </c>
      <c r="AH609">
        <v>3</v>
      </c>
      <c r="AI609">
        <v>-1</v>
      </c>
      <c r="AJ609" t="s">
        <v>3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">
      <c r="A610">
        <f>ROW(Source!A379)</f>
        <v>379</v>
      </c>
      <c r="B610">
        <v>56610908</v>
      </c>
      <c r="C610">
        <v>56610905</v>
      </c>
      <c r="D610">
        <v>47767106</v>
      </c>
      <c r="E610">
        <v>1</v>
      </c>
      <c r="F610">
        <v>1</v>
      </c>
      <c r="G610">
        <v>27786564</v>
      </c>
      <c r="H610">
        <v>2</v>
      </c>
      <c r="I610" t="s">
        <v>455</v>
      </c>
      <c r="J610" t="s">
        <v>456</v>
      </c>
      <c r="K610" t="s">
        <v>457</v>
      </c>
      <c r="L610">
        <v>1368</v>
      </c>
      <c r="N610">
        <v>1011</v>
      </c>
      <c r="O610" t="s">
        <v>458</v>
      </c>
      <c r="P610" t="s">
        <v>458</v>
      </c>
      <c r="Q610">
        <v>1</v>
      </c>
      <c r="X610">
        <v>0.59</v>
      </c>
      <c r="Y610">
        <v>0</v>
      </c>
      <c r="Z610">
        <v>83.1</v>
      </c>
      <c r="AA610">
        <v>12.62</v>
      </c>
      <c r="AB610">
        <v>0</v>
      </c>
      <c r="AC610">
        <v>0</v>
      </c>
      <c r="AD610">
        <v>1</v>
      </c>
      <c r="AE610">
        <v>0</v>
      </c>
      <c r="AF610" t="s">
        <v>22</v>
      </c>
      <c r="AG610">
        <v>0.61949999999999994</v>
      </c>
      <c r="AH610">
        <v>3</v>
      </c>
      <c r="AI610">
        <v>-1</v>
      </c>
      <c r="AJ610" t="s">
        <v>3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">
      <c r="A611">
        <f>ROW(Source!A379)</f>
        <v>379</v>
      </c>
      <c r="B611">
        <v>56610909</v>
      </c>
      <c r="C611">
        <v>56610905</v>
      </c>
      <c r="D611">
        <v>47766454</v>
      </c>
      <c r="E611">
        <v>1</v>
      </c>
      <c r="F611">
        <v>1</v>
      </c>
      <c r="G611">
        <v>27786564</v>
      </c>
      <c r="H611">
        <v>2</v>
      </c>
      <c r="I611" t="s">
        <v>491</v>
      </c>
      <c r="J611" t="s">
        <v>492</v>
      </c>
      <c r="K611" t="s">
        <v>493</v>
      </c>
      <c r="L611">
        <v>1368</v>
      </c>
      <c r="N611">
        <v>1011</v>
      </c>
      <c r="O611" t="s">
        <v>458</v>
      </c>
      <c r="P611" t="s">
        <v>458</v>
      </c>
      <c r="Q611">
        <v>1</v>
      </c>
      <c r="X611">
        <v>0.45</v>
      </c>
      <c r="Y611">
        <v>0</v>
      </c>
      <c r="Z611">
        <v>179.17</v>
      </c>
      <c r="AA611">
        <v>16.93</v>
      </c>
      <c r="AB611">
        <v>0</v>
      </c>
      <c r="AC611">
        <v>0</v>
      </c>
      <c r="AD611">
        <v>1</v>
      </c>
      <c r="AE611">
        <v>0</v>
      </c>
      <c r="AF611" t="s">
        <v>22</v>
      </c>
      <c r="AG611">
        <v>0.47250000000000003</v>
      </c>
      <c r="AH611">
        <v>3</v>
      </c>
      <c r="AI611">
        <v>-1</v>
      </c>
      <c r="AJ611" t="s">
        <v>3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">
      <c r="A612">
        <f>ROW(Source!A379)</f>
        <v>379</v>
      </c>
      <c r="B612">
        <v>56610910</v>
      </c>
      <c r="C612">
        <v>56610905</v>
      </c>
      <c r="D612">
        <v>50545252</v>
      </c>
      <c r="E612">
        <v>1</v>
      </c>
      <c r="F612">
        <v>1</v>
      </c>
      <c r="G612">
        <v>27786564</v>
      </c>
      <c r="H612">
        <v>2</v>
      </c>
      <c r="I612" t="s">
        <v>614</v>
      </c>
      <c r="J612" t="s">
        <v>623</v>
      </c>
      <c r="K612" t="s">
        <v>616</v>
      </c>
      <c r="L612">
        <v>1368</v>
      </c>
      <c r="N612">
        <v>1011</v>
      </c>
      <c r="O612" t="s">
        <v>458</v>
      </c>
      <c r="P612" t="s">
        <v>458</v>
      </c>
      <c r="Q612">
        <v>1</v>
      </c>
      <c r="X612">
        <v>11.76</v>
      </c>
      <c r="Y612">
        <v>0</v>
      </c>
      <c r="Z612">
        <v>140.38</v>
      </c>
      <c r="AA612">
        <v>12.62</v>
      </c>
      <c r="AB612">
        <v>0</v>
      </c>
      <c r="AC612">
        <v>0</v>
      </c>
      <c r="AD612">
        <v>1</v>
      </c>
      <c r="AE612">
        <v>0</v>
      </c>
      <c r="AF612" t="s">
        <v>22</v>
      </c>
      <c r="AG612">
        <v>12.348000000000001</v>
      </c>
      <c r="AH612">
        <v>3</v>
      </c>
      <c r="AI612">
        <v>-1</v>
      </c>
      <c r="AJ612" t="s">
        <v>3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">
      <c r="A613">
        <f>ROW(Source!A379)</f>
        <v>379</v>
      </c>
      <c r="B613">
        <v>56610911</v>
      </c>
      <c r="C613">
        <v>56610905</v>
      </c>
      <c r="D613">
        <v>47766627</v>
      </c>
      <c r="E613">
        <v>1</v>
      </c>
      <c r="F613">
        <v>1</v>
      </c>
      <c r="G613">
        <v>27786564</v>
      </c>
      <c r="H613">
        <v>2</v>
      </c>
      <c r="I613" t="s">
        <v>624</v>
      </c>
      <c r="J613" t="s">
        <v>625</v>
      </c>
      <c r="K613" t="s">
        <v>626</v>
      </c>
      <c r="L613">
        <v>1368</v>
      </c>
      <c r="N613">
        <v>1011</v>
      </c>
      <c r="O613" t="s">
        <v>458</v>
      </c>
      <c r="P613" t="s">
        <v>458</v>
      </c>
      <c r="Q613">
        <v>1</v>
      </c>
      <c r="X613">
        <v>10.8</v>
      </c>
      <c r="Y613">
        <v>0</v>
      </c>
      <c r="Z613">
        <v>20.51</v>
      </c>
      <c r="AA613">
        <v>0</v>
      </c>
      <c r="AB613">
        <v>0</v>
      </c>
      <c r="AC613">
        <v>0</v>
      </c>
      <c r="AD613">
        <v>1</v>
      </c>
      <c r="AE613">
        <v>0</v>
      </c>
      <c r="AF613" t="s">
        <v>22</v>
      </c>
      <c r="AG613">
        <v>11.340000000000002</v>
      </c>
      <c r="AH613">
        <v>3</v>
      </c>
      <c r="AI613">
        <v>-1</v>
      </c>
      <c r="AJ613" t="s">
        <v>3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">
      <c r="A614">
        <f>ROW(Source!A379)</f>
        <v>379</v>
      </c>
      <c r="B614">
        <v>56610912</v>
      </c>
      <c r="C614">
        <v>56610905</v>
      </c>
      <c r="D614">
        <v>47766687</v>
      </c>
      <c r="E614">
        <v>1</v>
      </c>
      <c r="F614">
        <v>1</v>
      </c>
      <c r="G614">
        <v>27786564</v>
      </c>
      <c r="H614">
        <v>2</v>
      </c>
      <c r="I614" t="s">
        <v>627</v>
      </c>
      <c r="J614" t="s">
        <v>628</v>
      </c>
      <c r="K614" t="s">
        <v>629</v>
      </c>
      <c r="L614">
        <v>1368</v>
      </c>
      <c r="N614">
        <v>1011</v>
      </c>
      <c r="O614" t="s">
        <v>458</v>
      </c>
      <c r="P614" t="s">
        <v>458</v>
      </c>
      <c r="Q614">
        <v>1</v>
      </c>
      <c r="X614">
        <v>17.399999999999999</v>
      </c>
      <c r="Y614">
        <v>0</v>
      </c>
      <c r="Z614">
        <v>0.23</v>
      </c>
      <c r="AA614">
        <v>0</v>
      </c>
      <c r="AB614">
        <v>0</v>
      </c>
      <c r="AC614">
        <v>0</v>
      </c>
      <c r="AD614">
        <v>1</v>
      </c>
      <c r="AE614">
        <v>0</v>
      </c>
      <c r="AF614" t="s">
        <v>22</v>
      </c>
      <c r="AG614">
        <v>18.27</v>
      </c>
      <c r="AH614">
        <v>3</v>
      </c>
      <c r="AI614">
        <v>-1</v>
      </c>
      <c r="AJ614" t="s">
        <v>3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">
      <c r="A615">
        <f>ROW(Source!A379)</f>
        <v>379</v>
      </c>
      <c r="B615">
        <v>56610913</v>
      </c>
      <c r="C615">
        <v>56610905</v>
      </c>
      <c r="D615">
        <v>49868265</v>
      </c>
      <c r="E615">
        <v>1</v>
      </c>
      <c r="F615">
        <v>1</v>
      </c>
      <c r="G615">
        <v>27786564</v>
      </c>
      <c r="H615">
        <v>3</v>
      </c>
      <c r="I615" t="s">
        <v>630</v>
      </c>
      <c r="J615" t="s">
        <v>631</v>
      </c>
      <c r="K615" t="s">
        <v>632</v>
      </c>
      <c r="L615">
        <v>1327</v>
      </c>
      <c r="N615">
        <v>1005</v>
      </c>
      <c r="O615" t="s">
        <v>514</v>
      </c>
      <c r="P615" t="s">
        <v>514</v>
      </c>
      <c r="Q615">
        <v>1</v>
      </c>
      <c r="X615">
        <v>12</v>
      </c>
      <c r="Y615">
        <v>5.04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 t="s">
        <v>3</v>
      </c>
      <c r="AG615">
        <v>12</v>
      </c>
      <c r="AH615">
        <v>3</v>
      </c>
      <c r="AI615">
        <v>-1</v>
      </c>
      <c r="AJ615" t="s">
        <v>3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">
      <c r="A616">
        <f>ROW(Source!A379)</f>
        <v>379</v>
      </c>
      <c r="B616">
        <v>56610914</v>
      </c>
      <c r="C616">
        <v>56610905</v>
      </c>
      <c r="D616">
        <v>30390465</v>
      </c>
      <c r="E616">
        <v>1</v>
      </c>
      <c r="F616">
        <v>1</v>
      </c>
      <c r="G616">
        <v>27786564</v>
      </c>
      <c r="H616">
        <v>3</v>
      </c>
      <c r="I616" t="s">
        <v>620</v>
      </c>
      <c r="J616" t="s">
        <v>621</v>
      </c>
      <c r="K616" t="s">
        <v>622</v>
      </c>
      <c r="L616">
        <v>1339</v>
      </c>
      <c r="N616">
        <v>1007</v>
      </c>
      <c r="O616" t="s">
        <v>85</v>
      </c>
      <c r="P616" t="s">
        <v>85</v>
      </c>
      <c r="Q616">
        <v>1</v>
      </c>
      <c r="X616">
        <v>178</v>
      </c>
      <c r="Y616">
        <v>7.07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 t="s">
        <v>3</v>
      </c>
      <c r="AG616">
        <v>178</v>
      </c>
      <c r="AH616">
        <v>3</v>
      </c>
      <c r="AI616">
        <v>-1</v>
      </c>
      <c r="AJ616" t="s">
        <v>3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">
      <c r="A617">
        <f>ROW(Source!A379)</f>
        <v>379</v>
      </c>
      <c r="B617">
        <v>56610915</v>
      </c>
      <c r="C617">
        <v>56610905</v>
      </c>
      <c r="D617">
        <v>49868167</v>
      </c>
      <c r="E617">
        <v>1</v>
      </c>
      <c r="F617">
        <v>1</v>
      </c>
      <c r="G617">
        <v>27786564</v>
      </c>
      <c r="H617">
        <v>3</v>
      </c>
      <c r="I617" t="s">
        <v>633</v>
      </c>
      <c r="J617" t="s">
        <v>634</v>
      </c>
      <c r="K617" t="s">
        <v>635</v>
      </c>
      <c r="L617">
        <v>1348</v>
      </c>
      <c r="N617">
        <v>1009</v>
      </c>
      <c r="O617" t="s">
        <v>318</v>
      </c>
      <c r="P617" t="s">
        <v>318</v>
      </c>
      <c r="Q617">
        <v>1000</v>
      </c>
      <c r="X617">
        <v>0.09</v>
      </c>
      <c r="Y617">
        <v>3386.07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 t="s">
        <v>3</v>
      </c>
      <c r="AG617">
        <v>0.09</v>
      </c>
      <c r="AH617">
        <v>3</v>
      </c>
      <c r="AI617">
        <v>-1</v>
      </c>
      <c r="AJ617" t="s">
        <v>3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">
      <c r="A618">
        <f>ROW(Source!A379)</f>
        <v>379</v>
      </c>
      <c r="B618">
        <v>56610916</v>
      </c>
      <c r="C618">
        <v>56610905</v>
      </c>
      <c r="D618">
        <v>49108184</v>
      </c>
      <c r="E618">
        <v>1</v>
      </c>
      <c r="F618">
        <v>1</v>
      </c>
      <c r="G618">
        <v>27786564</v>
      </c>
      <c r="H618">
        <v>3</v>
      </c>
      <c r="I618" t="s">
        <v>83</v>
      </c>
      <c r="J618" t="s">
        <v>86</v>
      </c>
      <c r="K618" t="s">
        <v>84</v>
      </c>
      <c r="L618">
        <v>1339</v>
      </c>
      <c r="N618">
        <v>1007</v>
      </c>
      <c r="O618" t="s">
        <v>85</v>
      </c>
      <c r="P618" t="s">
        <v>85</v>
      </c>
      <c r="Q618">
        <v>1</v>
      </c>
      <c r="X618">
        <v>40</v>
      </c>
      <c r="Y618">
        <v>104.99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 t="s">
        <v>3</v>
      </c>
      <c r="AG618">
        <v>40</v>
      </c>
      <c r="AH618">
        <v>3</v>
      </c>
      <c r="AI618">
        <v>-1</v>
      </c>
      <c r="AJ618" t="s">
        <v>3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">
      <c r="A619">
        <f>ROW(Source!A379)</f>
        <v>379</v>
      </c>
      <c r="B619">
        <v>56610917</v>
      </c>
      <c r="C619">
        <v>56610905</v>
      </c>
      <c r="D619">
        <v>46727938</v>
      </c>
      <c r="E619">
        <v>1</v>
      </c>
      <c r="F619">
        <v>1</v>
      </c>
      <c r="G619">
        <v>27786564</v>
      </c>
      <c r="H619">
        <v>3</v>
      </c>
      <c r="I619" t="s">
        <v>636</v>
      </c>
      <c r="J619" t="s">
        <v>637</v>
      </c>
      <c r="K619" t="s">
        <v>638</v>
      </c>
      <c r="L619">
        <v>1327</v>
      </c>
      <c r="N619">
        <v>1005</v>
      </c>
      <c r="O619" t="s">
        <v>514</v>
      </c>
      <c r="P619" t="s">
        <v>514</v>
      </c>
      <c r="Q619">
        <v>1</v>
      </c>
      <c r="X619">
        <v>10.199999999999999</v>
      </c>
      <c r="Y619">
        <v>90.15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  <c r="AF619" t="s">
        <v>3</v>
      </c>
      <c r="AG619">
        <v>10.199999999999999</v>
      </c>
      <c r="AH619">
        <v>3</v>
      </c>
      <c r="AI619">
        <v>-1</v>
      </c>
      <c r="AJ619" t="s">
        <v>3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">
      <c r="A620">
        <f>ROW(Source!A379)</f>
        <v>379</v>
      </c>
      <c r="B620">
        <v>56610918</v>
      </c>
      <c r="C620">
        <v>56610905</v>
      </c>
      <c r="D620">
        <v>30385148</v>
      </c>
      <c r="E620">
        <v>27786564</v>
      </c>
      <c r="F620">
        <v>1</v>
      </c>
      <c r="G620">
        <v>27786564</v>
      </c>
      <c r="H620">
        <v>3</v>
      </c>
      <c r="I620" t="s">
        <v>639</v>
      </c>
      <c r="J620" t="s">
        <v>3</v>
      </c>
      <c r="K620" t="s">
        <v>640</v>
      </c>
      <c r="L620">
        <v>1339</v>
      </c>
      <c r="N620">
        <v>1007</v>
      </c>
      <c r="O620" t="s">
        <v>85</v>
      </c>
      <c r="P620" t="s">
        <v>85</v>
      </c>
      <c r="Q620">
        <v>1</v>
      </c>
      <c r="X620">
        <v>162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3</v>
      </c>
      <c r="AG620">
        <v>162</v>
      </c>
      <c r="AH620">
        <v>3</v>
      </c>
      <c r="AI620">
        <v>-1</v>
      </c>
      <c r="AJ620" t="s">
        <v>3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">
      <c r="A621">
        <f>ROW(Source!A380)</f>
        <v>380</v>
      </c>
      <c r="B621">
        <v>56610907</v>
      </c>
      <c r="C621">
        <v>56610905</v>
      </c>
      <c r="D621">
        <v>47634407</v>
      </c>
      <c r="E621">
        <v>27786564</v>
      </c>
      <c r="F621">
        <v>1</v>
      </c>
      <c r="G621">
        <v>27786564</v>
      </c>
      <c r="H621">
        <v>1</v>
      </c>
      <c r="I621" t="s">
        <v>452</v>
      </c>
      <c r="J621" t="s">
        <v>3</v>
      </c>
      <c r="K621" t="s">
        <v>453</v>
      </c>
      <c r="L621">
        <v>1191</v>
      </c>
      <c r="N621">
        <v>1013</v>
      </c>
      <c r="O621" t="s">
        <v>454</v>
      </c>
      <c r="P621" t="s">
        <v>454</v>
      </c>
      <c r="Q621">
        <v>1</v>
      </c>
      <c r="X621">
        <v>267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1</v>
      </c>
      <c r="AF621" t="s">
        <v>22</v>
      </c>
      <c r="AG621">
        <v>280.35000000000002</v>
      </c>
      <c r="AH621">
        <v>3</v>
      </c>
      <c r="AI621">
        <v>-1</v>
      </c>
      <c r="AJ621" t="s">
        <v>3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">
      <c r="A622">
        <f>ROW(Source!A380)</f>
        <v>380</v>
      </c>
      <c r="B622">
        <v>56610908</v>
      </c>
      <c r="C622">
        <v>56610905</v>
      </c>
      <c r="D622">
        <v>47767106</v>
      </c>
      <c r="E622">
        <v>1</v>
      </c>
      <c r="F622">
        <v>1</v>
      </c>
      <c r="G622">
        <v>27786564</v>
      </c>
      <c r="H622">
        <v>2</v>
      </c>
      <c r="I622" t="s">
        <v>455</v>
      </c>
      <c r="J622" t="s">
        <v>456</v>
      </c>
      <c r="K622" t="s">
        <v>457</v>
      </c>
      <c r="L622">
        <v>1368</v>
      </c>
      <c r="N622">
        <v>1011</v>
      </c>
      <c r="O622" t="s">
        <v>458</v>
      </c>
      <c r="P622" t="s">
        <v>458</v>
      </c>
      <c r="Q622">
        <v>1</v>
      </c>
      <c r="X622">
        <v>0.59</v>
      </c>
      <c r="Y622">
        <v>0</v>
      </c>
      <c r="Z622">
        <v>83.1</v>
      </c>
      <c r="AA622">
        <v>12.62</v>
      </c>
      <c r="AB622">
        <v>0</v>
      </c>
      <c r="AC622">
        <v>0</v>
      </c>
      <c r="AD622">
        <v>1</v>
      </c>
      <c r="AE622">
        <v>0</v>
      </c>
      <c r="AF622" t="s">
        <v>22</v>
      </c>
      <c r="AG622">
        <v>0.61949999999999994</v>
      </c>
      <c r="AH622">
        <v>3</v>
      </c>
      <c r="AI622">
        <v>-1</v>
      </c>
      <c r="AJ622" t="s">
        <v>3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">
      <c r="A623">
        <f>ROW(Source!A380)</f>
        <v>380</v>
      </c>
      <c r="B623">
        <v>56610909</v>
      </c>
      <c r="C623">
        <v>56610905</v>
      </c>
      <c r="D623">
        <v>47766454</v>
      </c>
      <c r="E623">
        <v>1</v>
      </c>
      <c r="F623">
        <v>1</v>
      </c>
      <c r="G623">
        <v>27786564</v>
      </c>
      <c r="H623">
        <v>2</v>
      </c>
      <c r="I623" t="s">
        <v>491</v>
      </c>
      <c r="J623" t="s">
        <v>492</v>
      </c>
      <c r="K623" t="s">
        <v>493</v>
      </c>
      <c r="L623">
        <v>1368</v>
      </c>
      <c r="N623">
        <v>1011</v>
      </c>
      <c r="O623" t="s">
        <v>458</v>
      </c>
      <c r="P623" t="s">
        <v>458</v>
      </c>
      <c r="Q623">
        <v>1</v>
      </c>
      <c r="X623">
        <v>0.45</v>
      </c>
      <c r="Y623">
        <v>0</v>
      </c>
      <c r="Z623">
        <v>179.17</v>
      </c>
      <c r="AA623">
        <v>16.93</v>
      </c>
      <c r="AB623">
        <v>0</v>
      </c>
      <c r="AC623">
        <v>0</v>
      </c>
      <c r="AD623">
        <v>1</v>
      </c>
      <c r="AE623">
        <v>0</v>
      </c>
      <c r="AF623" t="s">
        <v>22</v>
      </c>
      <c r="AG623">
        <v>0.47250000000000003</v>
      </c>
      <c r="AH623">
        <v>3</v>
      </c>
      <c r="AI623">
        <v>-1</v>
      </c>
      <c r="AJ623" t="s">
        <v>3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">
      <c r="A624">
        <f>ROW(Source!A380)</f>
        <v>380</v>
      </c>
      <c r="B624">
        <v>56610910</v>
      </c>
      <c r="C624">
        <v>56610905</v>
      </c>
      <c r="D624">
        <v>50545252</v>
      </c>
      <c r="E624">
        <v>1</v>
      </c>
      <c r="F624">
        <v>1</v>
      </c>
      <c r="G624">
        <v>27786564</v>
      </c>
      <c r="H624">
        <v>2</v>
      </c>
      <c r="I624" t="s">
        <v>614</v>
      </c>
      <c r="J624" t="s">
        <v>623</v>
      </c>
      <c r="K624" t="s">
        <v>616</v>
      </c>
      <c r="L624">
        <v>1368</v>
      </c>
      <c r="N624">
        <v>1011</v>
      </c>
      <c r="O624" t="s">
        <v>458</v>
      </c>
      <c r="P624" t="s">
        <v>458</v>
      </c>
      <c r="Q624">
        <v>1</v>
      </c>
      <c r="X624">
        <v>11.76</v>
      </c>
      <c r="Y624">
        <v>0</v>
      </c>
      <c r="Z624">
        <v>140.38</v>
      </c>
      <c r="AA624">
        <v>12.62</v>
      </c>
      <c r="AB624">
        <v>0</v>
      </c>
      <c r="AC624">
        <v>0</v>
      </c>
      <c r="AD624">
        <v>1</v>
      </c>
      <c r="AE624">
        <v>0</v>
      </c>
      <c r="AF624" t="s">
        <v>22</v>
      </c>
      <c r="AG624">
        <v>12.348000000000001</v>
      </c>
      <c r="AH624">
        <v>3</v>
      </c>
      <c r="AI624">
        <v>-1</v>
      </c>
      <c r="AJ624" t="s">
        <v>3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">
      <c r="A625">
        <f>ROW(Source!A380)</f>
        <v>380</v>
      </c>
      <c r="B625">
        <v>56610911</v>
      </c>
      <c r="C625">
        <v>56610905</v>
      </c>
      <c r="D625">
        <v>47766627</v>
      </c>
      <c r="E625">
        <v>1</v>
      </c>
      <c r="F625">
        <v>1</v>
      </c>
      <c r="G625">
        <v>27786564</v>
      </c>
      <c r="H625">
        <v>2</v>
      </c>
      <c r="I625" t="s">
        <v>624</v>
      </c>
      <c r="J625" t="s">
        <v>625</v>
      </c>
      <c r="K625" t="s">
        <v>626</v>
      </c>
      <c r="L625">
        <v>1368</v>
      </c>
      <c r="N625">
        <v>1011</v>
      </c>
      <c r="O625" t="s">
        <v>458</v>
      </c>
      <c r="P625" t="s">
        <v>458</v>
      </c>
      <c r="Q625">
        <v>1</v>
      </c>
      <c r="X625">
        <v>10.8</v>
      </c>
      <c r="Y625">
        <v>0</v>
      </c>
      <c r="Z625">
        <v>20.51</v>
      </c>
      <c r="AA625">
        <v>0</v>
      </c>
      <c r="AB625">
        <v>0</v>
      </c>
      <c r="AC625">
        <v>0</v>
      </c>
      <c r="AD625">
        <v>1</v>
      </c>
      <c r="AE625">
        <v>0</v>
      </c>
      <c r="AF625" t="s">
        <v>22</v>
      </c>
      <c r="AG625">
        <v>11.340000000000002</v>
      </c>
      <c r="AH625">
        <v>3</v>
      </c>
      <c r="AI625">
        <v>-1</v>
      </c>
      <c r="AJ625" t="s">
        <v>3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">
      <c r="A626">
        <f>ROW(Source!A380)</f>
        <v>380</v>
      </c>
      <c r="B626">
        <v>56610912</v>
      </c>
      <c r="C626">
        <v>56610905</v>
      </c>
      <c r="D626">
        <v>47766687</v>
      </c>
      <c r="E626">
        <v>1</v>
      </c>
      <c r="F626">
        <v>1</v>
      </c>
      <c r="G626">
        <v>27786564</v>
      </c>
      <c r="H626">
        <v>2</v>
      </c>
      <c r="I626" t="s">
        <v>627</v>
      </c>
      <c r="J626" t="s">
        <v>628</v>
      </c>
      <c r="K626" t="s">
        <v>629</v>
      </c>
      <c r="L626">
        <v>1368</v>
      </c>
      <c r="N626">
        <v>1011</v>
      </c>
      <c r="O626" t="s">
        <v>458</v>
      </c>
      <c r="P626" t="s">
        <v>458</v>
      </c>
      <c r="Q626">
        <v>1</v>
      </c>
      <c r="X626">
        <v>17.399999999999999</v>
      </c>
      <c r="Y626">
        <v>0</v>
      </c>
      <c r="Z626">
        <v>0.23</v>
      </c>
      <c r="AA626">
        <v>0</v>
      </c>
      <c r="AB626">
        <v>0</v>
      </c>
      <c r="AC626">
        <v>0</v>
      </c>
      <c r="AD626">
        <v>1</v>
      </c>
      <c r="AE626">
        <v>0</v>
      </c>
      <c r="AF626" t="s">
        <v>22</v>
      </c>
      <c r="AG626">
        <v>18.27</v>
      </c>
      <c r="AH626">
        <v>3</v>
      </c>
      <c r="AI626">
        <v>-1</v>
      </c>
      <c r="AJ626" t="s">
        <v>3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">
      <c r="A627">
        <f>ROW(Source!A380)</f>
        <v>380</v>
      </c>
      <c r="B627">
        <v>56610913</v>
      </c>
      <c r="C627">
        <v>56610905</v>
      </c>
      <c r="D627">
        <v>49868265</v>
      </c>
      <c r="E627">
        <v>1</v>
      </c>
      <c r="F627">
        <v>1</v>
      </c>
      <c r="G627">
        <v>27786564</v>
      </c>
      <c r="H627">
        <v>3</v>
      </c>
      <c r="I627" t="s">
        <v>630</v>
      </c>
      <c r="J627" t="s">
        <v>631</v>
      </c>
      <c r="K627" t="s">
        <v>632</v>
      </c>
      <c r="L627">
        <v>1327</v>
      </c>
      <c r="N627">
        <v>1005</v>
      </c>
      <c r="O627" t="s">
        <v>514</v>
      </c>
      <c r="P627" t="s">
        <v>514</v>
      </c>
      <c r="Q627">
        <v>1</v>
      </c>
      <c r="X627">
        <v>12</v>
      </c>
      <c r="Y627">
        <v>5.04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0</v>
      </c>
      <c r="AF627" t="s">
        <v>3</v>
      </c>
      <c r="AG627">
        <v>12</v>
      </c>
      <c r="AH627">
        <v>3</v>
      </c>
      <c r="AI627">
        <v>-1</v>
      </c>
      <c r="AJ627" t="s">
        <v>3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">
      <c r="A628">
        <f>ROW(Source!A380)</f>
        <v>380</v>
      </c>
      <c r="B628">
        <v>56610914</v>
      </c>
      <c r="C628">
        <v>56610905</v>
      </c>
      <c r="D628">
        <v>30390465</v>
      </c>
      <c r="E628">
        <v>1</v>
      </c>
      <c r="F628">
        <v>1</v>
      </c>
      <c r="G628">
        <v>27786564</v>
      </c>
      <c r="H628">
        <v>3</v>
      </c>
      <c r="I628" t="s">
        <v>620</v>
      </c>
      <c r="J628" t="s">
        <v>621</v>
      </c>
      <c r="K628" t="s">
        <v>622</v>
      </c>
      <c r="L628">
        <v>1339</v>
      </c>
      <c r="N628">
        <v>1007</v>
      </c>
      <c r="O628" t="s">
        <v>85</v>
      </c>
      <c r="P628" t="s">
        <v>85</v>
      </c>
      <c r="Q628">
        <v>1</v>
      </c>
      <c r="X628">
        <v>178</v>
      </c>
      <c r="Y628">
        <v>7.07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 t="s">
        <v>3</v>
      </c>
      <c r="AG628">
        <v>178</v>
      </c>
      <c r="AH628">
        <v>3</v>
      </c>
      <c r="AI628">
        <v>-1</v>
      </c>
      <c r="AJ628" t="s">
        <v>3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">
      <c r="A629">
        <f>ROW(Source!A380)</f>
        <v>380</v>
      </c>
      <c r="B629">
        <v>56610915</v>
      </c>
      <c r="C629">
        <v>56610905</v>
      </c>
      <c r="D629">
        <v>49868167</v>
      </c>
      <c r="E629">
        <v>1</v>
      </c>
      <c r="F629">
        <v>1</v>
      </c>
      <c r="G629">
        <v>27786564</v>
      </c>
      <c r="H629">
        <v>3</v>
      </c>
      <c r="I629" t="s">
        <v>633</v>
      </c>
      <c r="J629" t="s">
        <v>634</v>
      </c>
      <c r="K629" t="s">
        <v>635</v>
      </c>
      <c r="L629">
        <v>1348</v>
      </c>
      <c r="N629">
        <v>1009</v>
      </c>
      <c r="O629" t="s">
        <v>318</v>
      </c>
      <c r="P629" t="s">
        <v>318</v>
      </c>
      <c r="Q629">
        <v>1000</v>
      </c>
      <c r="X629">
        <v>0.09</v>
      </c>
      <c r="Y629">
        <v>3386.07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 t="s">
        <v>3</v>
      </c>
      <c r="AG629">
        <v>0.09</v>
      </c>
      <c r="AH629">
        <v>3</v>
      </c>
      <c r="AI629">
        <v>-1</v>
      </c>
      <c r="AJ629" t="s">
        <v>3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">
      <c r="A630">
        <f>ROW(Source!A380)</f>
        <v>380</v>
      </c>
      <c r="B630">
        <v>56610916</v>
      </c>
      <c r="C630">
        <v>56610905</v>
      </c>
      <c r="D630">
        <v>49108184</v>
      </c>
      <c r="E630">
        <v>1</v>
      </c>
      <c r="F630">
        <v>1</v>
      </c>
      <c r="G630">
        <v>27786564</v>
      </c>
      <c r="H630">
        <v>3</v>
      </c>
      <c r="I630" t="s">
        <v>83</v>
      </c>
      <c r="J630" t="s">
        <v>86</v>
      </c>
      <c r="K630" t="s">
        <v>84</v>
      </c>
      <c r="L630">
        <v>1339</v>
      </c>
      <c r="N630">
        <v>1007</v>
      </c>
      <c r="O630" t="s">
        <v>85</v>
      </c>
      <c r="P630" t="s">
        <v>85</v>
      </c>
      <c r="Q630">
        <v>1</v>
      </c>
      <c r="X630">
        <v>40</v>
      </c>
      <c r="Y630">
        <v>104.99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 t="s">
        <v>3</v>
      </c>
      <c r="AG630">
        <v>40</v>
      </c>
      <c r="AH630">
        <v>3</v>
      </c>
      <c r="AI630">
        <v>-1</v>
      </c>
      <c r="AJ630" t="s">
        <v>3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">
      <c r="A631">
        <f>ROW(Source!A380)</f>
        <v>380</v>
      </c>
      <c r="B631">
        <v>56610917</v>
      </c>
      <c r="C631">
        <v>56610905</v>
      </c>
      <c r="D631">
        <v>46727938</v>
      </c>
      <c r="E631">
        <v>1</v>
      </c>
      <c r="F631">
        <v>1</v>
      </c>
      <c r="G631">
        <v>27786564</v>
      </c>
      <c r="H631">
        <v>3</v>
      </c>
      <c r="I631" t="s">
        <v>636</v>
      </c>
      <c r="J631" t="s">
        <v>637</v>
      </c>
      <c r="K631" t="s">
        <v>638</v>
      </c>
      <c r="L631">
        <v>1327</v>
      </c>
      <c r="N631">
        <v>1005</v>
      </c>
      <c r="O631" t="s">
        <v>514</v>
      </c>
      <c r="P631" t="s">
        <v>514</v>
      </c>
      <c r="Q631">
        <v>1</v>
      </c>
      <c r="X631">
        <v>10.199999999999999</v>
      </c>
      <c r="Y631">
        <v>90.15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  <c r="AF631" t="s">
        <v>3</v>
      </c>
      <c r="AG631">
        <v>10.199999999999999</v>
      </c>
      <c r="AH631">
        <v>3</v>
      </c>
      <c r="AI631">
        <v>-1</v>
      </c>
      <c r="AJ631" t="s">
        <v>3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">
      <c r="A632">
        <f>ROW(Source!A380)</f>
        <v>380</v>
      </c>
      <c r="B632">
        <v>56610918</v>
      </c>
      <c r="C632">
        <v>56610905</v>
      </c>
      <c r="D632">
        <v>30385148</v>
      </c>
      <c r="E632">
        <v>27786564</v>
      </c>
      <c r="F632">
        <v>1</v>
      </c>
      <c r="G632">
        <v>27786564</v>
      </c>
      <c r="H632">
        <v>3</v>
      </c>
      <c r="I632" t="s">
        <v>639</v>
      </c>
      <c r="J632" t="s">
        <v>3</v>
      </c>
      <c r="K632" t="s">
        <v>640</v>
      </c>
      <c r="L632">
        <v>1339</v>
      </c>
      <c r="N632">
        <v>1007</v>
      </c>
      <c r="O632" t="s">
        <v>85</v>
      </c>
      <c r="P632" t="s">
        <v>85</v>
      </c>
      <c r="Q632">
        <v>1</v>
      </c>
      <c r="X632">
        <v>162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 t="s">
        <v>3</v>
      </c>
      <c r="AG632">
        <v>162</v>
      </c>
      <c r="AH632">
        <v>3</v>
      </c>
      <c r="AI632">
        <v>-1</v>
      </c>
      <c r="AJ632" t="s">
        <v>3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">
      <c r="A633">
        <f>ROW(Source!A383)</f>
        <v>383</v>
      </c>
      <c r="B633">
        <v>56610922</v>
      </c>
      <c r="C633">
        <v>56610920</v>
      </c>
      <c r="D633">
        <v>47634407</v>
      </c>
      <c r="E633">
        <v>27786564</v>
      </c>
      <c r="F633">
        <v>1</v>
      </c>
      <c r="G633">
        <v>27786564</v>
      </c>
      <c r="H633">
        <v>1</v>
      </c>
      <c r="I633" t="s">
        <v>452</v>
      </c>
      <c r="J633" t="s">
        <v>3</v>
      </c>
      <c r="K633" t="s">
        <v>453</v>
      </c>
      <c r="L633">
        <v>1191</v>
      </c>
      <c r="N633">
        <v>1013</v>
      </c>
      <c r="O633" t="s">
        <v>454</v>
      </c>
      <c r="P633" t="s">
        <v>454</v>
      </c>
      <c r="Q633">
        <v>1</v>
      </c>
      <c r="X633">
        <v>5.17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1</v>
      </c>
      <c r="AF633" t="s">
        <v>22</v>
      </c>
      <c r="AG633">
        <v>5.4285000000000005</v>
      </c>
      <c r="AH633">
        <v>3</v>
      </c>
      <c r="AI633">
        <v>-1</v>
      </c>
      <c r="AJ633" t="s">
        <v>3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">
      <c r="A634">
        <f>ROW(Source!A383)</f>
        <v>383</v>
      </c>
      <c r="B634">
        <v>56610923</v>
      </c>
      <c r="C634">
        <v>56610920</v>
      </c>
      <c r="D634">
        <v>30414261</v>
      </c>
      <c r="E634">
        <v>1</v>
      </c>
      <c r="F634">
        <v>1</v>
      </c>
      <c r="G634">
        <v>27786564</v>
      </c>
      <c r="H634">
        <v>3</v>
      </c>
      <c r="I634" t="s">
        <v>636</v>
      </c>
      <c r="J634" t="s">
        <v>641</v>
      </c>
      <c r="K634" t="s">
        <v>642</v>
      </c>
      <c r="L634">
        <v>1327</v>
      </c>
      <c r="N634">
        <v>1005</v>
      </c>
      <c r="O634" t="s">
        <v>514</v>
      </c>
      <c r="P634" t="s">
        <v>514</v>
      </c>
      <c r="Q634">
        <v>1</v>
      </c>
      <c r="X634">
        <v>0.65</v>
      </c>
      <c r="Y634">
        <v>90.15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 t="s">
        <v>3</v>
      </c>
      <c r="AG634">
        <v>0.65</v>
      </c>
      <c r="AH634">
        <v>3</v>
      </c>
      <c r="AI634">
        <v>-1</v>
      </c>
      <c r="AJ634" t="s">
        <v>3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">
      <c r="A635">
        <f>ROW(Source!A383)</f>
        <v>383</v>
      </c>
      <c r="B635">
        <v>56610924</v>
      </c>
      <c r="C635">
        <v>56610920</v>
      </c>
      <c r="D635">
        <v>30385148</v>
      </c>
      <c r="E635">
        <v>27786564</v>
      </c>
      <c r="F635">
        <v>1</v>
      </c>
      <c r="G635">
        <v>27786564</v>
      </c>
      <c r="H635">
        <v>3</v>
      </c>
      <c r="I635" t="s">
        <v>639</v>
      </c>
      <c r="J635" t="s">
        <v>3</v>
      </c>
      <c r="K635" t="s">
        <v>640</v>
      </c>
      <c r="L635">
        <v>1339</v>
      </c>
      <c r="N635">
        <v>1007</v>
      </c>
      <c r="O635" t="s">
        <v>85</v>
      </c>
      <c r="P635" t="s">
        <v>85</v>
      </c>
      <c r="Q635">
        <v>1</v>
      </c>
      <c r="X635">
        <v>10.199999999999999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 t="s">
        <v>3</v>
      </c>
      <c r="AG635">
        <v>10.199999999999999</v>
      </c>
      <c r="AH635">
        <v>3</v>
      </c>
      <c r="AI635">
        <v>-1</v>
      </c>
      <c r="AJ635" t="s">
        <v>3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">
      <c r="A636">
        <f>ROW(Source!A384)</f>
        <v>384</v>
      </c>
      <c r="B636">
        <v>56610922</v>
      </c>
      <c r="C636">
        <v>56610920</v>
      </c>
      <c r="D636">
        <v>47634407</v>
      </c>
      <c r="E636">
        <v>27786564</v>
      </c>
      <c r="F636">
        <v>1</v>
      </c>
      <c r="G636">
        <v>27786564</v>
      </c>
      <c r="H636">
        <v>1</v>
      </c>
      <c r="I636" t="s">
        <v>452</v>
      </c>
      <c r="J636" t="s">
        <v>3</v>
      </c>
      <c r="K636" t="s">
        <v>453</v>
      </c>
      <c r="L636">
        <v>1191</v>
      </c>
      <c r="N636">
        <v>1013</v>
      </c>
      <c r="O636" t="s">
        <v>454</v>
      </c>
      <c r="P636" t="s">
        <v>454</v>
      </c>
      <c r="Q636">
        <v>1</v>
      </c>
      <c r="X636">
        <v>5.17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1</v>
      </c>
      <c r="AF636" t="s">
        <v>22</v>
      </c>
      <c r="AG636">
        <v>5.4285000000000005</v>
      </c>
      <c r="AH636">
        <v>3</v>
      </c>
      <c r="AI636">
        <v>-1</v>
      </c>
      <c r="AJ636" t="s">
        <v>3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">
      <c r="A637">
        <f>ROW(Source!A384)</f>
        <v>384</v>
      </c>
      <c r="B637">
        <v>56610923</v>
      </c>
      <c r="C637">
        <v>56610920</v>
      </c>
      <c r="D637">
        <v>30414261</v>
      </c>
      <c r="E637">
        <v>1</v>
      </c>
      <c r="F637">
        <v>1</v>
      </c>
      <c r="G637">
        <v>27786564</v>
      </c>
      <c r="H637">
        <v>3</v>
      </c>
      <c r="I637" t="s">
        <v>636</v>
      </c>
      <c r="J637" t="s">
        <v>641</v>
      </c>
      <c r="K637" t="s">
        <v>642</v>
      </c>
      <c r="L637">
        <v>1327</v>
      </c>
      <c r="N637">
        <v>1005</v>
      </c>
      <c r="O637" t="s">
        <v>514</v>
      </c>
      <c r="P637" t="s">
        <v>514</v>
      </c>
      <c r="Q637">
        <v>1</v>
      </c>
      <c r="X637">
        <v>0.65</v>
      </c>
      <c r="Y637">
        <v>90.15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 t="s">
        <v>3</v>
      </c>
      <c r="AG637">
        <v>0.65</v>
      </c>
      <c r="AH637">
        <v>3</v>
      </c>
      <c r="AI637">
        <v>-1</v>
      </c>
      <c r="AJ637" t="s">
        <v>3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">
      <c r="A638">
        <f>ROW(Source!A384)</f>
        <v>384</v>
      </c>
      <c r="B638">
        <v>56610924</v>
      </c>
      <c r="C638">
        <v>56610920</v>
      </c>
      <c r="D638">
        <v>30385148</v>
      </c>
      <c r="E638">
        <v>27786564</v>
      </c>
      <c r="F638">
        <v>1</v>
      </c>
      <c r="G638">
        <v>27786564</v>
      </c>
      <c r="H638">
        <v>3</v>
      </c>
      <c r="I638" t="s">
        <v>639</v>
      </c>
      <c r="J638" t="s">
        <v>3</v>
      </c>
      <c r="K638" t="s">
        <v>640</v>
      </c>
      <c r="L638">
        <v>1339</v>
      </c>
      <c r="N638">
        <v>1007</v>
      </c>
      <c r="O638" t="s">
        <v>85</v>
      </c>
      <c r="P638" t="s">
        <v>85</v>
      </c>
      <c r="Q638">
        <v>1</v>
      </c>
      <c r="X638">
        <v>10.199999999999999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 t="s">
        <v>3</v>
      </c>
      <c r="AG638">
        <v>10.199999999999999</v>
      </c>
      <c r="AH638">
        <v>3</v>
      </c>
      <c r="AI638">
        <v>-1</v>
      </c>
      <c r="AJ638" t="s">
        <v>3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">
      <c r="A639">
        <f>ROW(Source!A387)</f>
        <v>387</v>
      </c>
      <c r="B639">
        <v>56610928</v>
      </c>
      <c r="C639">
        <v>56610926</v>
      </c>
      <c r="D639">
        <v>47634407</v>
      </c>
      <c r="E639">
        <v>27786564</v>
      </c>
      <c r="F639">
        <v>1</v>
      </c>
      <c r="G639">
        <v>27786564</v>
      </c>
      <c r="H639">
        <v>1</v>
      </c>
      <c r="I639" t="s">
        <v>452</v>
      </c>
      <c r="J639" t="s">
        <v>3</v>
      </c>
      <c r="K639" t="s">
        <v>453</v>
      </c>
      <c r="L639">
        <v>1191</v>
      </c>
      <c r="N639">
        <v>1013</v>
      </c>
      <c r="O639" t="s">
        <v>454</v>
      </c>
      <c r="P639" t="s">
        <v>454</v>
      </c>
      <c r="Q639">
        <v>1</v>
      </c>
      <c r="X639">
        <v>21.6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1</v>
      </c>
      <c r="AF639" t="s">
        <v>22</v>
      </c>
      <c r="AG639">
        <v>22.680000000000003</v>
      </c>
      <c r="AH639">
        <v>3</v>
      </c>
      <c r="AI639">
        <v>-1</v>
      </c>
      <c r="AJ639" t="s">
        <v>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">
      <c r="A640">
        <f>ROW(Source!A387)</f>
        <v>387</v>
      </c>
      <c r="B640">
        <v>56610929</v>
      </c>
      <c r="C640">
        <v>56610926</v>
      </c>
      <c r="D640">
        <v>47766400</v>
      </c>
      <c r="E640">
        <v>1</v>
      </c>
      <c r="F640">
        <v>1</v>
      </c>
      <c r="G640">
        <v>27786564</v>
      </c>
      <c r="H640">
        <v>2</v>
      </c>
      <c r="I640" t="s">
        <v>474</v>
      </c>
      <c r="J640" t="s">
        <v>475</v>
      </c>
      <c r="K640" t="s">
        <v>476</v>
      </c>
      <c r="L640">
        <v>1368</v>
      </c>
      <c r="N640">
        <v>1011</v>
      </c>
      <c r="O640" t="s">
        <v>458</v>
      </c>
      <c r="P640" t="s">
        <v>458</v>
      </c>
      <c r="Q640">
        <v>1</v>
      </c>
      <c r="X640">
        <v>2.35</v>
      </c>
      <c r="Y640">
        <v>0</v>
      </c>
      <c r="Z640">
        <v>145.59</v>
      </c>
      <c r="AA640">
        <v>14.54</v>
      </c>
      <c r="AB640">
        <v>0</v>
      </c>
      <c r="AC640">
        <v>0</v>
      </c>
      <c r="AD640">
        <v>1</v>
      </c>
      <c r="AE640">
        <v>0</v>
      </c>
      <c r="AF640" t="s">
        <v>22</v>
      </c>
      <c r="AG640">
        <v>2.4675000000000002</v>
      </c>
      <c r="AH640">
        <v>3</v>
      </c>
      <c r="AI640">
        <v>-1</v>
      </c>
      <c r="AJ640" t="s">
        <v>3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">
      <c r="A641">
        <f>ROW(Source!A387)</f>
        <v>387</v>
      </c>
      <c r="B641">
        <v>56610930</v>
      </c>
      <c r="C641">
        <v>56610926</v>
      </c>
      <c r="D641">
        <v>47766605</v>
      </c>
      <c r="E641">
        <v>1</v>
      </c>
      <c r="F641">
        <v>1</v>
      </c>
      <c r="G641">
        <v>27786564</v>
      </c>
      <c r="H641">
        <v>2</v>
      </c>
      <c r="I641" t="s">
        <v>614</v>
      </c>
      <c r="J641" t="s">
        <v>615</v>
      </c>
      <c r="K641" t="s">
        <v>616</v>
      </c>
      <c r="L641">
        <v>1368</v>
      </c>
      <c r="N641">
        <v>1011</v>
      </c>
      <c r="O641" t="s">
        <v>458</v>
      </c>
      <c r="P641" t="s">
        <v>458</v>
      </c>
      <c r="Q641">
        <v>1</v>
      </c>
      <c r="X641">
        <v>0.91</v>
      </c>
      <c r="Y641">
        <v>0</v>
      </c>
      <c r="Z641">
        <v>140.38</v>
      </c>
      <c r="AA641">
        <v>12.62</v>
      </c>
      <c r="AB641">
        <v>0</v>
      </c>
      <c r="AC641">
        <v>0</v>
      </c>
      <c r="AD641">
        <v>1</v>
      </c>
      <c r="AE641">
        <v>0</v>
      </c>
      <c r="AF641" t="s">
        <v>22</v>
      </c>
      <c r="AG641">
        <v>0.95550000000000013</v>
      </c>
      <c r="AH641">
        <v>3</v>
      </c>
      <c r="AI641">
        <v>-1</v>
      </c>
      <c r="AJ641" t="s">
        <v>3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">
      <c r="A642">
        <f>ROW(Source!A387)</f>
        <v>387</v>
      </c>
      <c r="B642">
        <v>56610931</v>
      </c>
      <c r="C642">
        <v>56610926</v>
      </c>
      <c r="D642">
        <v>47766595</v>
      </c>
      <c r="E642">
        <v>1</v>
      </c>
      <c r="F642">
        <v>1</v>
      </c>
      <c r="G642">
        <v>27786564</v>
      </c>
      <c r="H642">
        <v>2</v>
      </c>
      <c r="I642" t="s">
        <v>649</v>
      </c>
      <c r="J642" t="s">
        <v>650</v>
      </c>
      <c r="K642" t="s">
        <v>651</v>
      </c>
      <c r="L642">
        <v>1368</v>
      </c>
      <c r="N642">
        <v>1011</v>
      </c>
      <c r="O642" t="s">
        <v>458</v>
      </c>
      <c r="P642" t="s">
        <v>458</v>
      </c>
      <c r="Q642">
        <v>1</v>
      </c>
      <c r="X642">
        <v>7.17</v>
      </c>
      <c r="Y642">
        <v>0</v>
      </c>
      <c r="Z642">
        <v>163.81</v>
      </c>
      <c r="AA642">
        <v>14.54</v>
      </c>
      <c r="AB642">
        <v>0</v>
      </c>
      <c r="AC642">
        <v>0</v>
      </c>
      <c r="AD642">
        <v>1</v>
      </c>
      <c r="AE642">
        <v>0</v>
      </c>
      <c r="AF642" t="s">
        <v>22</v>
      </c>
      <c r="AG642">
        <v>7.5285000000000002</v>
      </c>
      <c r="AH642">
        <v>3</v>
      </c>
      <c r="AI642">
        <v>-1</v>
      </c>
      <c r="AJ642" t="s">
        <v>3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">
      <c r="A643">
        <f>ROW(Source!A387)</f>
        <v>387</v>
      </c>
      <c r="B643">
        <v>56610932</v>
      </c>
      <c r="C643">
        <v>56610926</v>
      </c>
      <c r="D643">
        <v>47766596</v>
      </c>
      <c r="E643">
        <v>1</v>
      </c>
      <c r="F643">
        <v>1</v>
      </c>
      <c r="G643">
        <v>27786564</v>
      </c>
      <c r="H643">
        <v>2</v>
      </c>
      <c r="I643" t="s">
        <v>687</v>
      </c>
      <c r="J643" t="s">
        <v>688</v>
      </c>
      <c r="K643" t="s">
        <v>689</v>
      </c>
      <c r="L643">
        <v>1368</v>
      </c>
      <c r="N643">
        <v>1011</v>
      </c>
      <c r="O643" t="s">
        <v>458</v>
      </c>
      <c r="P643" t="s">
        <v>458</v>
      </c>
      <c r="Q643">
        <v>1</v>
      </c>
      <c r="X643">
        <v>14.6</v>
      </c>
      <c r="Y643">
        <v>0</v>
      </c>
      <c r="Z643">
        <v>223.17</v>
      </c>
      <c r="AA643">
        <v>14.54</v>
      </c>
      <c r="AB643">
        <v>0</v>
      </c>
      <c r="AC643">
        <v>0</v>
      </c>
      <c r="AD643">
        <v>1</v>
      </c>
      <c r="AE643">
        <v>0</v>
      </c>
      <c r="AF643" t="s">
        <v>22</v>
      </c>
      <c r="AG643">
        <v>15.33</v>
      </c>
      <c r="AH643">
        <v>3</v>
      </c>
      <c r="AI643">
        <v>-1</v>
      </c>
      <c r="AJ643" t="s">
        <v>3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">
      <c r="A644">
        <f>ROW(Source!A387)</f>
        <v>387</v>
      </c>
      <c r="B644">
        <v>56610933</v>
      </c>
      <c r="C644">
        <v>56610926</v>
      </c>
      <c r="D644">
        <v>47766620</v>
      </c>
      <c r="E644">
        <v>1</v>
      </c>
      <c r="F644">
        <v>1</v>
      </c>
      <c r="G644">
        <v>27786564</v>
      </c>
      <c r="H644">
        <v>2</v>
      </c>
      <c r="I644" t="s">
        <v>602</v>
      </c>
      <c r="J644" t="s">
        <v>603</v>
      </c>
      <c r="K644" t="s">
        <v>604</v>
      </c>
      <c r="L644">
        <v>1368</v>
      </c>
      <c r="N644">
        <v>1011</v>
      </c>
      <c r="O644" t="s">
        <v>458</v>
      </c>
      <c r="P644" t="s">
        <v>458</v>
      </c>
      <c r="Q644">
        <v>1</v>
      </c>
      <c r="X644">
        <v>1.79</v>
      </c>
      <c r="Y644">
        <v>0</v>
      </c>
      <c r="Z644">
        <v>219.56</v>
      </c>
      <c r="AA644">
        <v>18.62</v>
      </c>
      <c r="AB644">
        <v>0</v>
      </c>
      <c r="AC644">
        <v>0</v>
      </c>
      <c r="AD644">
        <v>1</v>
      </c>
      <c r="AE644">
        <v>0</v>
      </c>
      <c r="AF644" t="s">
        <v>22</v>
      </c>
      <c r="AG644">
        <v>1.8795000000000002</v>
      </c>
      <c r="AH644">
        <v>3</v>
      </c>
      <c r="AI644">
        <v>-1</v>
      </c>
      <c r="AJ644" t="s">
        <v>3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">
      <c r="A645">
        <f>ROW(Source!A387)</f>
        <v>387</v>
      </c>
      <c r="B645">
        <v>56610934</v>
      </c>
      <c r="C645">
        <v>56610926</v>
      </c>
      <c r="D645">
        <v>47766599</v>
      </c>
      <c r="E645">
        <v>1</v>
      </c>
      <c r="F645">
        <v>1</v>
      </c>
      <c r="G645">
        <v>27786564</v>
      </c>
      <c r="H645">
        <v>2</v>
      </c>
      <c r="I645" t="s">
        <v>617</v>
      </c>
      <c r="J645" t="s">
        <v>618</v>
      </c>
      <c r="K645" t="s">
        <v>619</v>
      </c>
      <c r="L645">
        <v>1368</v>
      </c>
      <c r="N645">
        <v>1011</v>
      </c>
      <c r="O645" t="s">
        <v>458</v>
      </c>
      <c r="P645" t="s">
        <v>458</v>
      </c>
      <c r="Q645">
        <v>1</v>
      </c>
      <c r="X645">
        <v>0.52</v>
      </c>
      <c r="Y645">
        <v>0</v>
      </c>
      <c r="Z645">
        <v>180.35</v>
      </c>
      <c r="AA645">
        <v>16.93</v>
      </c>
      <c r="AB645">
        <v>0</v>
      </c>
      <c r="AC645">
        <v>0</v>
      </c>
      <c r="AD645">
        <v>1</v>
      </c>
      <c r="AE645">
        <v>0</v>
      </c>
      <c r="AF645" t="s">
        <v>22</v>
      </c>
      <c r="AG645">
        <v>0.54600000000000004</v>
      </c>
      <c r="AH645">
        <v>3</v>
      </c>
      <c r="AI645">
        <v>-1</v>
      </c>
      <c r="AJ645" t="s">
        <v>3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">
      <c r="A646">
        <f>ROW(Source!A387)</f>
        <v>387</v>
      </c>
      <c r="B646">
        <v>56610935</v>
      </c>
      <c r="C646">
        <v>56610926</v>
      </c>
      <c r="D646">
        <v>30390465</v>
      </c>
      <c r="E646">
        <v>1</v>
      </c>
      <c r="F646">
        <v>1</v>
      </c>
      <c r="G646">
        <v>27786564</v>
      </c>
      <c r="H646">
        <v>3</v>
      </c>
      <c r="I646" t="s">
        <v>620</v>
      </c>
      <c r="J646" t="s">
        <v>621</v>
      </c>
      <c r="K646" t="s">
        <v>622</v>
      </c>
      <c r="L646">
        <v>1339</v>
      </c>
      <c r="N646">
        <v>1007</v>
      </c>
      <c r="O646" t="s">
        <v>85</v>
      </c>
      <c r="P646" t="s">
        <v>85</v>
      </c>
      <c r="Q646">
        <v>1</v>
      </c>
      <c r="X646">
        <v>7</v>
      </c>
      <c r="Y646">
        <v>7.07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 t="s">
        <v>3</v>
      </c>
      <c r="AG646">
        <v>7</v>
      </c>
      <c r="AH646">
        <v>3</v>
      </c>
      <c r="AI646">
        <v>-1</v>
      </c>
      <c r="AJ646" t="s">
        <v>3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">
      <c r="A647">
        <f>ROW(Source!A387)</f>
        <v>387</v>
      </c>
      <c r="B647">
        <v>56610936</v>
      </c>
      <c r="C647">
        <v>56610926</v>
      </c>
      <c r="D647">
        <v>49719688</v>
      </c>
      <c r="E647">
        <v>27786564</v>
      </c>
      <c r="F647">
        <v>1</v>
      </c>
      <c r="G647">
        <v>27786564</v>
      </c>
      <c r="H647">
        <v>3</v>
      </c>
      <c r="I647" t="s">
        <v>690</v>
      </c>
      <c r="J647" t="s">
        <v>3</v>
      </c>
      <c r="K647" t="s">
        <v>691</v>
      </c>
      <c r="L647">
        <v>1339</v>
      </c>
      <c r="N647">
        <v>1007</v>
      </c>
      <c r="O647" t="s">
        <v>85</v>
      </c>
      <c r="P647" t="s">
        <v>85</v>
      </c>
      <c r="Q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3</v>
      </c>
      <c r="AG647">
        <v>0</v>
      </c>
      <c r="AH647">
        <v>3</v>
      </c>
      <c r="AI647">
        <v>-1</v>
      </c>
      <c r="AJ647" t="s">
        <v>3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">
      <c r="A648">
        <f>ROW(Source!A388)</f>
        <v>388</v>
      </c>
      <c r="B648">
        <v>56610928</v>
      </c>
      <c r="C648">
        <v>56610926</v>
      </c>
      <c r="D648">
        <v>47634407</v>
      </c>
      <c r="E648">
        <v>27786564</v>
      </c>
      <c r="F648">
        <v>1</v>
      </c>
      <c r="G648">
        <v>27786564</v>
      </c>
      <c r="H648">
        <v>1</v>
      </c>
      <c r="I648" t="s">
        <v>452</v>
      </c>
      <c r="J648" t="s">
        <v>3</v>
      </c>
      <c r="K648" t="s">
        <v>453</v>
      </c>
      <c r="L648">
        <v>1191</v>
      </c>
      <c r="N648">
        <v>1013</v>
      </c>
      <c r="O648" t="s">
        <v>454</v>
      </c>
      <c r="P648" t="s">
        <v>454</v>
      </c>
      <c r="Q648">
        <v>1</v>
      </c>
      <c r="X648">
        <v>21.6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1</v>
      </c>
      <c r="AF648" t="s">
        <v>22</v>
      </c>
      <c r="AG648">
        <v>22.680000000000003</v>
      </c>
      <c r="AH648">
        <v>3</v>
      </c>
      <c r="AI648">
        <v>-1</v>
      </c>
      <c r="AJ648" t="s">
        <v>3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">
      <c r="A649">
        <f>ROW(Source!A388)</f>
        <v>388</v>
      </c>
      <c r="B649">
        <v>56610929</v>
      </c>
      <c r="C649">
        <v>56610926</v>
      </c>
      <c r="D649">
        <v>47766400</v>
      </c>
      <c r="E649">
        <v>1</v>
      </c>
      <c r="F649">
        <v>1</v>
      </c>
      <c r="G649">
        <v>27786564</v>
      </c>
      <c r="H649">
        <v>2</v>
      </c>
      <c r="I649" t="s">
        <v>474</v>
      </c>
      <c r="J649" t="s">
        <v>475</v>
      </c>
      <c r="K649" t="s">
        <v>476</v>
      </c>
      <c r="L649">
        <v>1368</v>
      </c>
      <c r="N649">
        <v>1011</v>
      </c>
      <c r="O649" t="s">
        <v>458</v>
      </c>
      <c r="P649" t="s">
        <v>458</v>
      </c>
      <c r="Q649">
        <v>1</v>
      </c>
      <c r="X649">
        <v>2.35</v>
      </c>
      <c r="Y649">
        <v>0</v>
      </c>
      <c r="Z649">
        <v>145.59</v>
      </c>
      <c r="AA649">
        <v>14.54</v>
      </c>
      <c r="AB649">
        <v>0</v>
      </c>
      <c r="AC649">
        <v>0</v>
      </c>
      <c r="AD649">
        <v>1</v>
      </c>
      <c r="AE649">
        <v>0</v>
      </c>
      <c r="AF649" t="s">
        <v>22</v>
      </c>
      <c r="AG649">
        <v>2.4675000000000002</v>
      </c>
      <c r="AH649">
        <v>3</v>
      </c>
      <c r="AI649">
        <v>-1</v>
      </c>
      <c r="AJ649" t="s">
        <v>3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">
      <c r="A650">
        <f>ROW(Source!A388)</f>
        <v>388</v>
      </c>
      <c r="B650">
        <v>56610930</v>
      </c>
      <c r="C650">
        <v>56610926</v>
      </c>
      <c r="D650">
        <v>47766605</v>
      </c>
      <c r="E650">
        <v>1</v>
      </c>
      <c r="F650">
        <v>1</v>
      </c>
      <c r="G650">
        <v>27786564</v>
      </c>
      <c r="H650">
        <v>2</v>
      </c>
      <c r="I650" t="s">
        <v>614</v>
      </c>
      <c r="J650" t="s">
        <v>615</v>
      </c>
      <c r="K650" t="s">
        <v>616</v>
      </c>
      <c r="L650">
        <v>1368</v>
      </c>
      <c r="N650">
        <v>1011</v>
      </c>
      <c r="O650" t="s">
        <v>458</v>
      </c>
      <c r="P650" t="s">
        <v>458</v>
      </c>
      <c r="Q650">
        <v>1</v>
      </c>
      <c r="X650">
        <v>0.91</v>
      </c>
      <c r="Y650">
        <v>0</v>
      </c>
      <c r="Z650">
        <v>140.38</v>
      </c>
      <c r="AA650">
        <v>12.62</v>
      </c>
      <c r="AB650">
        <v>0</v>
      </c>
      <c r="AC650">
        <v>0</v>
      </c>
      <c r="AD650">
        <v>1</v>
      </c>
      <c r="AE650">
        <v>0</v>
      </c>
      <c r="AF650" t="s">
        <v>22</v>
      </c>
      <c r="AG650">
        <v>0.95550000000000013</v>
      </c>
      <c r="AH650">
        <v>3</v>
      </c>
      <c r="AI650">
        <v>-1</v>
      </c>
      <c r="AJ650" t="s">
        <v>3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">
      <c r="A651">
        <f>ROW(Source!A388)</f>
        <v>388</v>
      </c>
      <c r="B651">
        <v>56610931</v>
      </c>
      <c r="C651">
        <v>56610926</v>
      </c>
      <c r="D651">
        <v>47766595</v>
      </c>
      <c r="E651">
        <v>1</v>
      </c>
      <c r="F651">
        <v>1</v>
      </c>
      <c r="G651">
        <v>27786564</v>
      </c>
      <c r="H651">
        <v>2</v>
      </c>
      <c r="I651" t="s">
        <v>649</v>
      </c>
      <c r="J651" t="s">
        <v>650</v>
      </c>
      <c r="K651" t="s">
        <v>651</v>
      </c>
      <c r="L651">
        <v>1368</v>
      </c>
      <c r="N651">
        <v>1011</v>
      </c>
      <c r="O651" t="s">
        <v>458</v>
      </c>
      <c r="P651" t="s">
        <v>458</v>
      </c>
      <c r="Q651">
        <v>1</v>
      </c>
      <c r="X651">
        <v>7.17</v>
      </c>
      <c r="Y651">
        <v>0</v>
      </c>
      <c r="Z651">
        <v>163.81</v>
      </c>
      <c r="AA651">
        <v>14.54</v>
      </c>
      <c r="AB651">
        <v>0</v>
      </c>
      <c r="AC651">
        <v>0</v>
      </c>
      <c r="AD651">
        <v>1</v>
      </c>
      <c r="AE651">
        <v>0</v>
      </c>
      <c r="AF651" t="s">
        <v>22</v>
      </c>
      <c r="AG651">
        <v>7.5285000000000002</v>
      </c>
      <c r="AH651">
        <v>3</v>
      </c>
      <c r="AI651">
        <v>-1</v>
      </c>
      <c r="AJ651" t="s">
        <v>3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">
      <c r="A652">
        <f>ROW(Source!A388)</f>
        <v>388</v>
      </c>
      <c r="B652">
        <v>56610932</v>
      </c>
      <c r="C652">
        <v>56610926</v>
      </c>
      <c r="D652">
        <v>47766596</v>
      </c>
      <c r="E652">
        <v>1</v>
      </c>
      <c r="F652">
        <v>1</v>
      </c>
      <c r="G652">
        <v>27786564</v>
      </c>
      <c r="H652">
        <v>2</v>
      </c>
      <c r="I652" t="s">
        <v>687</v>
      </c>
      <c r="J652" t="s">
        <v>688</v>
      </c>
      <c r="K652" t="s">
        <v>689</v>
      </c>
      <c r="L652">
        <v>1368</v>
      </c>
      <c r="N652">
        <v>1011</v>
      </c>
      <c r="O652" t="s">
        <v>458</v>
      </c>
      <c r="P652" t="s">
        <v>458</v>
      </c>
      <c r="Q652">
        <v>1</v>
      </c>
      <c r="X652">
        <v>14.6</v>
      </c>
      <c r="Y652">
        <v>0</v>
      </c>
      <c r="Z652">
        <v>223.17</v>
      </c>
      <c r="AA652">
        <v>14.54</v>
      </c>
      <c r="AB652">
        <v>0</v>
      </c>
      <c r="AC652">
        <v>0</v>
      </c>
      <c r="AD652">
        <v>1</v>
      </c>
      <c r="AE652">
        <v>0</v>
      </c>
      <c r="AF652" t="s">
        <v>22</v>
      </c>
      <c r="AG652">
        <v>15.33</v>
      </c>
      <c r="AH652">
        <v>3</v>
      </c>
      <c r="AI652">
        <v>-1</v>
      </c>
      <c r="AJ652" t="s">
        <v>3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">
      <c r="A653">
        <f>ROW(Source!A388)</f>
        <v>388</v>
      </c>
      <c r="B653">
        <v>56610933</v>
      </c>
      <c r="C653">
        <v>56610926</v>
      </c>
      <c r="D653">
        <v>47766620</v>
      </c>
      <c r="E653">
        <v>1</v>
      </c>
      <c r="F653">
        <v>1</v>
      </c>
      <c r="G653">
        <v>27786564</v>
      </c>
      <c r="H653">
        <v>2</v>
      </c>
      <c r="I653" t="s">
        <v>602</v>
      </c>
      <c r="J653" t="s">
        <v>603</v>
      </c>
      <c r="K653" t="s">
        <v>604</v>
      </c>
      <c r="L653">
        <v>1368</v>
      </c>
      <c r="N653">
        <v>1011</v>
      </c>
      <c r="O653" t="s">
        <v>458</v>
      </c>
      <c r="P653" t="s">
        <v>458</v>
      </c>
      <c r="Q653">
        <v>1</v>
      </c>
      <c r="X653">
        <v>1.79</v>
      </c>
      <c r="Y653">
        <v>0</v>
      </c>
      <c r="Z653">
        <v>219.56</v>
      </c>
      <c r="AA653">
        <v>18.62</v>
      </c>
      <c r="AB653">
        <v>0</v>
      </c>
      <c r="AC653">
        <v>0</v>
      </c>
      <c r="AD653">
        <v>1</v>
      </c>
      <c r="AE653">
        <v>0</v>
      </c>
      <c r="AF653" t="s">
        <v>22</v>
      </c>
      <c r="AG653">
        <v>1.8795000000000002</v>
      </c>
      <c r="AH653">
        <v>3</v>
      </c>
      <c r="AI653">
        <v>-1</v>
      </c>
      <c r="AJ653" t="s">
        <v>3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">
      <c r="A654">
        <f>ROW(Source!A388)</f>
        <v>388</v>
      </c>
      <c r="B654">
        <v>56610934</v>
      </c>
      <c r="C654">
        <v>56610926</v>
      </c>
      <c r="D654">
        <v>47766599</v>
      </c>
      <c r="E654">
        <v>1</v>
      </c>
      <c r="F654">
        <v>1</v>
      </c>
      <c r="G654">
        <v>27786564</v>
      </c>
      <c r="H654">
        <v>2</v>
      </c>
      <c r="I654" t="s">
        <v>617</v>
      </c>
      <c r="J654" t="s">
        <v>618</v>
      </c>
      <c r="K654" t="s">
        <v>619</v>
      </c>
      <c r="L654">
        <v>1368</v>
      </c>
      <c r="N654">
        <v>1011</v>
      </c>
      <c r="O654" t="s">
        <v>458</v>
      </c>
      <c r="P654" t="s">
        <v>458</v>
      </c>
      <c r="Q654">
        <v>1</v>
      </c>
      <c r="X654">
        <v>0.52</v>
      </c>
      <c r="Y654">
        <v>0</v>
      </c>
      <c r="Z654">
        <v>180.35</v>
      </c>
      <c r="AA654">
        <v>16.93</v>
      </c>
      <c r="AB654">
        <v>0</v>
      </c>
      <c r="AC654">
        <v>0</v>
      </c>
      <c r="AD654">
        <v>1</v>
      </c>
      <c r="AE654">
        <v>0</v>
      </c>
      <c r="AF654" t="s">
        <v>22</v>
      </c>
      <c r="AG654">
        <v>0.54600000000000004</v>
      </c>
      <c r="AH654">
        <v>3</v>
      </c>
      <c r="AI654">
        <v>-1</v>
      </c>
      <c r="AJ654" t="s">
        <v>3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">
      <c r="A655">
        <f>ROW(Source!A388)</f>
        <v>388</v>
      </c>
      <c r="B655">
        <v>56610935</v>
      </c>
      <c r="C655">
        <v>56610926</v>
      </c>
      <c r="D655">
        <v>30390465</v>
      </c>
      <c r="E655">
        <v>1</v>
      </c>
      <c r="F655">
        <v>1</v>
      </c>
      <c r="G655">
        <v>27786564</v>
      </c>
      <c r="H655">
        <v>3</v>
      </c>
      <c r="I655" t="s">
        <v>620</v>
      </c>
      <c r="J655" t="s">
        <v>621</v>
      </c>
      <c r="K655" t="s">
        <v>622</v>
      </c>
      <c r="L655">
        <v>1339</v>
      </c>
      <c r="N655">
        <v>1007</v>
      </c>
      <c r="O655" t="s">
        <v>85</v>
      </c>
      <c r="P655" t="s">
        <v>85</v>
      </c>
      <c r="Q655">
        <v>1</v>
      </c>
      <c r="X655">
        <v>7</v>
      </c>
      <c r="Y655">
        <v>7.07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0</v>
      </c>
      <c r="AF655" t="s">
        <v>3</v>
      </c>
      <c r="AG655">
        <v>7</v>
      </c>
      <c r="AH655">
        <v>3</v>
      </c>
      <c r="AI655">
        <v>-1</v>
      </c>
      <c r="AJ655" t="s">
        <v>3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">
      <c r="A656">
        <f>ROW(Source!A388)</f>
        <v>388</v>
      </c>
      <c r="B656">
        <v>56610936</v>
      </c>
      <c r="C656">
        <v>56610926</v>
      </c>
      <c r="D656">
        <v>49719688</v>
      </c>
      <c r="E656">
        <v>27786564</v>
      </c>
      <c r="F656">
        <v>1</v>
      </c>
      <c r="G656">
        <v>27786564</v>
      </c>
      <c r="H656">
        <v>3</v>
      </c>
      <c r="I656" t="s">
        <v>690</v>
      </c>
      <c r="J656" t="s">
        <v>3</v>
      </c>
      <c r="K656" t="s">
        <v>691</v>
      </c>
      <c r="L656">
        <v>1339</v>
      </c>
      <c r="N656">
        <v>1007</v>
      </c>
      <c r="O656" t="s">
        <v>85</v>
      </c>
      <c r="P656" t="s">
        <v>85</v>
      </c>
      <c r="Q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 t="s">
        <v>3</v>
      </c>
      <c r="AG656">
        <v>0</v>
      </c>
      <c r="AH656">
        <v>3</v>
      </c>
      <c r="AI656">
        <v>-1</v>
      </c>
      <c r="AJ656" t="s">
        <v>3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2">
      <c r="A657">
        <f>ROW(Source!A391)</f>
        <v>391</v>
      </c>
      <c r="B657">
        <v>56610939</v>
      </c>
      <c r="C657">
        <v>56610938</v>
      </c>
      <c r="D657">
        <v>47634407</v>
      </c>
      <c r="E657">
        <v>27786564</v>
      </c>
      <c r="F657">
        <v>1</v>
      </c>
      <c r="G657">
        <v>27786564</v>
      </c>
      <c r="H657">
        <v>1</v>
      </c>
      <c r="I657" t="s">
        <v>452</v>
      </c>
      <c r="J657" t="s">
        <v>3</v>
      </c>
      <c r="K657" t="s">
        <v>453</v>
      </c>
      <c r="L657">
        <v>1191</v>
      </c>
      <c r="N657">
        <v>1013</v>
      </c>
      <c r="O657" t="s">
        <v>454</v>
      </c>
      <c r="P657" t="s">
        <v>454</v>
      </c>
      <c r="Q657">
        <v>1</v>
      </c>
      <c r="X657">
        <v>45.8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1</v>
      </c>
      <c r="AF657" t="s">
        <v>22</v>
      </c>
      <c r="AG657">
        <v>48.089999999999996</v>
      </c>
      <c r="AH657">
        <v>3</v>
      </c>
      <c r="AI657">
        <v>-1</v>
      </c>
      <c r="AJ657" t="s">
        <v>3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2">
      <c r="A658">
        <f>ROW(Source!A391)</f>
        <v>391</v>
      </c>
      <c r="B658">
        <v>56610940</v>
      </c>
      <c r="C658">
        <v>56610938</v>
      </c>
      <c r="D658">
        <v>47767001</v>
      </c>
      <c r="E658">
        <v>1</v>
      </c>
      <c r="F658">
        <v>1</v>
      </c>
      <c r="G658">
        <v>27786564</v>
      </c>
      <c r="H658">
        <v>2</v>
      </c>
      <c r="I658" t="s">
        <v>692</v>
      </c>
      <c r="J658" t="s">
        <v>693</v>
      </c>
      <c r="K658" t="s">
        <v>694</v>
      </c>
      <c r="L658">
        <v>1368</v>
      </c>
      <c r="N658">
        <v>1011</v>
      </c>
      <c r="O658" t="s">
        <v>458</v>
      </c>
      <c r="P658" t="s">
        <v>458</v>
      </c>
      <c r="Q658">
        <v>1</v>
      </c>
      <c r="X658">
        <v>5.62</v>
      </c>
      <c r="Y658">
        <v>0</v>
      </c>
      <c r="Z658">
        <v>9.8800000000000008</v>
      </c>
      <c r="AA658">
        <v>0</v>
      </c>
      <c r="AB658">
        <v>0</v>
      </c>
      <c r="AC658">
        <v>0</v>
      </c>
      <c r="AD658">
        <v>1</v>
      </c>
      <c r="AE658">
        <v>0</v>
      </c>
      <c r="AF658" t="s">
        <v>22</v>
      </c>
      <c r="AG658">
        <v>5.9010000000000007</v>
      </c>
      <c r="AH658">
        <v>3</v>
      </c>
      <c r="AI658">
        <v>-1</v>
      </c>
      <c r="AJ658" t="s">
        <v>3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">
      <c r="A659">
        <f>ROW(Source!A391)</f>
        <v>391</v>
      </c>
      <c r="B659">
        <v>56610941</v>
      </c>
      <c r="C659">
        <v>56610938</v>
      </c>
      <c r="D659">
        <v>47767106</v>
      </c>
      <c r="E659">
        <v>1</v>
      </c>
      <c r="F659">
        <v>1</v>
      </c>
      <c r="G659">
        <v>27786564</v>
      </c>
      <c r="H659">
        <v>2</v>
      </c>
      <c r="I659" t="s">
        <v>455</v>
      </c>
      <c r="J659" t="s">
        <v>456</v>
      </c>
      <c r="K659" t="s">
        <v>457</v>
      </c>
      <c r="L659">
        <v>1368</v>
      </c>
      <c r="N659">
        <v>1011</v>
      </c>
      <c r="O659" t="s">
        <v>458</v>
      </c>
      <c r="P659" t="s">
        <v>458</v>
      </c>
      <c r="Q659">
        <v>1</v>
      </c>
      <c r="X659">
        <v>0.51</v>
      </c>
      <c r="Y659">
        <v>0</v>
      </c>
      <c r="Z659">
        <v>83.1</v>
      </c>
      <c r="AA659">
        <v>12.62</v>
      </c>
      <c r="AB659">
        <v>0</v>
      </c>
      <c r="AC659">
        <v>0</v>
      </c>
      <c r="AD659">
        <v>1</v>
      </c>
      <c r="AE659">
        <v>0</v>
      </c>
      <c r="AF659" t="s">
        <v>22</v>
      </c>
      <c r="AG659">
        <v>0.53550000000000009</v>
      </c>
      <c r="AH659">
        <v>3</v>
      </c>
      <c r="AI659">
        <v>-1</v>
      </c>
      <c r="AJ659" t="s">
        <v>3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2">
      <c r="A660">
        <f>ROW(Source!A391)</f>
        <v>391</v>
      </c>
      <c r="B660">
        <v>56610942</v>
      </c>
      <c r="C660">
        <v>56610938</v>
      </c>
      <c r="D660">
        <v>47766454</v>
      </c>
      <c r="E660">
        <v>1</v>
      </c>
      <c r="F660">
        <v>1</v>
      </c>
      <c r="G660">
        <v>27786564</v>
      </c>
      <c r="H660">
        <v>2</v>
      </c>
      <c r="I660" t="s">
        <v>491</v>
      </c>
      <c r="J660" t="s">
        <v>492</v>
      </c>
      <c r="K660" t="s">
        <v>493</v>
      </c>
      <c r="L660">
        <v>1368</v>
      </c>
      <c r="N660">
        <v>1011</v>
      </c>
      <c r="O660" t="s">
        <v>458</v>
      </c>
      <c r="P660" t="s">
        <v>458</v>
      </c>
      <c r="Q660">
        <v>1</v>
      </c>
      <c r="X660">
        <v>0.38</v>
      </c>
      <c r="Y660">
        <v>0</v>
      </c>
      <c r="Z660">
        <v>179.17</v>
      </c>
      <c r="AA660">
        <v>16.93</v>
      </c>
      <c r="AB660">
        <v>0</v>
      </c>
      <c r="AC660">
        <v>0</v>
      </c>
      <c r="AD660">
        <v>1</v>
      </c>
      <c r="AE660">
        <v>0</v>
      </c>
      <c r="AF660" t="s">
        <v>22</v>
      </c>
      <c r="AG660">
        <v>0.39900000000000002</v>
      </c>
      <c r="AH660">
        <v>3</v>
      </c>
      <c r="AI660">
        <v>-1</v>
      </c>
      <c r="AJ660" t="s">
        <v>3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">
      <c r="A661">
        <f>ROW(Source!A391)</f>
        <v>391</v>
      </c>
      <c r="B661">
        <v>56610943</v>
      </c>
      <c r="C661">
        <v>56610938</v>
      </c>
      <c r="D661">
        <v>46725872</v>
      </c>
      <c r="E661">
        <v>1</v>
      </c>
      <c r="F661">
        <v>1</v>
      </c>
      <c r="G661">
        <v>27786564</v>
      </c>
      <c r="H661">
        <v>3</v>
      </c>
      <c r="I661" t="s">
        <v>695</v>
      </c>
      <c r="J661" t="s">
        <v>696</v>
      </c>
      <c r="K661" t="s">
        <v>697</v>
      </c>
      <c r="L661">
        <v>1339</v>
      </c>
      <c r="N661">
        <v>1007</v>
      </c>
      <c r="O661" t="s">
        <v>85</v>
      </c>
      <c r="P661" t="s">
        <v>85</v>
      </c>
      <c r="Q661">
        <v>1</v>
      </c>
      <c r="X661">
        <v>0.05</v>
      </c>
      <c r="Y661">
        <v>477.64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 t="s">
        <v>3</v>
      </c>
      <c r="AG661">
        <v>0.05</v>
      </c>
      <c r="AH661">
        <v>3</v>
      </c>
      <c r="AI661">
        <v>-1</v>
      </c>
      <c r="AJ661" t="s">
        <v>3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2">
      <c r="A662">
        <f>ROW(Source!A391)</f>
        <v>391</v>
      </c>
      <c r="B662">
        <v>56610944</v>
      </c>
      <c r="C662">
        <v>56610938</v>
      </c>
      <c r="D662">
        <v>30388172</v>
      </c>
      <c r="E662">
        <v>27786564</v>
      </c>
      <c r="F662">
        <v>1</v>
      </c>
      <c r="G662">
        <v>27786564</v>
      </c>
      <c r="H662">
        <v>3</v>
      </c>
      <c r="I662" t="s">
        <v>698</v>
      </c>
      <c r="J662" t="s">
        <v>3</v>
      </c>
      <c r="K662" t="s">
        <v>699</v>
      </c>
      <c r="L662">
        <v>1327</v>
      </c>
      <c r="N662">
        <v>1005</v>
      </c>
      <c r="O662" t="s">
        <v>514</v>
      </c>
      <c r="P662" t="s">
        <v>514</v>
      </c>
      <c r="Q662">
        <v>1</v>
      </c>
      <c r="X662">
        <v>100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 t="s">
        <v>3</v>
      </c>
      <c r="AG662">
        <v>100</v>
      </c>
      <c r="AH662">
        <v>3</v>
      </c>
      <c r="AI662">
        <v>-1</v>
      </c>
      <c r="AJ662" t="s">
        <v>3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2">
      <c r="A663">
        <f>ROW(Source!A392)</f>
        <v>392</v>
      </c>
      <c r="B663">
        <v>56610939</v>
      </c>
      <c r="C663">
        <v>56610938</v>
      </c>
      <c r="D663">
        <v>47634407</v>
      </c>
      <c r="E663">
        <v>27786564</v>
      </c>
      <c r="F663">
        <v>1</v>
      </c>
      <c r="G663">
        <v>27786564</v>
      </c>
      <c r="H663">
        <v>1</v>
      </c>
      <c r="I663" t="s">
        <v>452</v>
      </c>
      <c r="J663" t="s">
        <v>3</v>
      </c>
      <c r="K663" t="s">
        <v>453</v>
      </c>
      <c r="L663">
        <v>1191</v>
      </c>
      <c r="N663">
        <v>1013</v>
      </c>
      <c r="O663" t="s">
        <v>454</v>
      </c>
      <c r="P663" t="s">
        <v>454</v>
      </c>
      <c r="Q663">
        <v>1</v>
      </c>
      <c r="X663">
        <v>45.8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1</v>
      </c>
      <c r="AF663" t="s">
        <v>22</v>
      </c>
      <c r="AG663">
        <v>48.089999999999996</v>
      </c>
      <c r="AH663">
        <v>3</v>
      </c>
      <c r="AI663">
        <v>-1</v>
      </c>
      <c r="AJ663" t="s">
        <v>3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">
      <c r="A664">
        <f>ROW(Source!A392)</f>
        <v>392</v>
      </c>
      <c r="B664">
        <v>56610940</v>
      </c>
      <c r="C664">
        <v>56610938</v>
      </c>
      <c r="D664">
        <v>47767001</v>
      </c>
      <c r="E664">
        <v>1</v>
      </c>
      <c r="F664">
        <v>1</v>
      </c>
      <c r="G664">
        <v>27786564</v>
      </c>
      <c r="H664">
        <v>2</v>
      </c>
      <c r="I664" t="s">
        <v>692</v>
      </c>
      <c r="J664" t="s">
        <v>693</v>
      </c>
      <c r="K664" t="s">
        <v>694</v>
      </c>
      <c r="L664">
        <v>1368</v>
      </c>
      <c r="N664">
        <v>1011</v>
      </c>
      <c r="O664" t="s">
        <v>458</v>
      </c>
      <c r="P664" t="s">
        <v>458</v>
      </c>
      <c r="Q664">
        <v>1</v>
      </c>
      <c r="X664">
        <v>5.62</v>
      </c>
      <c r="Y664">
        <v>0</v>
      </c>
      <c r="Z664">
        <v>9.8800000000000008</v>
      </c>
      <c r="AA664">
        <v>0</v>
      </c>
      <c r="AB664">
        <v>0</v>
      </c>
      <c r="AC664">
        <v>0</v>
      </c>
      <c r="AD664">
        <v>1</v>
      </c>
      <c r="AE664">
        <v>0</v>
      </c>
      <c r="AF664" t="s">
        <v>22</v>
      </c>
      <c r="AG664">
        <v>5.9010000000000007</v>
      </c>
      <c r="AH664">
        <v>3</v>
      </c>
      <c r="AI664">
        <v>-1</v>
      </c>
      <c r="AJ664" t="s">
        <v>3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">
      <c r="A665">
        <f>ROW(Source!A392)</f>
        <v>392</v>
      </c>
      <c r="B665">
        <v>56610941</v>
      </c>
      <c r="C665">
        <v>56610938</v>
      </c>
      <c r="D665">
        <v>47767106</v>
      </c>
      <c r="E665">
        <v>1</v>
      </c>
      <c r="F665">
        <v>1</v>
      </c>
      <c r="G665">
        <v>27786564</v>
      </c>
      <c r="H665">
        <v>2</v>
      </c>
      <c r="I665" t="s">
        <v>455</v>
      </c>
      <c r="J665" t="s">
        <v>456</v>
      </c>
      <c r="K665" t="s">
        <v>457</v>
      </c>
      <c r="L665">
        <v>1368</v>
      </c>
      <c r="N665">
        <v>1011</v>
      </c>
      <c r="O665" t="s">
        <v>458</v>
      </c>
      <c r="P665" t="s">
        <v>458</v>
      </c>
      <c r="Q665">
        <v>1</v>
      </c>
      <c r="X665">
        <v>0.51</v>
      </c>
      <c r="Y665">
        <v>0</v>
      </c>
      <c r="Z665">
        <v>83.1</v>
      </c>
      <c r="AA665">
        <v>12.62</v>
      </c>
      <c r="AB665">
        <v>0</v>
      </c>
      <c r="AC665">
        <v>0</v>
      </c>
      <c r="AD665">
        <v>1</v>
      </c>
      <c r="AE665">
        <v>0</v>
      </c>
      <c r="AF665" t="s">
        <v>22</v>
      </c>
      <c r="AG665">
        <v>0.53550000000000009</v>
      </c>
      <c r="AH665">
        <v>3</v>
      </c>
      <c r="AI665">
        <v>-1</v>
      </c>
      <c r="AJ665" t="s">
        <v>3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">
      <c r="A666">
        <f>ROW(Source!A392)</f>
        <v>392</v>
      </c>
      <c r="B666">
        <v>56610942</v>
      </c>
      <c r="C666">
        <v>56610938</v>
      </c>
      <c r="D666">
        <v>47766454</v>
      </c>
      <c r="E666">
        <v>1</v>
      </c>
      <c r="F666">
        <v>1</v>
      </c>
      <c r="G666">
        <v>27786564</v>
      </c>
      <c r="H666">
        <v>2</v>
      </c>
      <c r="I666" t="s">
        <v>491</v>
      </c>
      <c r="J666" t="s">
        <v>492</v>
      </c>
      <c r="K666" t="s">
        <v>493</v>
      </c>
      <c r="L666">
        <v>1368</v>
      </c>
      <c r="N666">
        <v>1011</v>
      </c>
      <c r="O666" t="s">
        <v>458</v>
      </c>
      <c r="P666" t="s">
        <v>458</v>
      </c>
      <c r="Q666">
        <v>1</v>
      </c>
      <c r="X666">
        <v>0.38</v>
      </c>
      <c r="Y666">
        <v>0</v>
      </c>
      <c r="Z666">
        <v>179.17</v>
      </c>
      <c r="AA666">
        <v>16.93</v>
      </c>
      <c r="AB666">
        <v>0</v>
      </c>
      <c r="AC666">
        <v>0</v>
      </c>
      <c r="AD666">
        <v>1</v>
      </c>
      <c r="AE666">
        <v>0</v>
      </c>
      <c r="AF666" t="s">
        <v>22</v>
      </c>
      <c r="AG666">
        <v>0.39900000000000002</v>
      </c>
      <c r="AH666">
        <v>3</v>
      </c>
      <c r="AI666">
        <v>-1</v>
      </c>
      <c r="AJ666" t="s">
        <v>3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">
      <c r="A667">
        <f>ROW(Source!A392)</f>
        <v>392</v>
      </c>
      <c r="B667">
        <v>56610943</v>
      </c>
      <c r="C667">
        <v>56610938</v>
      </c>
      <c r="D667">
        <v>46725872</v>
      </c>
      <c r="E667">
        <v>1</v>
      </c>
      <c r="F667">
        <v>1</v>
      </c>
      <c r="G667">
        <v>27786564</v>
      </c>
      <c r="H667">
        <v>3</v>
      </c>
      <c r="I667" t="s">
        <v>695</v>
      </c>
      <c r="J667" t="s">
        <v>696</v>
      </c>
      <c r="K667" t="s">
        <v>697</v>
      </c>
      <c r="L667">
        <v>1339</v>
      </c>
      <c r="N667">
        <v>1007</v>
      </c>
      <c r="O667" t="s">
        <v>85</v>
      </c>
      <c r="P667" t="s">
        <v>85</v>
      </c>
      <c r="Q667">
        <v>1</v>
      </c>
      <c r="X667">
        <v>0.05</v>
      </c>
      <c r="Y667">
        <v>477.64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0</v>
      </c>
      <c r="AF667" t="s">
        <v>3</v>
      </c>
      <c r="AG667">
        <v>0.05</v>
      </c>
      <c r="AH667">
        <v>3</v>
      </c>
      <c r="AI667">
        <v>-1</v>
      </c>
      <c r="AJ667" t="s">
        <v>3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x14ac:dyDescent="0.2">
      <c r="A668">
        <f>ROW(Source!A392)</f>
        <v>392</v>
      </c>
      <c r="B668">
        <v>56610944</v>
      </c>
      <c r="C668">
        <v>56610938</v>
      </c>
      <c r="D668">
        <v>30388172</v>
      </c>
      <c r="E668">
        <v>27786564</v>
      </c>
      <c r="F668">
        <v>1</v>
      </c>
      <c r="G668">
        <v>27786564</v>
      </c>
      <c r="H668">
        <v>3</v>
      </c>
      <c r="I668" t="s">
        <v>698</v>
      </c>
      <c r="J668" t="s">
        <v>3</v>
      </c>
      <c r="K668" t="s">
        <v>699</v>
      </c>
      <c r="L668">
        <v>1327</v>
      </c>
      <c r="N668">
        <v>1005</v>
      </c>
      <c r="O668" t="s">
        <v>514</v>
      </c>
      <c r="P668" t="s">
        <v>514</v>
      </c>
      <c r="Q668">
        <v>1</v>
      </c>
      <c r="X668">
        <v>100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3</v>
      </c>
      <c r="AG668">
        <v>100</v>
      </c>
      <c r="AH668">
        <v>3</v>
      </c>
      <c r="AI668">
        <v>-1</v>
      </c>
      <c r="AJ668" t="s">
        <v>3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3372-C147-452F-A0FE-93FBC0BA0617}">
  <dimension ref="A1:U14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3</v>
      </c>
      <c r="E1" t="s">
        <v>22</v>
      </c>
      <c r="F1" t="s">
        <v>22</v>
      </c>
      <c r="G1" t="s">
        <v>22</v>
      </c>
      <c r="H1" t="s">
        <v>3</v>
      </c>
      <c r="I1" t="s">
        <v>22</v>
      </c>
      <c r="J1" t="s">
        <v>22</v>
      </c>
      <c r="K1" t="s">
        <v>3</v>
      </c>
      <c r="L1" t="s">
        <v>3</v>
      </c>
      <c r="M1" t="s">
        <v>3</v>
      </c>
      <c r="N1" t="s">
        <v>3</v>
      </c>
      <c r="O1" t="s">
        <v>22</v>
      </c>
      <c r="P1" t="s">
        <v>3</v>
      </c>
      <c r="Q1" t="s">
        <v>3</v>
      </c>
      <c r="R1" t="s">
        <v>3</v>
      </c>
      <c r="S1" t="s">
        <v>700</v>
      </c>
      <c r="T1" t="s">
        <v>707</v>
      </c>
      <c r="U1" t="s">
        <v>701</v>
      </c>
    </row>
    <row r="2" spans="1:21" x14ac:dyDescent="0.2">
      <c r="A2">
        <v>29</v>
      </c>
      <c r="B2">
        <v>1</v>
      </c>
      <c r="C2" t="s">
        <v>3</v>
      </c>
      <c r="D2" t="s">
        <v>3</v>
      </c>
      <c r="E2" t="s">
        <v>22</v>
      </c>
      <c r="F2" t="s">
        <v>22</v>
      </c>
      <c r="G2" t="s">
        <v>22</v>
      </c>
      <c r="H2" t="s">
        <v>3</v>
      </c>
      <c r="I2" t="s">
        <v>22</v>
      </c>
      <c r="J2" t="s">
        <v>22</v>
      </c>
      <c r="K2" t="s">
        <v>3</v>
      </c>
      <c r="L2" t="s">
        <v>3</v>
      </c>
      <c r="M2" t="s">
        <v>3</v>
      </c>
      <c r="N2" t="s">
        <v>3</v>
      </c>
      <c r="O2" t="s">
        <v>22</v>
      </c>
      <c r="P2" t="s">
        <v>3</v>
      </c>
      <c r="Q2" t="s">
        <v>3</v>
      </c>
      <c r="R2" t="s">
        <v>3</v>
      </c>
      <c r="S2" t="s">
        <v>700</v>
      </c>
      <c r="T2" t="s">
        <v>707</v>
      </c>
      <c r="U2" t="s">
        <v>701</v>
      </c>
    </row>
    <row r="3" spans="1:21" x14ac:dyDescent="0.2">
      <c r="A3">
        <v>30</v>
      </c>
      <c r="B3">
        <v>1</v>
      </c>
      <c r="C3" t="s">
        <v>3</v>
      </c>
      <c r="D3" t="s">
        <v>3</v>
      </c>
      <c r="E3" t="s">
        <v>22</v>
      </c>
      <c r="F3" t="s">
        <v>22</v>
      </c>
      <c r="G3" t="s">
        <v>22</v>
      </c>
      <c r="H3" t="s">
        <v>3</v>
      </c>
      <c r="I3" t="s">
        <v>22</v>
      </c>
      <c r="J3" t="s">
        <v>22</v>
      </c>
      <c r="K3" t="s">
        <v>3</v>
      </c>
      <c r="L3" t="s">
        <v>3</v>
      </c>
      <c r="M3" t="s">
        <v>3</v>
      </c>
      <c r="N3" t="s">
        <v>3</v>
      </c>
      <c r="O3" t="s">
        <v>22</v>
      </c>
      <c r="P3" t="s">
        <v>3</v>
      </c>
      <c r="Q3" t="s">
        <v>3</v>
      </c>
      <c r="R3" t="s">
        <v>3</v>
      </c>
      <c r="S3" t="s">
        <v>700</v>
      </c>
      <c r="T3" t="s">
        <v>707</v>
      </c>
      <c r="U3" t="s">
        <v>701</v>
      </c>
    </row>
    <row r="4" spans="1:21" x14ac:dyDescent="0.2">
      <c r="A4">
        <v>31</v>
      </c>
      <c r="B4">
        <v>1</v>
      </c>
      <c r="C4" t="s">
        <v>3</v>
      </c>
      <c r="D4" t="s">
        <v>3</v>
      </c>
      <c r="E4" t="s">
        <v>22</v>
      </c>
      <c r="F4" t="s">
        <v>22</v>
      </c>
      <c r="G4" t="s">
        <v>22</v>
      </c>
      <c r="H4" t="s">
        <v>3</v>
      </c>
      <c r="I4" t="s">
        <v>22</v>
      </c>
      <c r="J4" t="s">
        <v>22</v>
      </c>
      <c r="K4" t="s">
        <v>3</v>
      </c>
      <c r="L4" t="s">
        <v>3</v>
      </c>
      <c r="M4" t="s">
        <v>3</v>
      </c>
      <c r="N4" t="s">
        <v>3</v>
      </c>
      <c r="O4" t="s">
        <v>22</v>
      </c>
      <c r="P4" t="s">
        <v>3</v>
      </c>
      <c r="Q4" t="s">
        <v>3</v>
      </c>
      <c r="R4" t="s">
        <v>3</v>
      </c>
      <c r="S4" t="s">
        <v>700</v>
      </c>
      <c r="T4" t="s">
        <v>707</v>
      </c>
      <c r="U4" t="s">
        <v>701</v>
      </c>
    </row>
    <row r="5" spans="1:21" x14ac:dyDescent="0.2">
      <c r="A5">
        <v>32</v>
      </c>
      <c r="B5">
        <v>1</v>
      </c>
      <c r="C5" t="s">
        <v>3</v>
      </c>
      <c r="D5" t="s">
        <v>3</v>
      </c>
      <c r="E5" t="s">
        <v>22</v>
      </c>
      <c r="F5" t="s">
        <v>22</v>
      </c>
      <c r="G5" t="s">
        <v>22</v>
      </c>
      <c r="H5" t="s">
        <v>3</v>
      </c>
      <c r="I5" t="s">
        <v>22</v>
      </c>
      <c r="J5" t="s">
        <v>22</v>
      </c>
      <c r="K5" t="s">
        <v>3</v>
      </c>
      <c r="L5" t="s">
        <v>3</v>
      </c>
      <c r="M5" t="s">
        <v>3</v>
      </c>
      <c r="N5" t="s">
        <v>3</v>
      </c>
      <c r="O5" t="s">
        <v>22</v>
      </c>
      <c r="P5" t="s">
        <v>3</v>
      </c>
      <c r="Q5" t="s">
        <v>3</v>
      </c>
      <c r="R5" t="s">
        <v>3</v>
      </c>
      <c r="S5" t="s">
        <v>700</v>
      </c>
      <c r="T5" t="s">
        <v>707</v>
      </c>
      <c r="U5" t="s">
        <v>701</v>
      </c>
    </row>
    <row r="6" spans="1:21" x14ac:dyDescent="0.2">
      <c r="A6">
        <v>33</v>
      </c>
      <c r="B6">
        <v>1</v>
      </c>
      <c r="C6" t="s">
        <v>3</v>
      </c>
      <c r="D6" t="s">
        <v>3</v>
      </c>
      <c r="E6" t="s">
        <v>22</v>
      </c>
      <c r="F6" t="s">
        <v>22</v>
      </c>
      <c r="G6" t="s">
        <v>22</v>
      </c>
      <c r="H6" t="s">
        <v>3</v>
      </c>
      <c r="I6" t="s">
        <v>22</v>
      </c>
      <c r="J6" t="s">
        <v>22</v>
      </c>
      <c r="K6" t="s">
        <v>3</v>
      </c>
      <c r="L6" t="s">
        <v>3</v>
      </c>
      <c r="M6" t="s">
        <v>3</v>
      </c>
      <c r="N6" t="s">
        <v>3</v>
      </c>
      <c r="O6" t="s">
        <v>22</v>
      </c>
      <c r="P6" t="s">
        <v>3</v>
      </c>
      <c r="Q6" t="s">
        <v>3</v>
      </c>
      <c r="R6" t="s">
        <v>3</v>
      </c>
      <c r="S6" t="s">
        <v>700</v>
      </c>
      <c r="T6" t="s">
        <v>707</v>
      </c>
      <c r="U6" t="s">
        <v>701</v>
      </c>
    </row>
    <row r="7" spans="1:21" x14ac:dyDescent="0.2">
      <c r="A7">
        <v>34</v>
      </c>
      <c r="B7">
        <v>1</v>
      </c>
      <c r="C7" t="s">
        <v>3</v>
      </c>
      <c r="D7" t="s">
        <v>3</v>
      </c>
      <c r="E7" t="s">
        <v>22</v>
      </c>
      <c r="F7" t="s">
        <v>22</v>
      </c>
      <c r="G7" t="s">
        <v>22</v>
      </c>
      <c r="H7" t="s">
        <v>3</v>
      </c>
      <c r="I7" t="s">
        <v>22</v>
      </c>
      <c r="J7" t="s">
        <v>22</v>
      </c>
      <c r="K7" t="s">
        <v>3</v>
      </c>
      <c r="L7" t="s">
        <v>3</v>
      </c>
      <c r="M7" t="s">
        <v>3</v>
      </c>
      <c r="N7" t="s">
        <v>3</v>
      </c>
      <c r="O7" t="s">
        <v>22</v>
      </c>
      <c r="P7" t="s">
        <v>3</v>
      </c>
      <c r="Q7" t="s">
        <v>3</v>
      </c>
      <c r="R7" t="s">
        <v>3</v>
      </c>
      <c r="S7" t="s">
        <v>700</v>
      </c>
      <c r="T7" t="s">
        <v>707</v>
      </c>
      <c r="U7" t="s">
        <v>701</v>
      </c>
    </row>
    <row r="8" spans="1:21" x14ac:dyDescent="0.2">
      <c r="A8">
        <v>35</v>
      </c>
      <c r="B8">
        <v>1</v>
      </c>
      <c r="C8" t="s">
        <v>3</v>
      </c>
      <c r="D8" t="s">
        <v>3</v>
      </c>
      <c r="E8" t="s">
        <v>22</v>
      </c>
      <c r="F8" t="s">
        <v>22</v>
      </c>
      <c r="G8" t="s">
        <v>22</v>
      </c>
      <c r="H8" t="s">
        <v>3</v>
      </c>
      <c r="I8" t="s">
        <v>22</v>
      </c>
      <c r="J8" t="s">
        <v>22</v>
      </c>
      <c r="K8" t="s">
        <v>3</v>
      </c>
      <c r="L8" t="s">
        <v>3</v>
      </c>
      <c r="M8" t="s">
        <v>3</v>
      </c>
      <c r="N8" t="s">
        <v>3</v>
      </c>
      <c r="O8" t="s">
        <v>22</v>
      </c>
      <c r="P8" t="s">
        <v>3</v>
      </c>
      <c r="Q8" t="s">
        <v>3</v>
      </c>
      <c r="R8" t="s">
        <v>3</v>
      </c>
      <c r="S8" t="s">
        <v>700</v>
      </c>
      <c r="T8" t="s">
        <v>707</v>
      </c>
      <c r="U8" t="s">
        <v>701</v>
      </c>
    </row>
    <row r="9" spans="1:21" x14ac:dyDescent="0.2">
      <c r="A9">
        <v>36</v>
      </c>
      <c r="B9">
        <v>1</v>
      </c>
      <c r="C9" t="s">
        <v>3</v>
      </c>
      <c r="D9" t="s">
        <v>3</v>
      </c>
      <c r="E9" t="s">
        <v>22</v>
      </c>
      <c r="F9" t="s">
        <v>22</v>
      </c>
      <c r="G9" t="s">
        <v>22</v>
      </c>
      <c r="H9" t="s">
        <v>3</v>
      </c>
      <c r="I9" t="s">
        <v>22</v>
      </c>
      <c r="J9" t="s">
        <v>22</v>
      </c>
      <c r="K9" t="s">
        <v>3</v>
      </c>
      <c r="L9" t="s">
        <v>3</v>
      </c>
      <c r="M9" t="s">
        <v>3</v>
      </c>
      <c r="N9" t="s">
        <v>3</v>
      </c>
      <c r="O9" t="s">
        <v>22</v>
      </c>
      <c r="P9" t="s">
        <v>3</v>
      </c>
      <c r="Q9" t="s">
        <v>3</v>
      </c>
      <c r="R9" t="s">
        <v>3</v>
      </c>
      <c r="S9" t="s">
        <v>700</v>
      </c>
      <c r="T9" t="s">
        <v>707</v>
      </c>
      <c r="U9" t="s">
        <v>701</v>
      </c>
    </row>
    <row r="10" spans="1:21" x14ac:dyDescent="0.2">
      <c r="A10">
        <v>37</v>
      </c>
      <c r="B10">
        <v>1</v>
      </c>
      <c r="C10" t="s">
        <v>3</v>
      </c>
      <c r="D10" t="s">
        <v>3</v>
      </c>
      <c r="E10" t="s">
        <v>22</v>
      </c>
      <c r="F10" t="s">
        <v>22</v>
      </c>
      <c r="G10" t="s">
        <v>22</v>
      </c>
      <c r="H10" t="s">
        <v>3</v>
      </c>
      <c r="I10" t="s">
        <v>22</v>
      </c>
      <c r="J10" t="s">
        <v>22</v>
      </c>
      <c r="K10" t="s">
        <v>3</v>
      </c>
      <c r="L10" t="s">
        <v>3</v>
      </c>
      <c r="M10" t="s">
        <v>3</v>
      </c>
      <c r="N10" t="s">
        <v>3</v>
      </c>
      <c r="O10" t="s">
        <v>22</v>
      </c>
      <c r="P10" t="s">
        <v>3</v>
      </c>
      <c r="Q10" t="s">
        <v>3</v>
      </c>
      <c r="R10" t="s">
        <v>3</v>
      </c>
      <c r="S10" t="s">
        <v>700</v>
      </c>
      <c r="T10" t="s">
        <v>707</v>
      </c>
      <c r="U10" t="s">
        <v>701</v>
      </c>
    </row>
    <row r="11" spans="1:21" x14ac:dyDescent="0.2">
      <c r="A11">
        <v>38</v>
      </c>
      <c r="B11">
        <v>1</v>
      </c>
      <c r="C11" t="s">
        <v>3</v>
      </c>
      <c r="D11" t="s">
        <v>3</v>
      </c>
      <c r="E11" t="s">
        <v>22</v>
      </c>
      <c r="F11" t="s">
        <v>22</v>
      </c>
      <c r="G11" t="s">
        <v>22</v>
      </c>
      <c r="H11" t="s">
        <v>3</v>
      </c>
      <c r="I11" t="s">
        <v>22</v>
      </c>
      <c r="J11" t="s">
        <v>22</v>
      </c>
      <c r="K11" t="s">
        <v>3</v>
      </c>
      <c r="L11" t="s">
        <v>3</v>
      </c>
      <c r="M11" t="s">
        <v>3</v>
      </c>
      <c r="N11" t="s">
        <v>3</v>
      </c>
      <c r="O11" t="s">
        <v>22</v>
      </c>
      <c r="P11" t="s">
        <v>3</v>
      </c>
      <c r="Q11" t="s">
        <v>3</v>
      </c>
      <c r="R11" t="s">
        <v>3</v>
      </c>
      <c r="S11" t="s">
        <v>700</v>
      </c>
      <c r="T11" t="s">
        <v>707</v>
      </c>
      <c r="U11" t="s">
        <v>701</v>
      </c>
    </row>
    <row r="12" spans="1:21" x14ac:dyDescent="0.2">
      <c r="A12">
        <v>39</v>
      </c>
      <c r="B12">
        <v>1</v>
      </c>
      <c r="C12" t="s">
        <v>3</v>
      </c>
      <c r="D12" t="s">
        <v>3</v>
      </c>
      <c r="E12" t="s">
        <v>22</v>
      </c>
      <c r="F12" t="s">
        <v>22</v>
      </c>
      <c r="G12" t="s">
        <v>22</v>
      </c>
      <c r="H12" t="s">
        <v>3</v>
      </c>
      <c r="I12" t="s">
        <v>22</v>
      </c>
      <c r="J12" t="s">
        <v>22</v>
      </c>
      <c r="K12" t="s">
        <v>3</v>
      </c>
      <c r="L12" t="s">
        <v>3</v>
      </c>
      <c r="M12" t="s">
        <v>3</v>
      </c>
      <c r="N12" t="s">
        <v>3</v>
      </c>
      <c r="O12" t="s">
        <v>22</v>
      </c>
      <c r="P12" t="s">
        <v>3</v>
      </c>
      <c r="Q12" t="s">
        <v>3</v>
      </c>
      <c r="R12" t="s">
        <v>3</v>
      </c>
      <c r="S12" t="s">
        <v>700</v>
      </c>
      <c r="T12" t="s">
        <v>707</v>
      </c>
      <c r="U12" t="s">
        <v>701</v>
      </c>
    </row>
    <row r="13" spans="1:21" x14ac:dyDescent="0.2">
      <c r="A13">
        <v>40</v>
      </c>
      <c r="B13">
        <v>1</v>
      </c>
      <c r="C13" t="s">
        <v>3</v>
      </c>
      <c r="D13" t="s">
        <v>3</v>
      </c>
      <c r="E13" t="s">
        <v>22</v>
      </c>
      <c r="F13" t="s">
        <v>22</v>
      </c>
      <c r="G13" t="s">
        <v>22</v>
      </c>
      <c r="H13" t="s">
        <v>3</v>
      </c>
      <c r="I13" t="s">
        <v>22</v>
      </c>
      <c r="J13" t="s">
        <v>22</v>
      </c>
      <c r="K13" t="s">
        <v>3</v>
      </c>
      <c r="L13" t="s">
        <v>3</v>
      </c>
      <c r="M13" t="s">
        <v>3</v>
      </c>
      <c r="N13" t="s">
        <v>3</v>
      </c>
      <c r="O13" t="s">
        <v>22</v>
      </c>
      <c r="P13" t="s">
        <v>3</v>
      </c>
      <c r="Q13" t="s">
        <v>3</v>
      </c>
      <c r="R13" t="s">
        <v>3</v>
      </c>
      <c r="S13" t="s">
        <v>700</v>
      </c>
      <c r="T13" t="s">
        <v>707</v>
      </c>
      <c r="U13" t="s">
        <v>701</v>
      </c>
    </row>
    <row r="14" spans="1:21" x14ac:dyDescent="0.2">
      <c r="A14">
        <v>41</v>
      </c>
      <c r="B14">
        <v>1</v>
      </c>
      <c r="C14" t="s">
        <v>3</v>
      </c>
      <c r="D14" t="s">
        <v>3</v>
      </c>
      <c r="E14" t="s">
        <v>22</v>
      </c>
      <c r="F14" t="s">
        <v>22</v>
      </c>
      <c r="G14" t="s">
        <v>22</v>
      </c>
      <c r="H14" t="s">
        <v>3</v>
      </c>
      <c r="I14" t="s">
        <v>22</v>
      </c>
      <c r="J14" t="s">
        <v>22</v>
      </c>
      <c r="K14" t="s">
        <v>3</v>
      </c>
      <c r="L14" t="s">
        <v>3</v>
      </c>
      <c r="M14" t="s">
        <v>3</v>
      </c>
      <c r="N14" t="s">
        <v>3</v>
      </c>
      <c r="O14" t="s">
        <v>22</v>
      </c>
      <c r="P14" t="s">
        <v>3</v>
      </c>
      <c r="Q14" t="s">
        <v>3</v>
      </c>
      <c r="R14" t="s">
        <v>3</v>
      </c>
      <c r="S14" t="s">
        <v>700</v>
      </c>
      <c r="T14" t="s">
        <v>707</v>
      </c>
      <c r="U14" t="s">
        <v>701</v>
      </c>
    </row>
    <row r="15" spans="1:21" x14ac:dyDescent="0.2">
      <c r="A15">
        <v>42</v>
      </c>
      <c r="B15">
        <v>1</v>
      </c>
      <c r="C15" t="s">
        <v>3</v>
      </c>
      <c r="D15" t="s">
        <v>3</v>
      </c>
      <c r="E15" t="s">
        <v>22</v>
      </c>
      <c r="F15" t="s">
        <v>22</v>
      </c>
      <c r="G15" t="s">
        <v>22</v>
      </c>
      <c r="H15" t="s">
        <v>3</v>
      </c>
      <c r="I15" t="s">
        <v>22</v>
      </c>
      <c r="J15" t="s">
        <v>22</v>
      </c>
      <c r="K15" t="s">
        <v>3</v>
      </c>
      <c r="L15" t="s">
        <v>3</v>
      </c>
      <c r="M15" t="s">
        <v>3</v>
      </c>
      <c r="N15" t="s">
        <v>3</v>
      </c>
      <c r="O15" t="s">
        <v>22</v>
      </c>
      <c r="P15" t="s">
        <v>3</v>
      </c>
      <c r="Q15" t="s">
        <v>3</v>
      </c>
      <c r="R15" t="s">
        <v>3</v>
      </c>
      <c r="S15" t="s">
        <v>700</v>
      </c>
      <c r="T15" t="s">
        <v>707</v>
      </c>
      <c r="U15" t="s">
        <v>701</v>
      </c>
    </row>
    <row r="16" spans="1:21" x14ac:dyDescent="0.2">
      <c r="A16">
        <v>43</v>
      </c>
      <c r="B16">
        <v>1</v>
      </c>
      <c r="C16" t="s">
        <v>3</v>
      </c>
      <c r="D16" t="s">
        <v>3</v>
      </c>
      <c r="E16" t="s">
        <v>22</v>
      </c>
      <c r="F16" t="s">
        <v>22</v>
      </c>
      <c r="G16" t="s">
        <v>22</v>
      </c>
      <c r="H16" t="s">
        <v>3</v>
      </c>
      <c r="I16" t="s">
        <v>22</v>
      </c>
      <c r="J16" t="s">
        <v>22</v>
      </c>
      <c r="K16" t="s">
        <v>3</v>
      </c>
      <c r="L16" t="s">
        <v>3</v>
      </c>
      <c r="M16" t="s">
        <v>3</v>
      </c>
      <c r="N16" t="s">
        <v>3</v>
      </c>
      <c r="O16" t="s">
        <v>22</v>
      </c>
      <c r="P16" t="s">
        <v>3</v>
      </c>
      <c r="Q16" t="s">
        <v>3</v>
      </c>
      <c r="R16" t="s">
        <v>3</v>
      </c>
      <c r="S16" t="s">
        <v>700</v>
      </c>
      <c r="T16" t="s">
        <v>707</v>
      </c>
      <c r="U16" t="s">
        <v>701</v>
      </c>
    </row>
    <row r="17" spans="1:21" x14ac:dyDescent="0.2">
      <c r="A17">
        <v>44</v>
      </c>
      <c r="B17">
        <v>1</v>
      </c>
      <c r="C17" t="s">
        <v>3</v>
      </c>
      <c r="D17" t="s">
        <v>3</v>
      </c>
      <c r="E17" t="s">
        <v>22</v>
      </c>
      <c r="F17" t="s">
        <v>22</v>
      </c>
      <c r="G17" t="s">
        <v>22</v>
      </c>
      <c r="H17" t="s">
        <v>3</v>
      </c>
      <c r="I17" t="s">
        <v>22</v>
      </c>
      <c r="J17" t="s">
        <v>22</v>
      </c>
      <c r="K17" t="s">
        <v>3</v>
      </c>
      <c r="L17" t="s">
        <v>3</v>
      </c>
      <c r="M17" t="s">
        <v>3</v>
      </c>
      <c r="N17" t="s">
        <v>3</v>
      </c>
      <c r="O17" t="s">
        <v>22</v>
      </c>
      <c r="P17" t="s">
        <v>3</v>
      </c>
      <c r="Q17" t="s">
        <v>3</v>
      </c>
      <c r="R17" t="s">
        <v>3</v>
      </c>
      <c r="S17" t="s">
        <v>700</v>
      </c>
      <c r="T17" t="s">
        <v>707</v>
      </c>
      <c r="U17" t="s">
        <v>701</v>
      </c>
    </row>
    <row r="18" spans="1:21" x14ac:dyDescent="0.2">
      <c r="A18">
        <v>45</v>
      </c>
      <c r="B18">
        <v>1</v>
      </c>
      <c r="C18" t="s">
        <v>3</v>
      </c>
      <c r="D18" t="s">
        <v>3</v>
      </c>
      <c r="E18" t="s">
        <v>22</v>
      </c>
      <c r="F18" t="s">
        <v>22</v>
      </c>
      <c r="G18" t="s">
        <v>22</v>
      </c>
      <c r="H18" t="s">
        <v>3</v>
      </c>
      <c r="I18" t="s">
        <v>22</v>
      </c>
      <c r="J18" t="s">
        <v>22</v>
      </c>
      <c r="K18" t="s">
        <v>3</v>
      </c>
      <c r="L18" t="s">
        <v>3</v>
      </c>
      <c r="M18" t="s">
        <v>3</v>
      </c>
      <c r="N18" t="s">
        <v>3</v>
      </c>
      <c r="O18" t="s">
        <v>22</v>
      </c>
      <c r="P18" t="s">
        <v>3</v>
      </c>
      <c r="Q18" t="s">
        <v>3</v>
      </c>
      <c r="R18" t="s">
        <v>3</v>
      </c>
      <c r="S18" t="s">
        <v>700</v>
      </c>
      <c r="T18" t="s">
        <v>707</v>
      </c>
      <c r="U18" t="s">
        <v>701</v>
      </c>
    </row>
    <row r="19" spans="1:21" x14ac:dyDescent="0.2">
      <c r="A19">
        <v>46</v>
      </c>
      <c r="B19">
        <v>1</v>
      </c>
      <c r="C19" t="s">
        <v>3</v>
      </c>
      <c r="D19" t="s">
        <v>3</v>
      </c>
      <c r="E19" t="s">
        <v>22</v>
      </c>
      <c r="F19" t="s">
        <v>22</v>
      </c>
      <c r="G19" t="s">
        <v>22</v>
      </c>
      <c r="H19" t="s">
        <v>3</v>
      </c>
      <c r="I19" t="s">
        <v>22</v>
      </c>
      <c r="J19" t="s">
        <v>22</v>
      </c>
      <c r="K19" t="s">
        <v>3</v>
      </c>
      <c r="L19" t="s">
        <v>3</v>
      </c>
      <c r="M19" t="s">
        <v>3</v>
      </c>
      <c r="N19" t="s">
        <v>3</v>
      </c>
      <c r="O19" t="s">
        <v>22</v>
      </c>
      <c r="P19" t="s">
        <v>3</v>
      </c>
      <c r="Q19" t="s">
        <v>3</v>
      </c>
      <c r="R19" t="s">
        <v>3</v>
      </c>
      <c r="S19" t="s">
        <v>700</v>
      </c>
      <c r="T19" t="s">
        <v>707</v>
      </c>
      <c r="U19" t="s">
        <v>701</v>
      </c>
    </row>
    <row r="20" spans="1:21" x14ac:dyDescent="0.2">
      <c r="A20">
        <v>47</v>
      </c>
      <c r="B20">
        <v>1</v>
      </c>
      <c r="C20" t="s">
        <v>3</v>
      </c>
      <c r="D20" t="s">
        <v>3</v>
      </c>
      <c r="E20" t="s">
        <v>22</v>
      </c>
      <c r="F20" t="s">
        <v>22</v>
      </c>
      <c r="G20" t="s">
        <v>22</v>
      </c>
      <c r="H20" t="s">
        <v>3</v>
      </c>
      <c r="I20" t="s">
        <v>22</v>
      </c>
      <c r="J20" t="s">
        <v>22</v>
      </c>
      <c r="K20" t="s">
        <v>3</v>
      </c>
      <c r="L20" t="s">
        <v>3</v>
      </c>
      <c r="M20" t="s">
        <v>3</v>
      </c>
      <c r="N20" t="s">
        <v>3</v>
      </c>
      <c r="O20" t="s">
        <v>22</v>
      </c>
      <c r="P20" t="s">
        <v>3</v>
      </c>
      <c r="Q20" t="s">
        <v>3</v>
      </c>
      <c r="R20" t="s">
        <v>3</v>
      </c>
      <c r="S20" t="s">
        <v>700</v>
      </c>
      <c r="T20" t="s">
        <v>707</v>
      </c>
      <c r="U20" t="s">
        <v>701</v>
      </c>
    </row>
    <row r="21" spans="1:21" x14ac:dyDescent="0.2">
      <c r="A21">
        <v>48</v>
      </c>
      <c r="B21">
        <v>1</v>
      </c>
      <c r="C21" t="s">
        <v>3</v>
      </c>
      <c r="D21" t="s">
        <v>3</v>
      </c>
      <c r="E21" t="s">
        <v>22</v>
      </c>
      <c r="F21" t="s">
        <v>22</v>
      </c>
      <c r="G21" t="s">
        <v>22</v>
      </c>
      <c r="H21" t="s">
        <v>3</v>
      </c>
      <c r="I21" t="s">
        <v>22</v>
      </c>
      <c r="J21" t="s">
        <v>22</v>
      </c>
      <c r="K21" t="s">
        <v>3</v>
      </c>
      <c r="L21" t="s">
        <v>3</v>
      </c>
      <c r="M21" t="s">
        <v>3</v>
      </c>
      <c r="N21" t="s">
        <v>3</v>
      </c>
      <c r="O21" t="s">
        <v>22</v>
      </c>
      <c r="P21" t="s">
        <v>3</v>
      </c>
      <c r="Q21" t="s">
        <v>3</v>
      </c>
      <c r="R21" t="s">
        <v>3</v>
      </c>
      <c r="S21" t="s">
        <v>700</v>
      </c>
      <c r="T21" t="s">
        <v>707</v>
      </c>
      <c r="U21" t="s">
        <v>701</v>
      </c>
    </row>
    <row r="22" spans="1:21" x14ac:dyDescent="0.2">
      <c r="A22">
        <v>49</v>
      </c>
      <c r="B22">
        <v>1</v>
      </c>
      <c r="C22" t="s">
        <v>3</v>
      </c>
      <c r="D22" t="s">
        <v>3</v>
      </c>
      <c r="E22" t="s">
        <v>22</v>
      </c>
      <c r="F22" t="s">
        <v>22</v>
      </c>
      <c r="G22" t="s">
        <v>22</v>
      </c>
      <c r="H22" t="s">
        <v>3</v>
      </c>
      <c r="I22" t="s">
        <v>22</v>
      </c>
      <c r="J22" t="s">
        <v>22</v>
      </c>
      <c r="K22" t="s">
        <v>3</v>
      </c>
      <c r="L22" t="s">
        <v>3</v>
      </c>
      <c r="M22" t="s">
        <v>3</v>
      </c>
      <c r="N22" t="s">
        <v>3</v>
      </c>
      <c r="O22" t="s">
        <v>22</v>
      </c>
      <c r="P22" t="s">
        <v>3</v>
      </c>
      <c r="Q22" t="s">
        <v>3</v>
      </c>
      <c r="R22" t="s">
        <v>3</v>
      </c>
      <c r="S22" t="s">
        <v>700</v>
      </c>
      <c r="T22" t="s">
        <v>707</v>
      </c>
      <c r="U22" t="s">
        <v>701</v>
      </c>
    </row>
    <row r="23" spans="1:21" x14ac:dyDescent="0.2">
      <c r="A23">
        <v>50</v>
      </c>
      <c r="B23">
        <v>1</v>
      </c>
      <c r="C23" t="s">
        <v>3</v>
      </c>
      <c r="D23" t="s">
        <v>3</v>
      </c>
      <c r="E23" t="s">
        <v>22</v>
      </c>
      <c r="F23" t="s">
        <v>22</v>
      </c>
      <c r="G23" t="s">
        <v>22</v>
      </c>
      <c r="H23" t="s">
        <v>3</v>
      </c>
      <c r="I23" t="s">
        <v>22</v>
      </c>
      <c r="J23" t="s">
        <v>22</v>
      </c>
      <c r="K23" t="s">
        <v>3</v>
      </c>
      <c r="L23" t="s">
        <v>3</v>
      </c>
      <c r="M23" t="s">
        <v>3</v>
      </c>
      <c r="N23" t="s">
        <v>3</v>
      </c>
      <c r="O23" t="s">
        <v>22</v>
      </c>
      <c r="P23" t="s">
        <v>3</v>
      </c>
      <c r="Q23" t="s">
        <v>3</v>
      </c>
      <c r="R23" t="s">
        <v>3</v>
      </c>
      <c r="S23" t="s">
        <v>700</v>
      </c>
      <c r="T23" t="s">
        <v>707</v>
      </c>
      <c r="U23" t="s">
        <v>701</v>
      </c>
    </row>
    <row r="24" spans="1:21" x14ac:dyDescent="0.2">
      <c r="A24">
        <v>51</v>
      </c>
      <c r="B24">
        <v>1</v>
      </c>
      <c r="C24" t="s">
        <v>3</v>
      </c>
      <c r="D24" t="s">
        <v>3</v>
      </c>
      <c r="E24" t="s">
        <v>22</v>
      </c>
      <c r="F24" t="s">
        <v>22</v>
      </c>
      <c r="G24" t="s">
        <v>22</v>
      </c>
      <c r="H24" t="s">
        <v>3</v>
      </c>
      <c r="I24" t="s">
        <v>22</v>
      </c>
      <c r="J24" t="s">
        <v>22</v>
      </c>
      <c r="K24" t="s">
        <v>3</v>
      </c>
      <c r="L24" t="s">
        <v>3</v>
      </c>
      <c r="M24" t="s">
        <v>3</v>
      </c>
      <c r="N24" t="s">
        <v>3</v>
      </c>
      <c r="O24" t="s">
        <v>22</v>
      </c>
      <c r="P24" t="s">
        <v>3</v>
      </c>
      <c r="Q24" t="s">
        <v>3</v>
      </c>
      <c r="R24" t="s">
        <v>3</v>
      </c>
      <c r="S24" t="s">
        <v>700</v>
      </c>
      <c r="T24" t="s">
        <v>707</v>
      </c>
      <c r="U24" t="s">
        <v>701</v>
      </c>
    </row>
    <row r="25" spans="1:21" x14ac:dyDescent="0.2">
      <c r="A25">
        <v>52</v>
      </c>
      <c r="B25">
        <v>1</v>
      </c>
      <c r="C25" t="s">
        <v>3</v>
      </c>
      <c r="D25" t="s">
        <v>3</v>
      </c>
      <c r="E25" t="s">
        <v>22</v>
      </c>
      <c r="F25" t="s">
        <v>22</v>
      </c>
      <c r="G25" t="s">
        <v>22</v>
      </c>
      <c r="H25" t="s">
        <v>3</v>
      </c>
      <c r="I25" t="s">
        <v>22</v>
      </c>
      <c r="J25" t="s">
        <v>22</v>
      </c>
      <c r="K25" t="s">
        <v>3</v>
      </c>
      <c r="L25" t="s">
        <v>3</v>
      </c>
      <c r="M25" t="s">
        <v>3</v>
      </c>
      <c r="N25" t="s">
        <v>3</v>
      </c>
      <c r="O25" t="s">
        <v>22</v>
      </c>
      <c r="P25" t="s">
        <v>3</v>
      </c>
      <c r="Q25" t="s">
        <v>3</v>
      </c>
      <c r="R25" t="s">
        <v>3</v>
      </c>
      <c r="S25" t="s">
        <v>700</v>
      </c>
      <c r="T25" t="s">
        <v>707</v>
      </c>
      <c r="U25" t="s">
        <v>701</v>
      </c>
    </row>
    <row r="26" spans="1:21" x14ac:dyDescent="0.2">
      <c r="A26">
        <v>53</v>
      </c>
      <c r="B26">
        <v>1</v>
      </c>
      <c r="C26" t="s">
        <v>3</v>
      </c>
      <c r="D26" t="s">
        <v>3</v>
      </c>
      <c r="E26" t="s">
        <v>22</v>
      </c>
      <c r="F26" t="s">
        <v>22</v>
      </c>
      <c r="G26" t="s">
        <v>22</v>
      </c>
      <c r="H26" t="s">
        <v>3</v>
      </c>
      <c r="I26" t="s">
        <v>22</v>
      </c>
      <c r="J26" t="s">
        <v>22</v>
      </c>
      <c r="K26" t="s">
        <v>3</v>
      </c>
      <c r="L26" t="s">
        <v>3</v>
      </c>
      <c r="M26" t="s">
        <v>3</v>
      </c>
      <c r="N26" t="s">
        <v>3</v>
      </c>
      <c r="O26" t="s">
        <v>22</v>
      </c>
      <c r="P26" t="s">
        <v>3</v>
      </c>
      <c r="Q26" t="s">
        <v>3</v>
      </c>
      <c r="R26" t="s">
        <v>3</v>
      </c>
      <c r="S26" t="s">
        <v>700</v>
      </c>
      <c r="T26" t="s">
        <v>707</v>
      </c>
      <c r="U26" t="s">
        <v>701</v>
      </c>
    </row>
    <row r="27" spans="1:21" x14ac:dyDescent="0.2">
      <c r="A27">
        <v>54</v>
      </c>
      <c r="B27">
        <v>1</v>
      </c>
      <c r="C27" t="s">
        <v>3</v>
      </c>
      <c r="D27" t="s">
        <v>3</v>
      </c>
      <c r="E27" t="s">
        <v>22</v>
      </c>
      <c r="F27" t="s">
        <v>22</v>
      </c>
      <c r="G27" t="s">
        <v>22</v>
      </c>
      <c r="H27" t="s">
        <v>3</v>
      </c>
      <c r="I27" t="s">
        <v>22</v>
      </c>
      <c r="J27" t="s">
        <v>22</v>
      </c>
      <c r="K27" t="s">
        <v>3</v>
      </c>
      <c r="L27" t="s">
        <v>3</v>
      </c>
      <c r="M27" t="s">
        <v>3</v>
      </c>
      <c r="N27" t="s">
        <v>3</v>
      </c>
      <c r="O27" t="s">
        <v>22</v>
      </c>
      <c r="P27" t="s">
        <v>3</v>
      </c>
      <c r="Q27" t="s">
        <v>3</v>
      </c>
      <c r="R27" t="s">
        <v>3</v>
      </c>
      <c r="S27" t="s">
        <v>700</v>
      </c>
      <c r="T27" t="s">
        <v>707</v>
      </c>
      <c r="U27" t="s">
        <v>701</v>
      </c>
    </row>
    <row r="28" spans="1:21" x14ac:dyDescent="0.2">
      <c r="A28">
        <v>55</v>
      </c>
      <c r="B28">
        <v>1</v>
      </c>
      <c r="C28" t="s">
        <v>3</v>
      </c>
      <c r="D28" t="s">
        <v>3</v>
      </c>
      <c r="E28" t="s">
        <v>22</v>
      </c>
      <c r="F28" t="s">
        <v>22</v>
      </c>
      <c r="G28" t="s">
        <v>22</v>
      </c>
      <c r="H28" t="s">
        <v>3</v>
      </c>
      <c r="I28" t="s">
        <v>22</v>
      </c>
      <c r="J28" t="s">
        <v>22</v>
      </c>
      <c r="K28" t="s">
        <v>3</v>
      </c>
      <c r="L28" t="s">
        <v>3</v>
      </c>
      <c r="M28" t="s">
        <v>3</v>
      </c>
      <c r="N28" t="s">
        <v>3</v>
      </c>
      <c r="O28" t="s">
        <v>22</v>
      </c>
      <c r="P28" t="s">
        <v>3</v>
      </c>
      <c r="Q28" t="s">
        <v>3</v>
      </c>
      <c r="R28" t="s">
        <v>3</v>
      </c>
      <c r="S28" t="s">
        <v>700</v>
      </c>
      <c r="T28" t="s">
        <v>707</v>
      </c>
      <c r="U28" t="s">
        <v>701</v>
      </c>
    </row>
    <row r="29" spans="1:21" x14ac:dyDescent="0.2">
      <c r="A29">
        <v>56</v>
      </c>
      <c r="B29">
        <v>1</v>
      </c>
      <c r="C29" t="s">
        <v>3</v>
      </c>
      <c r="D29" t="s">
        <v>3</v>
      </c>
      <c r="E29" t="s">
        <v>22</v>
      </c>
      <c r="F29" t="s">
        <v>22</v>
      </c>
      <c r="G29" t="s">
        <v>22</v>
      </c>
      <c r="H29" t="s">
        <v>3</v>
      </c>
      <c r="I29" t="s">
        <v>22</v>
      </c>
      <c r="J29" t="s">
        <v>22</v>
      </c>
      <c r="K29" t="s">
        <v>3</v>
      </c>
      <c r="L29" t="s">
        <v>3</v>
      </c>
      <c r="M29" t="s">
        <v>3</v>
      </c>
      <c r="N29" t="s">
        <v>3</v>
      </c>
      <c r="O29" t="s">
        <v>22</v>
      </c>
      <c r="P29" t="s">
        <v>3</v>
      </c>
      <c r="Q29" t="s">
        <v>3</v>
      </c>
      <c r="R29" t="s">
        <v>3</v>
      </c>
      <c r="S29" t="s">
        <v>700</v>
      </c>
      <c r="T29" t="s">
        <v>707</v>
      </c>
      <c r="U29" t="s">
        <v>701</v>
      </c>
    </row>
    <row r="30" spans="1:21" x14ac:dyDescent="0.2">
      <c r="A30">
        <v>57</v>
      </c>
      <c r="B30">
        <v>1</v>
      </c>
      <c r="C30" t="s">
        <v>3</v>
      </c>
      <c r="D30" t="s">
        <v>3</v>
      </c>
      <c r="E30" t="s">
        <v>22</v>
      </c>
      <c r="F30" t="s">
        <v>22</v>
      </c>
      <c r="G30" t="s">
        <v>22</v>
      </c>
      <c r="H30" t="s">
        <v>3</v>
      </c>
      <c r="I30" t="s">
        <v>22</v>
      </c>
      <c r="J30" t="s">
        <v>22</v>
      </c>
      <c r="K30" t="s">
        <v>3</v>
      </c>
      <c r="L30" t="s">
        <v>3</v>
      </c>
      <c r="M30" t="s">
        <v>3</v>
      </c>
      <c r="N30" t="s">
        <v>3</v>
      </c>
      <c r="O30" t="s">
        <v>22</v>
      </c>
      <c r="P30" t="s">
        <v>3</v>
      </c>
      <c r="Q30" t="s">
        <v>3</v>
      </c>
      <c r="R30" t="s">
        <v>3</v>
      </c>
      <c r="S30" t="s">
        <v>700</v>
      </c>
      <c r="T30" t="s">
        <v>707</v>
      </c>
      <c r="U30" t="s">
        <v>701</v>
      </c>
    </row>
    <row r="31" spans="1:21" x14ac:dyDescent="0.2">
      <c r="A31">
        <v>93</v>
      </c>
      <c r="B31">
        <v>1</v>
      </c>
      <c r="C31" t="s">
        <v>3</v>
      </c>
      <c r="D31" t="s">
        <v>3</v>
      </c>
      <c r="E31" t="s">
        <v>22</v>
      </c>
      <c r="F31" t="s">
        <v>22</v>
      </c>
      <c r="G31" t="s">
        <v>22</v>
      </c>
      <c r="H31" t="s">
        <v>3</v>
      </c>
      <c r="I31" t="s">
        <v>22</v>
      </c>
      <c r="J31" t="s">
        <v>22</v>
      </c>
      <c r="K31" t="s">
        <v>3</v>
      </c>
      <c r="L31" t="s">
        <v>3</v>
      </c>
      <c r="M31" t="s">
        <v>3</v>
      </c>
      <c r="N31" t="s">
        <v>3</v>
      </c>
      <c r="O31" t="s">
        <v>22</v>
      </c>
      <c r="P31" t="s">
        <v>3</v>
      </c>
      <c r="Q31" t="s">
        <v>3</v>
      </c>
      <c r="R31" t="s">
        <v>3</v>
      </c>
      <c r="S31" t="s">
        <v>700</v>
      </c>
      <c r="T31" t="s">
        <v>707</v>
      </c>
      <c r="U31" t="s">
        <v>701</v>
      </c>
    </row>
    <row r="32" spans="1:21" x14ac:dyDescent="0.2">
      <c r="A32">
        <v>93</v>
      </c>
      <c r="B32">
        <v>1</v>
      </c>
      <c r="C32" t="s">
        <v>3</v>
      </c>
      <c r="D32" t="s">
        <v>163</v>
      </c>
      <c r="E32" t="s">
        <v>702</v>
      </c>
      <c r="F32" t="s">
        <v>702</v>
      </c>
      <c r="G32" t="s">
        <v>702</v>
      </c>
      <c r="H32" t="s">
        <v>3</v>
      </c>
      <c r="I32" t="s">
        <v>702</v>
      </c>
      <c r="J32" t="s">
        <v>702</v>
      </c>
      <c r="K32" t="s">
        <v>3</v>
      </c>
      <c r="L32" t="s">
        <v>3</v>
      </c>
      <c r="M32" t="s">
        <v>3</v>
      </c>
      <c r="N32" t="s">
        <v>163</v>
      </c>
      <c r="O32" t="s">
        <v>703</v>
      </c>
      <c r="P32" t="s">
        <v>3</v>
      </c>
      <c r="Q32" t="s">
        <v>3</v>
      </c>
      <c r="R32" t="s">
        <v>3</v>
      </c>
      <c r="S32" t="s">
        <v>704</v>
      </c>
      <c r="T32" t="s">
        <v>709</v>
      </c>
      <c r="U32" t="s">
        <v>705</v>
      </c>
    </row>
    <row r="33" spans="1:21" x14ac:dyDescent="0.2">
      <c r="A33">
        <v>94</v>
      </c>
      <c r="B33">
        <v>1</v>
      </c>
      <c r="C33" t="s">
        <v>3</v>
      </c>
      <c r="D33" t="s">
        <v>3</v>
      </c>
      <c r="E33" t="s">
        <v>22</v>
      </c>
      <c r="F33" t="s">
        <v>22</v>
      </c>
      <c r="G33" t="s">
        <v>22</v>
      </c>
      <c r="H33" t="s">
        <v>3</v>
      </c>
      <c r="I33" t="s">
        <v>22</v>
      </c>
      <c r="J33" t="s">
        <v>22</v>
      </c>
      <c r="K33" t="s">
        <v>3</v>
      </c>
      <c r="L33" t="s">
        <v>3</v>
      </c>
      <c r="M33" t="s">
        <v>3</v>
      </c>
      <c r="N33" t="s">
        <v>3</v>
      </c>
      <c r="O33" t="s">
        <v>22</v>
      </c>
      <c r="P33" t="s">
        <v>3</v>
      </c>
      <c r="Q33" t="s">
        <v>3</v>
      </c>
      <c r="R33" t="s">
        <v>3</v>
      </c>
      <c r="S33" t="s">
        <v>700</v>
      </c>
      <c r="T33" t="s">
        <v>707</v>
      </c>
      <c r="U33" t="s">
        <v>701</v>
      </c>
    </row>
    <row r="34" spans="1:21" x14ac:dyDescent="0.2">
      <c r="A34">
        <v>94</v>
      </c>
      <c r="B34">
        <v>1</v>
      </c>
      <c r="C34" t="s">
        <v>3</v>
      </c>
      <c r="D34" t="s">
        <v>163</v>
      </c>
      <c r="E34" t="s">
        <v>702</v>
      </c>
      <c r="F34" t="s">
        <v>702</v>
      </c>
      <c r="G34" t="s">
        <v>702</v>
      </c>
      <c r="H34" t="s">
        <v>3</v>
      </c>
      <c r="I34" t="s">
        <v>702</v>
      </c>
      <c r="J34" t="s">
        <v>702</v>
      </c>
      <c r="K34" t="s">
        <v>3</v>
      </c>
      <c r="L34" t="s">
        <v>3</v>
      </c>
      <c r="M34" t="s">
        <v>3</v>
      </c>
      <c r="N34" t="s">
        <v>163</v>
      </c>
      <c r="O34" t="s">
        <v>703</v>
      </c>
      <c r="P34" t="s">
        <v>3</v>
      </c>
      <c r="Q34" t="s">
        <v>3</v>
      </c>
      <c r="R34" t="s">
        <v>3</v>
      </c>
      <c r="S34" t="s">
        <v>704</v>
      </c>
      <c r="T34" t="s">
        <v>709</v>
      </c>
      <c r="U34" t="s">
        <v>705</v>
      </c>
    </row>
    <row r="35" spans="1:21" x14ac:dyDescent="0.2">
      <c r="A35">
        <v>95</v>
      </c>
      <c r="B35">
        <v>1</v>
      </c>
      <c r="C35" t="s">
        <v>3</v>
      </c>
      <c r="D35" t="s">
        <v>3</v>
      </c>
      <c r="E35" t="s">
        <v>22</v>
      </c>
      <c r="F35" t="s">
        <v>22</v>
      </c>
      <c r="G35" t="s">
        <v>22</v>
      </c>
      <c r="H35" t="s">
        <v>3</v>
      </c>
      <c r="I35" t="s">
        <v>22</v>
      </c>
      <c r="J35" t="s">
        <v>22</v>
      </c>
      <c r="K35" t="s">
        <v>3</v>
      </c>
      <c r="L35" t="s">
        <v>3</v>
      </c>
      <c r="M35" t="s">
        <v>3</v>
      </c>
      <c r="N35" t="s">
        <v>3</v>
      </c>
      <c r="O35" t="s">
        <v>22</v>
      </c>
      <c r="P35" t="s">
        <v>3</v>
      </c>
      <c r="Q35" t="s">
        <v>3</v>
      </c>
      <c r="R35" t="s">
        <v>3</v>
      </c>
      <c r="S35" t="s">
        <v>700</v>
      </c>
      <c r="T35" t="s">
        <v>707</v>
      </c>
      <c r="U35" t="s">
        <v>701</v>
      </c>
    </row>
    <row r="36" spans="1:21" x14ac:dyDescent="0.2">
      <c r="A36">
        <v>96</v>
      </c>
      <c r="B36">
        <v>1</v>
      </c>
      <c r="C36" t="s">
        <v>3</v>
      </c>
      <c r="D36" t="s">
        <v>3</v>
      </c>
      <c r="E36" t="s">
        <v>22</v>
      </c>
      <c r="F36" t="s">
        <v>22</v>
      </c>
      <c r="G36" t="s">
        <v>22</v>
      </c>
      <c r="H36" t="s">
        <v>3</v>
      </c>
      <c r="I36" t="s">
        <v>22</v>
      </c>
      <c r="J36" t="s">
        <v>22</v>
      </c>
      <c r="K36" t="s">
        <v>3</v>
      </c>
      <c r="L36" t="s">
        <v>3</v>
      </c>
      <c r="M36" t="s">
        <v>3</v>
      </c>
      <c r="N36" t="s">
        <v>3</v>
      </c>
      <c r="O36" t="s">
        <v>22</v>
      </c>
      <c r="P36" t="s">
        <v>3</v>
      </c>
      <c r="Q36" t="s">
        <v>3</v>
      </c>
      <c r="R36" t="s">
        <v>3</v>
      </c>
      <c r="S36" t="s">
        <v>700</v>
      </c>
      <c r="T36" t="s">
        <v>707</v>
      </c>
      <c r="U36" t="s">
        <v>701</v>
      </c>
    </row>
    <row r="37" spans="1:21" x14ac:dyDescent="0.2">
      <c r="A37">
        <v>97</v>
      </c>
      <c r="B37">
        <v>1</v>
      </c>
      <c r="C37" t="s">
        <v>3</v>
      </c>
      <c r="D37" t="s">
        <v>3</v>
      </c>
      <c r="E37" t="s">
        <v>22</v>
      </c>
      <c r="F37" t="s">
        <v>22</v>
      </c>
      <c r="G37" t="s">
        <v>22</v>
      </c>
      <c r="H37" t="s">
        <v>3</v>
      </c>
      <c r="I37" t="s">
        <v>22</v>
      </c>
      <c r="J37" t="s">
        <v>22</v>
      </c>
      <c r="K37" t="s">
        <v>3</v>
      </c>
      <c r="L37" t="s">
        <v>3</v>
      </c>
      <c r="M37" t="s">
        <v>3</v>
      </c>
      <c r="N37" t="s">
        <v>3</v>
      </c>
      <c r="O37" t="s">
        <v>22</v>
      </c>
      <c r="P37" t="s">
        <v>3</v>
      </c>
      <c r="Q37" t="s">
        <v>3</v>
      </c>
      <c r="R37" t="s">
        <v>3</v>
      </c>
      <c r="S37" t="s">
        <v>700</v>
      </c>
      <c r="T37" t="s">
        <v>707</v>
      </c>
      <c r="U37" t="s">
        <v>701</v>
      </c>
    </row>
    <row r="38" spans="1:21" x14ac:dyDescent="0.2">
      <c r="A38">
        <v>97</v>
      </c>
      <c r="B38">
        <v>1</v>
      </c>
      <c r="C38" t="s">
        <v>3</v>
      </c>
      <c r="D38" t="s">
        <v>3</v>
      </c>
      <c r="E38" t="s">
        <v>702</v>
      </c>
      <c r="F38" t="s">
        <v>702</v>
      </c>
      <c r="G38" t="s">
        <v>702</v>
      </c>
      <c r="H38" t="s">
        <v>3</v>
      </c>
      <c r="I38" t="s">
        <v>702</v>
      </c>
      <c r="J38" t="s">
        <v>702</v>
      </c>
      <c r="K38" t="s">
        <v>3</v>
      </c>
      <c r="L38" t="s">
        <v>3</v>
      </c>
      <c r="M38" t="s">
        <v>3</v>
      </c>
      <c r="N38" t="s">
        <v>3</v>
      </c>
      <c r="O38" t="s">
        <v>702</v>
      </c>
      <c r="P38" t="s">
        <v>3</v>
      </c>
      <c r="Q38" t="s">
        <v>3</v>
      </c>
      <c r="R38" t="s">
        <v>3</v>
      </c>
      <c r="S38" t="s">
        <v>706</v>
      </c>
      <c r="T38" t="s">
        <v>711</v>
      </c>
      <c r="U38" t="s">
        <v>701</v>
      </c>
    </row>
    <row r="39" spans="1:21" x14ac:dyDescent="0.2">
      <c r="A39">
        <v>98</v>
      </c>
      <c r="B39">
        <v>1</v>
      </c>
      <c r="C39" t="s">
        <v>3</v>
      </c>
      <c r="D39" t="s">
        <v>3</v>
      </c>
      <c r="E39" t="s">
        <v>22</v>
      </c>
      <c r="F39" t="s">
        <v>22</v>
      </c>
      <c r="G39" t="s">
        <v>22</v>
      </c>
      <c r="H39" t="s">
        <v>3</v>
      </c>
      <c r="I39" t="s">
        <v>22</v>
      </c>
      <c r="J39" t="s">
        <v>22</v>
      </c>
      <c r="K39" t="s">
        <v>3</v>
      </c>
      <c r="L39" t="s">
        <v>3</v>
      </c>
      <c r="M39" t="s">
        <v>3</v>
      </c>
      <c r="N39" t="s">
        <v>3</v>
      </c>
      <c r="O39" t="s">
        <v>22</v>
      </c>
      <c r="P39" t="s">
        <v>3</v>
      </c>
      <c r="Q39" t="s">
        <v>3</v>
      </c>
      <c r="R39" t="s">
        <v>3</v>
      </c>
      <c r="S39" t="s">
        <v>700</v>
      </c>
      <c r="T39" t="s">
        <v>707</v>
      </c>
      <c r="U39" t="s">
        <v>701</v>
      </c>
    </row>
    <row r="40" spans="1:21" x14ac:dyDescent="0.2">
      <c r="A40">
        <v>98</v>
      </c>
      <c r="B40">
        <v>1</v>
      </c>
      <c r="C40" t="s">
        <v>3</v>
      </c>
      <c r="D40" t="s">
        <v>3</v>
      </c>
      <c r="E40" t="s">
        <v>702</v>
      </c>
      <c r="F40" t="s">
        <v>702</v>
      </c>
      <c r="G40" t="s">
        <v>702</v>
      </c>
      <c r="H40" t="s">
        <v>3</v>
      </c>
      <c r="I40" t="s">
        <v>702</v>
      </c>
      <c r="J40" t="s">
        <v>702</v>
      </c>
      <c r="K40" t="s">
        <v>3</v>
      </c>
      <c r="L40" t="s">
        <v>3</v>
      </c>
      <c r="M40" t="s">
        <v>3</v>
      </c>
      <c r="N40" t="s">
        <v>3</v>
      </c>
      <c r="O40" t="s">
        <v>702</v>
      </c>
      <c r="P40" t="s">
        <v>3</v>
      </c>
      <c r="Q40" t="s">
        <v>3</v>
      </c>
      <c r="R40" t="s">
        <v>3</v>
      </c>
      <c r="S40" t="s">
        <v>706</v>
      </c>
      <c r="T40" t="s">
        <v>711</v>
      </c>
      <c r="U40" t="s">
        <v>701</v>
      </c>
    </row>
    <row r="41" spans="1:21" x14ac:dyDescent="0.2">
      <c r="A41">
        <v>99</v>
      </c>
      <c r="B41">
        <v>1</v>
      </c>
      <c r="C41" t="s">
        <v>3</v>
      </c>
      <c r="D41" t="s">
        <v>3</v>
      </c>
      <c r="E41" t="s">
        <v>22</v>
      </c>
      <c r="F41" t="s">
        <v>22</v>
      </c>
      <c r="G41" t="s">
        <v>22</v>
      </c>
      <c r="H41" t="s">
        <v>3</v>
      </c>
      <c r="I41" t="s">
        <v>22</v>
      </c>
      <c r="J41" t="s">
        <v>22</v>
      </c>
      <c r="K41" t="s">
        <v>3</v>
      </c>
      <c r="L41" t="s">
        <v>3</v>
      </c>
      <c r="M41" t="s">
        <v>3</v>
      </c>
      <c r="N41" t="s">
        <v>3</v>
      </c>
      <c r="O41" t="s">
        <v>22</v>
      </c>
      <c r="P41" t="s">
        <v>3</v>
      </c>
      <c r="Q41" t="s">
        <v>3</v>
      </c>
      <c r="R41" t="s">
        <v>3</v>
      </c>
      <c r="S41" t="s">
        <v>700</v>
      </c>
      <c r="T41" t="s">
        <v>707</v>
      </c>
      <c r="U41" t="s">
        <v>701</v>
      </c>
    </row>
    <row r="42" spans="1:21" x14ac:dyDescent="0.2">
      <c r="A42">
        <v>100</v>
      </c>
      <c r="B42">
        <v>1</v>
      </c>
      <c r="C42" t="s">
        <v>3</v>
      </c>
      <c r="D42" t="s">
        <v>3</v>
      </c>
      <c r="E42" t="s">
        <v>22</v>
      </c>
      <c r="F42" t="s">
        <v>22</v>
      </c>
      <c r="G42" t="s">
        <v>22</v>
      </c>
      <c r="H42" t="s">
        <v>3</v>
      </c>
      <c r="I42" t="s">
        <v>22</v>
      </c>
      <c r="J42" t="s">
        <v>22</v>
      </c>
      <c r="K42" t="s">
        <v>3</v>
      </c>
      <c r="L42" t="s">
        <v>3</v>
      </c>
      <c r="M42" t="s">
        <v>3</v>
      </c>
      <c r="N42" t="s">
        <v>3</v>
      </c>
      <c r="O42" t="s">
        <v>22</v>
      </c>
      <c r="P42" t="s">
        <v>3</v>
      </c>
      <c r="Q42" t="s">
        <v>3</v>
      </c>
      <c r="R42" t="s">
        <v>3</v>
      </c>
      <c r="S42" t="s">
        <v>700</v>
      </c>
      <c r="T42" t="s">
        <v>707</v>
      </c>
      <c r="U42" t="s">
        <v>701</v>
      </c>
    </row>
    <row r="43" spans="1:21" x14ac:dyDescent="0.2">
      <c r="A43">
        <v>101</v>
      </c>
      <c r="B43">
        <v>1</v>
      </c>
      <c r="C43" t="s">
        <v>3</v>
      </c>
      <c r="D43" t="s">
        <v>3</v>
      </c>
      <c r="E43" t="s">
        <v>22</v>
      </c>
      <c r="F43" t="s">
        <v>22</v>
      </c>
      <c r="G43" t="s">
        <v>22</v>
      </c>
      <c r="H43" t="s">
        <v>3</v>
      </c>
      <c r="I43" t="s">
        <v>22</v>
      </c>
      <c r="J43" t="s">
        <v>22</v>
      </c>
      <c r="K43" t="s">
        <v>3</v>
      </c>
      <c r="L43" t="s">
        <v>3</v>
      </c>
      <c r="M43" t="s">
        <v>3</v>
      </c>
      <c r="N43" t="s">
        <v>3</v>
      </c>
      <c r="O43" t="s">
        <v>22</v>
      </c>
      <c r="P43" t="s">
        <v>3</v>
      </c>
      <c r="Q43" t="s">
        <v>3</v>
      </c>
      <c r="R43" t="s">
        <v>3</v>
      </c>
      <c r="S43" t="s">
        <v>700</v>
      </c>
      <c r="T43" t="s">
        <v>707</v>
      </c>
      <c r="U43" t="s">
        <v>701</v>
      </c>
    </row>
    <row r="44" spans="1:21" x14ac:dyDescent="0.2">
      <c r="A44">
        <v>102</v>
      </c>
      <c r="B44">
        <v>1</v>
      </c>
      <c r="C44" t="s">
        <v>3</v>
      </c>
      <c r="D44" t="s">
        <v>3</v>
      </c>
      <c r="E44" t="s">
        <v>22</v>
      </c>
      <c r="F44" t="s">
        <v>22</v>
      </c>
      <c r="G44" t="s">
        <v>22</v>
      </c>
      <c r="H44" t="s">
        <v>3</v>
      </c>
      <c r="I44" t="s">
        <v>22</v>
      </c>
      <c r="J44" t="s">
        <v>22</v>
      </c>
      <c r="K44" t="s">
        <v>3</v>
      </c>
      <c r="L44" t="s">
        <v>3</v>
      </c>
      <c r="M44" t="s">
        <v>3</v>
      </c>
      <c r="N44" t="s">
        <v>3</v>
      </c>
      <c r="O44" t="s">
        <v>22</v>
      </c>
      <c r="P44" t="s">
        <v>3</v>
      </c>
      <c r="Q44" t="s">
        <v>3</v>
      </c>
      <c r="R44" t="s">
        <v>3</v>
      </c>
      <c r="S44" t="s">
        <v>700</v>
      </c>
      <c r="T44" t="s">
        <v>707</v>
      </c>
      <c r="U44" t="s">
        <v>701</v>
      </c>
    </row>
    <row r="45" spans="1:21" x14ac:dyDescent="0.2">
      <c r="A45">
        <v>103</v>
      </c>
      <c r="B45">
        <v>1</v>
      </c>
      <c r="C45" t="s">
        <v>3</v>
      </c>
      <c r="D45" t="s">
        <v>3</v>
      </c>
      <c r="E45" t="s">
        <v>22</v>
      </c>
      <c r="F45" t="s">
        <v>22</v>
      </c>
      <c r="G45" t="s">
        <v>22</v>
      </c>
      <c r="H45" t="s">
        <v>3</v>
      </c>
      <c r="I45" t="s">
        <v>22</v>
      </c>
      <c r="J45" t="s">
        <v>22</v>
      </c>
      <c r="K45" t="s">
        <v>3</v>
      </c>
      <c r="L45" t="s">
        <v>3</v>
      </c>
      <c r="M45" t="s">
        <v>3</v>
      </c>
      <c r="N45" t="s">
        <v>3</v>
      </c>
      <c r="O45" t="s">
        <v>22</v>
      </c>
      <c r="P45" t="s">
        <v>3</v>
      </c>
      <c r="Q45" t="s">
        <v>3</v>
      </c>
      <c r="R45" t="s">
        <v>3</v>
      </c>
      <c r="S45" t="s">
        <v>700</v>
      </c>
      <c r="T45" t="s">
        <v>707</v>
      </c>
      <c r="U45" t="s">
        <v>701</v>
      </c>
    </row>
    <row r="46" spans="1:21" x14ac:dyDescent="0.2">
      <c r="A46">
        <v>103</v>
      </c>
      <c r="B46">
        <v>1</v>
      </c>
      <c r="C46" t="s">
        <v>3</v>
      </c>
      <c r="D46" t="s">
        <v>163</v>
      </c>
      <c r="E46" t="s">
        <v>702</v>
      </c>
      <c r="F46" t="s">
        <v>702</v>
      </c>
      <c r="G46" t="s">
        <v>702</v>
      </c>
      <c r="H46" t="s">
        <v>3</v>
      </c>
      <c r="I46" t="s">
        <v>702</v>
      </c>
      <c r="J46" t="s">
        <v>702</v>
      </c>
      <c r="K46" t="s">
        <v>3</v>
      </c>
      <c r="L46" t="s">
        <v>3</v>
      </c>
      <c r="M46" t="s">
        <v>3</v>
      </c>
      <c r="N46" t="s">
        <v>163</v>
      </c>
      <c r="O46" t="s">
        <v>703</v>
      </c>
      <c r="P46" t="s">
        <v>3</v>
      </c>
      <c r="Q46" t="s">
        <v>3</v>
      </c>
      <c r="R46" t="s">
        <v>3</v>
      </c>
      <c r="S46" t="s">
        <v>704</v>
      </c>
      <c r="T46" t="s">
        <v>709</v>
      </c>
      <c r="U46" t="s">
        <v>705</v>
      </c>
    </row>
    <row r="47" spans="1:21" x14ac:dyDescent="0.2">
      <c r="A47">
        <v>104</v>
      </c>
      <c r="B47">
        <v>1</v>
      </c>
      <c r="C47" t="s">
        <v>3</v>
      </c>
      <c r="D47" t="s">
        <v>3</v>
      </c>
      <c r="E47" t="s">
        <v>22</v>
      </c>
      <c r="F47" t="s">
        <v>22</v>
      </c>
      <c r="G47" t="s">
        <v>22</v>
      </c>
      <c r="H47" t="s">
        <v>3</v>
      </c>
      <c r="I47" t="s">
        <v>22</v>
      </c>
      <c r="J47" t="s">
        <v>22</v>
      </c>
      <c r="K47" t="s">
        <v>3</v>
      </c>
      <c r="L47" t="s">
        <v>3</v>
      </c>
      <c r="M47" t="s">
        <v>3</v>
      </c>
      <c r="N47" t="s">
        <v>3</v>
      </c>
      <c r="O47" t="s">
        <v>22</v>
      </c>
      <c r="P47" t="s">
        <v>3</v>
      </c>
      <c r="Q47" t="s">
        <v>3</v>
      </c>
      <c r="R47" t="s">
        <v>3</v>
      </c>
      <c r="S47" t="s">
        <v>700</v>
      </c>
      <c r="T47" t="s">
        <v>707</v>
      </c>
      <c r="U47" t="s">
        <v>701</v>
      </c>
    </row>
    <row r="48" spans="1:21" x14ac:dyDescent="0.2">
      <c r="A48">
        <v>104</v>
      </c>
      <c r="B48">
        <v>1</v>
      </c>
      <c r="C48" t="s">
        <v>3</v>
      </c>
      <c r="D48" t="s">
        <v>163</v>
      </c>
      <c r="E48" t="s">
        <v>702</v>
      </c>
      <c r="F48" t="s">
        <v>702</v>
      </c>
      <c r="G48" t="s">
        <v>702</v>
      </c>
      <c r="H48" t="s">
        <v>3</v>
      </c>
      <c r="I48" t="s">
        <v>702</v>
      </c>
      <c r="J48" t="s">
        <v>702</v>
      </c>
      <c r="K48" t="s">
        <v>3</v>
      </c>
      <c r="L48" t="s">
        <v>3</v>
      </c>
      <c r="M48" t="s">
        <v>3</v>
      </c>
      <c r="N48" t="s">
        <v>163</v>
      </c>
      <c r="O48" t="s">
        <v>703</v>
      </c>
      <c r="P48" t="s">
        <v>3</v>
      </c>
      <c r="Q48" t="s">
        <v>3</v>
      </c>
      <c r="R48" t="s">
        <v>3</v>
      </c>
      <c r="S48" t="s">
        <v>704</v>
      </c>
      <c r="T48" t="s">
        <v>709</v>
      </c>
      <c r="U48" t="s">
        <v>705</v>
      </c>
    </row>
    <row r="49" spans="1:21" x14ac:dyDescent="0.2">
      <c r="A49">
        <v>105</v>
      </c>
      <c r="B49">
        <v>1</v>
      </c>
      <c r="C49" t="s">
        <v>3</v>
      </c>
      <c r="D49" t="s">
        <v>3</v>
      </c>
      <c r="E49" t="s">
        <v>22</v>
      </c>
      <c r="F49" t="s">
        <v>22</v>
      </c>
      <c r="G49" t="s">
        <v>22</v>
      </c>
      <c r="H49" t="s">
        <v>3</v>
      </c>
      <c r="I49" t="s">
        <v>22</v>
      </c>
      <c r="J49" t="s">
        <v>22</v>
      </c>
      <c r="K49" t="s">
        <v>3</v>
      </c>
      <c r="L49" t="s">
        <v>3</v>
      </c>
      <c r="M49" t="s">
        <v>3</v>
      </c>
      <c r="N49" t="s">
        <v>3</v>
      </c>
      <c r="O49" t="s">
        <v>22</v>
      </c>
      <c r="P49" t="s">
        <v>3</v>
      </c>
      <c r="Q49" t="s">
        <v>3</v>
      </c>
      <c r="R49" t="s">
        <v>3</v>
      </c>
      <c r="S49" t="s">
        <v>700</v>
      </c>
      <c r="T49" t="s">
        <v>707</v>
      </c>
      <c r="U49" t="s">
        <v>701</v>
      </c>
    </row>
    <row r="50" spans="1:21" x14ac:dyDescent="0.2">
      <c r="A50">
        <v>106</v>
      </c>
      <c r="B50">
        <v>1</v>
      </c>
      <c r="C50" t="s">
        <v>3</v>
      </c>
      <c r="D50" t="s">
        <v>3</v>
      </c>
      <c r="E50" t="s">
        <v>22</v>
      </c>
      <c r="F50" t="s">
        <v>22</v>
      </c>
      <c r="G50" t="s">
        <v>22</v>
      </c>
      <c r="H50" t="s">
        <v>3</v>
      </c>
      <c r="I50" t="s">
        <v>22</v>
      </c>
      <c r="J50" t="s">
        <v>22</v>
      </c>
      <c r="K50" t="s">
        <v>3</v>
      </c>
      <c r="L50" t="s">
        <v>3</v>
      </c>
      <c r="M50" t="s">
        <v>3</v>
      </c>
      <c r="N50" t="s">
        <v>3</v>
      </c>
      <c r="O50" t="s">
        <v>22</v>
      </c>
      <c r="P50" t="s">
        <v>3</v>
      </c>
      <c r="Q50" t="s">
        <v>3</v>
      </c>
      <c r="R50" t="s">
        <v>3</v>
      </c>
      <c r="S50" t="s">
        <v>700</v>
      </c>
      <c r="T50" t="s">
        <v>707</v>
      </c>
      <c r="U50" t="s">
        <v>701</v>
      </c>
    </row>
    <row r="51" spans="1:21" x14ac:dyDescent="0.2">
      <c r="A51">
        <v>107</v>
      </c>
      <c r="B51">
        <v>1</v>
      </c>
      <c r="C51" t="s">
        <v>3</v>
      </c>
      <c r="D51" t="s">
        <v>3</v>
      </c>
      <c r="E51" t="s">
        <v>22</v>
      </c>
      <c r="F51" t="s">
        <v>22</v>
      </c>
      <c r="G51" t="s">
        <v>22</v>
      </c>
      <c r="H51" t="s">
        <v>3</v>
      </c>
      <c r="I51" t="s">
        <v>22</v>
      </c>
      <c r="J51" t="s">
        <v>22</v>
      </c>
      <c r="K51" t="s">
        <v>3</v>
      </c>
      <c r="L51" t="s">
        <v>3</v>
      </c>
      <c r="M51" t="s">
        <v>3</v>
      </c>
      <c r="N51" t="s">
        <v>3</v>
      </c>
      <c r="O51" t="s">
        <v>22</v>
      </c>
      <c r="P51" t="s">
        <v>3</v>
      </c>
      <c r="Q51" t="s">
        <v>3</v>
      </c>
      <c r="R51" t="s">
        <v>3</v>
      </c>
      <c r="S51" t="s">
        <v>700</v>
      </c>
      <c r="T51" t="s">
        <v>707</v>
      </c>
      <c r="U51" t="s">
        <v>701</v>
      </c>
    </row>
    <row r="52" spans="1:21" x14ac:dyDescent="0.2">
      <c r="A52">
        <v>108</v>
      </c>
      <c r="B52">
        <v>1</v>
      </c>
      <c r="C52" t="s">
        <v>3</v>
      </c>
      <c r="D52" t="s">
        <v>3</v>
      </c>
      <c r="E52" t="s">
        <v>22</v>
      </c>
      <c r="F52" t="s">
        <v>22</v>
      </c>
      <c r="G52" t="s">
        <v>22</v>
      </c>
      <c r="H52" t="s">
        <v>3</v>
      </c>
      <c r="I52" t="s">
        <v>22</v>
      </c>
      <c r="J52" t="s">
        <v>22</v>
      </c>
      <c r="K52" t="s">
        <v>3</v>
      </c>
      <c r="L52" t="s">
        <v>3</v>
      </c>
      <c r="M52" t="s">
        <v>3</v>
      </c>
      <c r="N52" t="s">
        <v>3</v>
      </c>
      <c r="O52" t="s">
        <v>22</v>
      </c>
      <c r="P52" t="s">
        <v>3</v>
      </c>
      <c r="Q52" t="s">
        <v>3</v>
      </c>
      <c r="R52" t="s">
        <v>3</v>
      </c>
      <c r="S52" t="s">
        <v>700</v>
      </c>
      <c r="T52" t="s">
        <v>707</v>
      </c>
      <c r="U52" t="s">
        <v>701</v>
      </c>
    </row>
    <row r="53" spans="1:21" x14ac:dyDescent="0.2">
      <c r="A53">
        <v>109</v>
      </c>
      <c r="B53">
        <v>1</v>
      </c>
      <c r="C53" t="s">
        <v>3</v>
      </c>
      <c r="D53" t="s">
        <v>3</v>
      </c>
      <c r="E53" t="s">
        <v>22</v>
      </c>
      <c r="F53" t="s">
        <v>22</v>
      </c>
      <c r="G53" t="s">
        <v>22</v>
      </c>
      <c r="H53" t="s">
        <v>3</v>
      </c>
      <c r="I53" t="s">
        <v>22</v>
      </c>
      <c r="J53" t="s">
        <v>22</v>
      </c>
      <c r="K53" t="s">
        <v>3</v>
      </c>
      <c r="L53" t="s">
        <v>3</v>
      </c>
      <c r="M53" t="s">
        <v>3</v>
      </c>
      <c r="N53" t="s">
        <v>3</v>
      </c>
      <c r="O53" t="s">
        <v>22</v>
      </c>
      <c r="P53" t="s">
        <v>3</v>
      </c>
      <c r="Q53" t="s">
        <v>3</v>
      </c>
      <c r="R53" t="s">
        <v>3</v>
      </c>
      <c r="S53" t="s">
        <v>700</v>
      </c>
      <c r="T53" t="s">
        <v>707</v>
      </c>
      <c r="U53" t="s">
        <v>701</v>
      </c>
    </row>
    <row r="54" spans="1:21" x14ac:dyDescent="0.2">
      <c r="A54">
        <v>110</v>
      </c>
      <c r="B54">
        <v>1</v>
      </c>
      <c r="C54" t="s">
        <v>3</v>
      </c>
      <c r="D54" t="s">
        <v>3</v>
      </c>
      <c r="E54" t="s">
        <v>22</v>
      </c>
      <c r="F54" t="s">
        <v>22</v>
      </c>
      <c r="G54" t="s">
        <v>22</v>
      </c>
      <c r="H54" t="s">
        <v>3</v>
      </c>
      <c r="I54" t="s">
        <v>22</v>
      </c>
      <c r="J54" t="s">
        <v>22</v>
      </c>
      <c r="K54" t="s">
        <v>3</v>
      </c>
      <c r="L54" t="s">
        <v>3</v>
      </c>
      <c r="M54" t="s">
        <v>3</v>
      </c>
      <c r="N54" t="s">
        <v>3</v>
      </c>
      <c r="O54" t="s">
        <v>22</v>
      </c>
      <c r="P54" t="s">
        <v>3</v>
      </c>
      <c r="Q54" t="s">
        <v>3</v>
      </c>
      <c r="R54" t="s">
        <v>3</v>
      </c>
      <c r="S54" t="s">
        <v>700</v>
      </c>
      <c r="T54" t="s">
        <v>707</v>
      </c>
      <c r="U54" t="s">
        <v>701</v>
      </c>
    </row>
    <row r="55" spans="1:21" x14ac:dyDescent="0.2">
      <c r="A55">
        <v>111</v>
      </c>
      <c r="B55">
        <v>1</v>
      </c>
      <c r="C55" t="s">
        <v>3</v>
      </c>
      <c r="D55" t="s">
        <v>3</v>
      </c>
      <c r="E55" t="s">
        <v>22</v>
      </c>
      <c r="F55" t="s">
        <v>22</v>
      </c>
      <c r="G55" t="s">
        <v>22</v>
      </c>
      <c r="H55" t="s">
        <v>3</v>
      </c>
      <c r="I55" t="s">
        <v>22</v>
      </c>
      <c r="J55" t="s">
        <v>22</v>
      </c>
      <c r="K55" t="s">
        <v>3</v>
      </c>
      <c r="L55" t="s">
        <v>3</v>
      </c>
      <c r="M55" t="s">
        <v>3</v>
      </c>
      <c r="N55" t="s">
        <v>3</v>
      </c>
      <c r="O55" t="s">
        <v>22</v>
      </c>
      <c r="P55" t="s">
        <v>3</v>
      </c>
      <c r="Q55" t="s">
        <v>3</v>
      </c>
      <c r="R55" t="s">
        <v>3</v>
      </c>
      <c r="S55" t="s">
        <v>700</v>
      </c>
      <c r="T55" t="s">
        <v>707</v>
      </c>
      <c r="U55" t="s">
        <v>701</v>
      </c>
    </row>
    <row r="56" spans="1:21" x14ac:dyDescent="0.2">
      <c r="A56">
        <v>112</v>
      </c>
      <c r="B56">
        <v>1</v>
      </c>
      <c r="C56" t="s">
        <v>3</v>
      </c>
      <c r="D56" t="s">
        <v>3</v>
      </c>
      <c r="E56" t="s">
        <v>22</v>
      </c>
      <c r="F56" t="s">
        <v>22</v>
      </c>
      <c r="G56" t="s">
        <v>22</v>
      </c>
      <c r="H56" t="s">
        <v>3</v>
      </c>
      <c r="I56" t="s">
        <v>22</v>
      </c>
      <c r="J56" t="s">
        <v>22</v>
      </c>
      <c r="K56" t="s">
        <v>3</v>
      </c>
      <c r="L56" t="s">
        <v>3</v>
      </c>
      <c r="M56" t="s">
        <v>3</v>
      </c>
      <c r="N56" t="s">
        <v>3</v>
      </c>
      <c r="O56" t="s">
        <v>22</v>
      </c>
      <c r="P56" t="s">
        <v>3</v>
      </c>
      <c r="Q56" t="s">
        <v>3</v>
      </c>
      <c r="R56" t="s">
        <v>3</v>
      </c>
      <c r="S56" t="s">
        <v>700</v>
      </c>
      <c r="T56" t="s">
        <v>707</v>
      </c>
      <c r="U56" t="s">
        <v>701</v>
      </c>
    </row>
    <row r="57" spans="1:21" x14ac:dyDescent="0.2">
      <c r="A57">
        <v>113</v>
      </c>
      <c r="B57">
        <v>1</v>
      </c>
      <c r="C57" t="s">
        <v>3</v>
      </c>
      <c r="D57" t="s">
        <v>3</v>
      </c>
      <c r="E57" t="s">
        <v>22</v>
      </c>
      <c r="F57" t="s">
        <v>22</v>
      </c>
      <c r="G57" t="s">
        <v>22</v>
      </c>
      <c r="H57" t="s">
        <v>3</v>
      </c>
      <c r="I57" t="s">
        <v>22</v>
      </c>
      <c r="J57" t="s">
        <v>22</v>
      </c>
      <c r="K57" t="s">
        <v>3</v>
      </c>
      <c r="L57" t="s">
        <v>3</v>
      </c>
      <c r="M57" t="s">
        <v>3</v>
      </c>
      <c r="N57" t="s">
        <v>3</v>
      </c>
      <c r="O57" t="s">
        <v>22</v>
      </c>
      <c r="P57" t="s">
        <v>3</v>
      </c>
      <c r="Q57" t="s">
        <v>3</v>
      </c>
      <c r="R57" t="s">
        <v>3</v>
      </c>
      <c r="S57" t="s">
        <v>700</v>
      </c>
      <c r="T57" t="s">
        <v>707</v>
      </c>
      <c r="U57" t="s">
        <v>701</v>
      </c>
    </row>
    <row r="58" spans="1:21" x14ac:dyDescent="0.2">
      <c r="A58">
        <v>114</v>
      </c>
      <c r="B58">
        <v>1</v>
      </c>
      <c r="C58" t="s">
        <v>3</v>
      </c>
      <c r="D58" t="s">
        <v>3</v>
      </c>
      <c r="E58" t="s">
        <v>22</v>
      </c>
      <c r="F58" t="s">
        <v>22</v>
      </c>
      <c r="G58" t="s">
        <v>22</v>
      </c>
      <c r="H58" t="s">
        <v>3</v>
      </c>
      <c r="I58" t="s">
        <v>22</v>
      </c>
      <c r="J58" t="s">
        <v>22</v>
      </c>
      <c r="K58" t="s">
        <v>3</v>
      </c>
      <c r="L58" t="s">
        <v>3</v>
      </c>
      <c r="M58" t="s">
        <v>3</v>
      </c>
      <c r="N58" t="s">
        <v>3</v>
      </c>
      <c r="O58" t="s">
        <v>22</v>
      </c>
      <c r="P58" t="s">
        <v>3</v>
      </c>
      <c r="Q58" t="s">
        <v>3</v>
      </c>
      <c r="R58" t="s">
        <v>3</v>
      </c>
      <c r="S58" t="s">
        <v>700</v>
      </c>
      <c r="T58" t="s">
        <v>707</v>
      </c>
      <c r="U58" t="s">
        <v>701</v>
      </c>
    </row>
    <row r="59" spans="1:21" x14ac:dyDescent="0.2">
      <c r="A59">
        <v>115</v>
      </c>
      <c r="B59">
        <v>1</v>
      </c>
      <c r="C59" t="s">
        <v>3</v>
      </c>
      <c r="D59" t="s">
        <v>3</v>
      </c>
      <c r="E59" t="s">
        <v>22</v>
      </c>
      <c r="F59" t="s">
        <v>22</v>
      </c>
      <c r="G59" t="s">
        <v>22</v>
      </c>
      <c r="H59" t="s">
        <v>3</v>
      </c>
      <c r="I59" t="s">
        <v>22</v>
      </c>
      <c r="J59" t="s">
        <v>22</v>
      </c>
      <c r="K59" t="s">
        <v>3</v>
      </c>
      <c r="L59" t="s">
        <v>3</v>
      </c>
      <c r="M59" t="s">
        <v>3</v>
      </c>
      <c r="N59" t="s">
        <v>3</v>
      </c>
      <c r="O59" t="s">
        <v>22</v>
      </c>
      <c r="P59" t="s">
        <v>3</v>
      </c>
      <c r="Q59" t="s">
        <v>3</v>
      </c>
      <c r="R59" t="s">
        <v>3</v>
      </c>
      <c r="S59" t="s">
        <v>700</v>
      </c>
      <c r="T59" t="s">
        <v>707</v>
      </c>
      <c r="U59" t="s">
        <v>701</v>
      </c>
    </row>
    <row r="60" spans="1:21" x14ac:dyDescent="0.2">
      <c r="A60">
        <v>116</v>
      </c>
      <c r="B60">
        <v>1</v>
      </c>
      <c r="C60" t="s">
        <v>3</v>
      </c>
      <c r="D60" t="s">
        <v>3</v>
      </c>
      <c r="E60" t="s">
        <v>22</v>
      </c>
      <c r="F60" t="s">
        <v>22</v>
      </c>
      <c r="G60" t="s">
        <v>22</v>
      </c>
      <c r="H60" t="s">
        <v>3</v>
      </c>
      <c r="I60" t="s">
        <v>22</v>
      </c>
      <c r="J60" t="s">
        <v>22</v>
      </c>
      <c r="K60" t="s">
        <v>3</v>
      </c>
      <c r="L60" t="s">
        <v>3</v>
      </c>
      <c r="M60" t="s">
        <v>3</v>
      </c>
      <c r="N60" t="s">
        <v>3</v>
      </c>
      <c r="O60" t="s">
        <v>22</v>
      </c>
      <c r="P60" t="s">
        <v>3</v>
      </c>
      <c r="Q60" t="s">
        <v>3</v>
      </c>
      <c r="R60" t="s">
        <v>3</v>
      </c>
      <c r="S60" t="s">
        <v>700</v>
      </c>
      <c r="T60" t="s">
        <v>707</v>
      </c>
      <c r="U60" t="s">
        <v>701</v>
      </c>
    </row>
    <row r="61" spans="1:21" x14ac:dyDescent="0.2">
      <c r="A61">
        <v>117</v>
      </c>
      <c r="B61">
        <v>1</v>
      </c>
      <c r="C61" t="s">
        <v>3</v>
      </c>
      <c r="D61" t="s">
        <v>3</v>
      </c>
      <c r="E61" t="s">
        <v>22</v>
      </c>
      <c r="F61" t="s">
        <v>22</v>
      </c>
      <c r="G61" t="s">
        <v>22</v>
      </c>
      <c r="H61" t="s">
        <v>3</v>
      </c>
      <c r="I61" t="s">
        <v>22</v>
      </c>
      <c r="J61" t="s">
        <v>22</v>
      </c>
      <c r="K61" t="s">
        <v>3</v>
      </c>
      <c r="L61" t="s">
        <v>3</v>
      </c>
      <c r="M61" t="s">
        <v>3</v>
      </c>
      <c r="N61" t="s">
        <v>3</v>
      </c>
      <c r="O61" t="s">
        <v>22</v>
      </c>
      <c r="P61" t="s">
        <v>3</v>
      </c>
      <c r="Q61" t="s">
        <v>3</v>
      </c>
      <c r="R61" t="s">
        <v>3</v>
      </c>
      <c r="S61" t="s">
        <v>700</v>
      </c>
      <c r="T61" t="s">
        <v>707</v>
      </c>
      <c r="U61" t="s">
        <v>701</v>
      </c>
    </row>
    <row r="62" spans="1:21" x14ac:dyDescent="0.2">
      <c r="A62">
        <v>118</v>
      </c>
      <c r="B62">
        <v>1</v>
      </c>
      <c r="C62" t="s">
        <v>3</v>
      </c>
      <c r="D62" t="s">
        <v>3</v>
      </c>
      <c r="E62" t="s">
        <v>22</v>
      </c>
      <c r="F62" t="s">
        <v>22</v>
      </c>
      <c r="G62" t="s">
        <v>22</v>
      </c>
      <c r="H62" t="s">
        <v>3</v>
      </c>
      <c r="I62" t="s">
        <v>22</v>
      </c>
      <c r="J62" t="s">
        <v>22</v>
      </c>
      <c r="K62" t="s">
        <v>3</v>
      </c>
      <c r="L62" t="s">
        <v>3</v>
      </c>
      <c r="M62" t="s">
        <v>3</v>
      </c>
      <c r="N62" t="s">
        <v>3</v>
      </c>
      <c r="O62" t="s">
        <v>22</v>
      </c>
      <c r="P62" t="s">
        <v>3</v>
      </c>
      <c r="Q62" t="s">
        <v>3</v>
      </c>
      <c r="R62" t="s">
        <v>3</v>
      </c>
      <c r="S62" t="s">
        <v>700</v>
      </c>
      <c r="T62" t="s">
        <v>707</v>
      </c>
      <c r="U62" t="s">
        <v>701</v>
      </c>
    </row>
    <row r="63" spans="1:21" x14ac:dyDescent="0.2">
      <c r="A63">
        <v>119</v>
      </c>
      <c r="B63">
        <v>1</v>
      </c>
      <c r="C63" t="s">
        <v>3</v>
      </c>
      <c r="D63" t="s">
        <v>3</v>
      </c>
      <c r="E63" t="s">
        <v>22</v>
      </c>
      <c r="F63" t="s">
        <v>22</v>
      </c>
      <c r="G63" t="s">
        <v>22</v>
      </c>
      <c r="H63" t="s">
        <v>3</v>
      </c>
      <c r="I63" t="s">
        <v>22</v>
      </c>
      <c r="J63" t="s">
        <v>22</v>
      </c>
      <c r="K63" t="s">
        <v>3</v>
      </c>
      <c r="L63" t="s">
        <v>3</v>
      </c>
      <c r="M63" t="s">
        <v>3</v>
      </c>
      <c r="N63" t="s">
        <v>3</v>
      </c>
      <c r="O63" t="s">
        <v>22</v>
      </c>
      <c r="P63" t="s">
        <v>3</v>
      </c>
      <c r="Q63" t="s">
        <v>3</v>
      </c>
      <c r="R63" t="s">
        <v>3</v>
      </c>
      <c r="S63" t="s">
        <v>700</v>
      </c>
      <c r="T63" t="s">
        <v>707</v>
      </c>
      <c r="U63" t="s">
        <v>701</v>
      </c>
    </row>
    <row r="64" spans="1:21" x14ac:dyDescent="0.2">
      <c r="A64">
        <v>120</v>
      </c>
      <c r="B64">
        <v>1</v>
      </c>
      <c r="C64" t="s">
        <v>3</v>
      </c>
      <c r="D64" t="s">
        <v>3</v>
      </c>
      <c r="E64" t="s">
        <v>22</v>
      </c>
      <c r="F64" t="s">
        <v>22</v>
      </c>
      <c r="G64" t="s">
        <v>22</v>
      </c>
      <c r="H64" t="s">
        <v>3</v>
      </c>
      <c r="I64" t="s">
        <v>22</v>
      </c>
      <c r="J64" t="s">
        <v>22</v>
      </c>
      <c r="K64" t="s">
        <v>3</v>
      </c>
      <c r="L64" t="s">
        <v>3</v>
      </c>
      <c r="M64" t="s">
        <v>3</v>
      </c>
      <c r="N64" t="s">
        <v>3</v>
      </c>
      <c r="O64" t="s">
        <v>22</v>
      </c>
      <c r="P64" t="s">
        <v>3</v>
      </c>
      <c r="Q64" t="s">
        <v>3</v>
      </c>
      <c r="R64" t="s">
        <v>3</v>
      </c>
      <c r="S64" t="s">
        <v>700</v>
      </c>
      <c r="T64" t="s">
        <v>707</v>
      </c>
      <c r="U64" t="s">
        <v>701</v>
      </c>
    </row>
    <row r="65" spans="1:21" x14ac:dyDescent="0.2">
      <c r="A65">
        <v>129</v>
      </c>
      <c r="B65">
        <v>1</v>
      </c>
      <c r="C65" t="s">
        <v>3</v>
      </c>
      <c r="D65" t="s">
        <v>3</v>
      </c>
      <c r="E65" t="s">
        <v>22</v>
      </c>
      <c r="F65" t="s">
        <v>22</v>
      </c>
      <c r="G65" t="s">
        <v>22</v>
      </c>
      <c r="H65" t="s">
        <v>3</v>
      </c>
      <c r="I65" t="s">
        <v>22</v>
      </c>
      <c r="J65" t="s">
        <v>22</v>
      </c>
      <c r="K65" t="s">
        <v>3</v>
      </c>
      <c r="L65" t="s">
        <v>3</v>
      </c>
      <c r="M65" t="s">
        <v>3</v>
      </c>
      <c r="N65" t="s">
        <v>3</v>
      </c>
      <c r="O65" t="s">
        <v>22</v>
      </c>
      <c r="P65" t="s">
        <v>3</v>
      </c>
      <c r="Q65" t="s">
        <v>3</v>
      </c>
      <c r="R65" t="s">
        <v>3</v>
      </c>
      <c r="S65" t="s">
        <v>700</v>
      </c>
      <c r="T65" t="s">
        <v>707</v>
      </c>
      <c r="U65" t="s">
        <v>701</v>
      </c>
    </row>
    <row r="66" spans="1:21" x14ac:dyDescent="0.2">
      <c r="A66">
        <v>130</v>
      </c>
      <c r="B66">
        <v>1</v>
      </c>
      <c r="C66" t="s">
        <v>3</v>
      </c>
      <c r="D66" t="s">
        <v>3</v>
      </c>
      <c r="E66" t="s">
        <v>22</v>
      </c>
      <c r="F66" t="s">
        <v>22</v>
      </c>
      <c r="G66" t="s">
        <v>22</v>
      </c>
      <c r="H66" t="s">
        <v>3</v>
      </c>
      <c r="I66" t="s">
        <v>22</v>
      </c>
      <c r="J66" t="s">
        <v>22</v>
      </c>
      <c r="K66" t="s">
        <v>3</v>
      </c>
      <c r="L66" t="s">
        <v>3</v>
      </c>
      <c r="M66" t="s">
        <v>3</v>
      </c>
      <c r="N66" t="s">
        <v>3</v>
      </c>
      <c r="O66" t="s">
        <v>22</v>
      </c>
      <c r="P66" t="s">
        <v>3</v>
      </c>
      <c r="Q66" t="s">
        <v>3</v>
      </c>
      <c r="R66" t="s">
        <v>3</v>
      </c>
      <c r="S66" t="s">
        <v>700</v>
      </c>
      <c r="T66" t="s">
        <v>707</v>
      </c>
      <c r="U66" t="s">
        <v>701</v>
      </c>
    </row>
    <row r="67" spans="1:21" x14ac:dyDescent="0.2">
      <c r="A67">
        <v>131</v>
      </c>
      <c r="B67">
        <v>1</v>
      </c>
      <c r="C67" t="s">
        <v>3</v>
      </c>
      <c r="D67" t="s">
        <v>3</v>
      </c>
      <c r="E67" t="s">
        <v>22</v>
      </c>
      <c r="F67" t="s">
        <v>22</v>
      </c>
      <c r="G67" t="s">
        <v>22</v>
      </c>
      <c r="H67" t="s">
        <v>3</v>
      </c>
      <c r="I67" t="s">
        <v>22</v>
      </c>
      <c r="J67" t="s">
        <v>22</v>
      </c>
      <c r="K67" t="s">
        <v>3</v>
      </c>
      <c r="L67" t="s">
        <v>3</v>
      </c>
      <c r="M67" t="s">
        <v>3</v>
      </c>
      <c r="N67" t="s">
        <v>3</v>
      </c>
      <c r="O67" t="s">
        <v>22</v>
      </c>
      <c r="P67" t="s">
        <v>3</v>
      </c>
      <c r="Q67" t="s">
        <v>3</v>
      </c>
      <c r="R67" t="s">
        <v>3</v>
      </c>
      <c r="S67" t="s">
        <v>700</v>
      </c>
      <c r="T67" t="s">
        <v>707</v>
      </c>
      <c r="U67" t="s">
        <v>701</v>
      </c>
    </row>
    <row r="68" spans="1:21" x14ac:dyDescent="0.2">
      <c r="A68">
        <v>132</v>
      </c>
      <c r="B68">
        <v>1</v>
      </c>
      <c r="C68" t="s">
        <v>3</v>
      </c>
      <c r="D68" t="s">
        <v>3</v>
      </c>
      <c r="E68" t="s">
        <v>22</v>
      </c>
      <c r="F68" t="s">
        <v>22</v>
      </c>
      <c r="G68" t="s">
        <v>22</v>
      </c>
      <c r="H68" t="s">
        <v>3</v>
      </c>
      <c r="I68" t="s">
        <v>22</v>
      </c>
      <c r="J68" t="s">
        <v>22</v>
      </c>
      <c r="K68" t="s">
        <v>3</v>
      </c>
      <c r="L68" t="s">
        <v>3</v>
      </c>
      <c r="M68" t="s">
        <v>3</v>
      </c>
      <c r="N68" t="s">
        <v>3</v>
      </c>
      <c r="O68" t="s">
        <v>22</v>
      </c>
      <c r="P68" t="s">
        <v>3</v>
      </c>
      <c r="Q68" t="s">
        <v>3</v>
      </c>
      <c r="R68" t="s">
        <v>3</v>
      </c>
      <c r="S68" t="s">
        <v>700</v>
      </c>
      <c r="T68" t="s">
        <v>707</v>
      </c>
      <c r="U68" t="s">
        <v>701</v>
      </c>
    </row>
    <row r="69" spans="1:21" x14ac:dyDescent="0.2">
      <c r="A69">
        <v>133</v>
      </c>
      <c r="B69">
        <v>1</v>
      </c>
      <c r="C69" t="s">
        <v>3</v>
      </c>
      <c r="D69" t="s">
        <v>3</v>
      </c>
      <c r="E69" t="s">
        <v>22</v>
      </c>
      <c r="F69" t="s">
        <v>22</v>
      </c>
      <c r="G69" t="s">
        <v>22</v>
      </c>
      <c r="H69" t="s">
        <v>3</v>
      </c>
      <c r="I69" t="s">
        <v>22</v>
      </c>
      <c r="J69" t="s">
        <v>22</v>
      </c>
      <c r="K69" t="s">
        <v>3</v>
      </c>
      <c r="L69" t="s">
        <v>3</v>
      </c>
      <c r="M69" t="s">
        <v>3</v>
      </c>
      <c r="N69" t="s">
        <v>3</v>
      </c>
      <c r="O69" t="s">
        <v>22</v>
      </c>
      <c r="P69" t="s">
        <v>3</v>
      </c>
      <c r="Q69" t="s">
        <v>3</v>
      </c>
      <c r="R69" t="s">
        <v>3</v>
      </c>
      <c r="S69" t="s">
        <v>700</v>
      </c>
      <c r="T69" t="s">
        <v>707</v>
      </c>
      <c r="U69" t="s">
        <v>701</v>
      </c>
    </row>
    <row r="70" spans="1:21" x14ac:dyDescent="0.2">
      <c r="A70">
        <v>134</v>
      </c>
      <c r="B70">
        <v>1</v>
      </c>
      <c r="C70" t="s">
        <v>3</v>
      </c>
      <c r="D70" t="s">
        <v>3</v>
      </c>
      <c r="E70" t="s">
        <v>22</v>
      </c>
      <c r="F70" t="s">
        <v>22</v>
      </c>
      <c r="G70" t="s">
        <v>22</v>
      </c>
      <c r="H70" t="s">
        <v>3</v>
      </c>
      <c r="I70" t="s">
        <v>22</v>
      </c>
      <c r="J70" t="s">
        <v>22</v>
      </c>
      <c r="K70" t="s">
        <v>3</v>
      </c>
      <c r="L70" t="s">
        <v>3</v>
      </c>
      <c r="M70" t="s">
        <v>3</v>
      </c>
      <c r="N70" t="s">
        <v>3</v>
      </c>
      <c r="O70" t="s">
        <v>22</v>
      </c>
      <c r="P70" t="s">
        <v>3</v>
      </c>
      <c r="Q70" t="s">
        <v>3</v>
      </c>
      <c r="R70" t="s">
        <v>3</v>
      </c>
      <c r="S70" t="s">
        <v>700</v>
      </c>
      <c r="T70" t="s">
        <v>707</v>
      </c>
      <c r="U70" t="s">
        <v>701</v>
      </c>
    </row>
    <row r="71" spans="1:21" x14ac:dyDescent="0.2">
      <c r="A71">
        <v>135</v>
      </c>
      <c r="B71">
        <v>1</v>
      </c>
      <c r="C71" t="s">
        <v>3</v>
      </c>
      <c r="D71" t="s">
        <v>3</v>
      </c>
      <c r="E71" t="s">
        <v>22</v>
      </c>
      <c r="F71" t="s">
        <v>22</v>
      </c>
      <c r="G71" t="s">
        <v>22</v>
      </c>
      <c r="H71" t="s">
        <v>3</v>
      </c>
      <c r="I71" t="s">
        <v>22</v>
      </c>
      <c r="J71" t="s">
        <v>22</v>
      </c>
      <c r="K71" t="s">
        <v>3</v>
      </c>
      <c r="L71" t="s">
        <v>3</v>
      </c>
      <c r="M71" t="s">
        <v>3</v>
      </c>
      <c r="N71" t="s">
        <v>3</v>
      </c>
      <c r="O71" t="s">
        <v>22</v>
      </c>
      <c r="P71" t="s">
        <v>3</v>
      </c>
      <c r="Q71" t="s">
        <v>3</v>
      </c>
      <c r="R71" t="s">
        <v>3</v>
      </c>
      <c r="S71" t="s">
        <v>700</v>
      </c>
      <c r="T71" t="s">
        <v>707</v>
      </c>
      <c r="U71" t="s">
        <v>701</v>
      </c>
    </row>
    <row r="72" spans="1:21" x14ac:dyDescent="0.2">
      <c r="A72">
        <v>136</v>
      </c>
      <c r="B72">
        <v>1</v>
      </c>
      <c r="C72" t="s">
        <v>3</v>
      </c>
      <c r="D72" t="s">
        <v>3</v>
      </c>
      <c r="E72" t="s">
        <v>22</v>
      </c>
      <c r="F72" t="s">
        <v>22</v>
      </c>
      <c r="G72" t="s">
        <v>22</v>
      </c>
      <c r="H72" t="s">
        <v>3</v>
      </c>
      <c r="I72" t="s">
        <v>22</v>
      </c>
      <c r="J72" t="s">
        <v>22</v>
      </c>
      <c r="K72" t="s">
        <v>3</v>
      </c>
      <c r="L72" t="s">
        <v>3</v>
      </c>
      <c r="M72" t="s">
        <v>3</v>
      </c>
      <c r="N72" t="s">
        <v>3</v>
      </c>
      <c r="O72" t="s">
        <v>22</v>
      </c>
      <c r="P72" t="s">
        <v>3</v>
      </c>
      <c r="Q72" t="s">
        <v>3</v>
      </c>
      <c r="R72" t="s">
        <v>3</v>
      </c>
      <c r="S72" t="s">
        <v>700</v>
      </c>
      <c r="T72" t="s">
        <v>707</v>
      </c>
      <c r="U72" t="s">
        <v>701</v>
      </c>
    </row>
    <row r="73" spans="1:21" x14ac:dyDescent="0.2">
      <c r="A73">
        <v>137</v>
      </c>
      <c r="B73">
        <v>1</v>
      </c>
      <c r="C73" t="s">
        <v>3</v>
      </c>
      <c r="D73" t="s">
        <v>3</v>
      </c>
      <c r="E73" t="s">
        <v>22</v>
      </c>
      <c r="F73" t="s">
        <v>22</v>
      </c>
      <c r="G73" t="s">
        <v>22</v>
      </c>
      <c r="H73" t="s">
        <v>3</v>
      </c>
      <c r="I73" t="s">
        <v>22</v>
      </c>
      <c r="J73" t="s">
        <v>22</v>
      </c>
      <c r="K73" t="s">
        <v>3</v>
      </c>
      <c r="L73" t="s">
        <v>3</v>
      </c>
      <c r="M73" t="s">
        <v>3</v>
      </c>
      <c r="N73" t="s">
        <v>3</v>
      </c>
      <c r="O73" t="s">
        <v>22</v>
      </c>
      <c r="P73" t="s">
        <v>3</v>
      </c>
      <c r="Q73" t="s">
        <v>3</v>
      </c>
      <c r="R73" t="s">
        <v>3</v>
      </c>
      <c r="S73" t="s">
        <v>700</v>
      </c>
      <c r="T73" t="s">
        <v>707</v>
      </c>
      <c r="U73" t="s">
        <v>701</v>
      </c>
    </row>
    <row r="74" spans="1:21" x14ac:dyDescent="0.2">
      <c r="A74">
        <v>138</v>
      </c>
      <c r="B74">
        <v>1</v>
      </c>
      <c r="C74" t="s">
        <v>3</v>
      </c>
      <c r="D74" t="s">
        <v>3</v>
      </c>
      <c r="E74" t="s">
        <v>22</v>
      </c>
      <c r="F74" t="s">
        <v>22</v>
      </c>
      <c r="G74" t="s">
        <v>22</v>
      </c>
      <c r="H74" t="s">
        <v>3</v>
      </c>
      <c r="I74" t="s">
        <v>22</v>
      </c>
      <c r="J74" t="s">
        <v>22</v>
      </c>
      <c r="K74" t="s">
        <v>3</v>
      </c>
      <c r="L74" t="s">
        <v>3</v>
      </c>
      <c r="M74" t="s">
        <v>3</v>
      </c>
      <c r="N74" t="s">
        <v>3</v>
      </c>
      <c r="O74" t="s">
        <v>22</v>
      </c>
      <c r="P74" t="s">
        <v>3</v>
      </c>
      <c r="Q74" t="s">
        <v>3</v>
      </c>
      <c r="R74" t="s">
        <v>3</v>
      </c>
      <c r="S74" t="s">
        <v>700</v>
      </c>
      <c r="T74" t="s">
        <v>707</v>
      </c>
      <c r="U74" t="s">
        <v>701</v>
      </c>
    </row>
    <row r="75" spans="1:21" x14ac:dyDescent="0.2">
      <c r="A75">
        <v>139</v>
      </c>
      <c r="B75">
        <v>1</v>
      </c>
      <c r="C75" t="s">
        <v>3</v>
      </c>
      <c r="D75" t="s">
        <v>3</v>
      </c>
      <c r="E75" t="s">
        <v>22</v>
      </c>
      <c r="F75" t="s">
        <v>22</v>
      </c>
      <c r="G75" t="s">
        <v>22</v>
      </c>
      <c r="H75" t="s">
        <v>3</v>
      </c>
      <c r="I75" t="s">
        <v>22</v>
      </c>
      <c r="J75" t="s">
        <v>22</v>
      </c>
      <c r="K75" t="s">
        <v>3</v>
      </c>
      <c r="L75" t="s">
        <v>3</v>
      </c>
      <c r="M75" t="s">
        <v>3</v>
      </c>
      <c r="N75" t="s">
        <v>3</v>
      </c>
      <c r="O75" t="s">
        <v>22</v>
      </c>
      <c r="P75" t="s">
        <v>3</v>
      </c>
      <c r="Q75" t="s">
        <v>3</v>
      </c>
      <c r="R75" t="s">
        <v>3</v>
      </c>
      <c r="S75" t="s">
        <v>700</v>
      </c>
      <c r="T75" t="s">
        <v>707</v>
      </c>
      <c r="U75" t="s">
        <v>701</v>
      </c>
    </row>
    <row r="76" spans="1:21" x14ac:dyDescent="0.2">
      <c r="A76">
        <v>140</v>
      </c>
      <c r="B76">
        <v>1</v>
      </c>
      <c r="C76" t="s">
        <v>3</v>
      </c>
      <c r="D76" t="s">
        <v>3</v>
      </c>
      <c r="E76" t="s">
        <v>22</v>
      </c>
      <c r="F76" t="s">
        <v>22</v>
      </c>
      <c r="G76" t="s">
        <v>22</v>
      </c>
      <c r="H76" t="s">
        <v>3</v>
      </c>
      <c r="I76" t="s">
        <v>22</v>
      </c>
      <c r="J76" t="s">
        <v>22</v>
      </c>
      <c r="K76" t="s">
        <v>3</v>
      </c>
      <c r="L76" t="s">
        <v>3</v>
      </c>
      <c r="M76" t="s">
        <v>3</v>
      </c>
      <c r="N76" t="s">
        <v>3</v>
      </c>
      <c r="O76" t="s">
        <v>22</v>
      </c>
      <c r="P76" t="s">
        <v>3</v>
      </c>
      <c r="Q76" t="s">
        <v>3</v>
      </c>
      <c r="R76" t="s">
        <v>3</v>
      </c>
      <c r="S76" t="s">
        <v>700</v>
      </c>
      <c r="T76" t="s">
        <v>707</v>
      </c>
      <c r="U76" t="s">
        <v>701</v>
      </c>
    </row>
    <row r="77" spans="1:21" x14ac:dyDescent="0.2">
      <c r="A77">
        <v>141</v>
      </c>
      <c r="B77">
        <v>1</v>
      </c>
      <c r="C77" t="s">
        <v>3</v>
      </c>
      <c r="D77" t="s">
        <v>3</v>
      </c>
      <c r="E77" t="s">
        <v>22</v>
      </c>
      <c r="F77" t="s">
        <v>22</v>
      </c>
      <c r="G77" t="s">
        <v>22</v>
      </c>
      <c r="H77" t="s">
        <v>3</v>
      </c>
      <c r="I77" t="s">
        <v>22</v>
      </c>
      <c r="J77" t="s">
        <v>22</v>
      </c>
      <c r="K77" t="s">
        <v>3</v>
      </c>
      <c r="L77" t="s">
        <v>3</v>
      </c>
      <c r="M77" t="s">
        <v>3</v>
      </c>
      <c r="N77" t="s">
        <v>3</v>
      </c>
      <c r="O77" t="s">
        <v>22</v>
      </c>
      <c r="P77" t="s">
        <v>3</v>
      </c>
      <c r="Q77" t="s">
        <v>3</v>
      </c>
      <c r="R77" t="s">
        <v>3</v>
      </c>
      <c r="S77" t="s">
        <v>700</v>
      </c>
      <c r="T77" t="s">
        <v>707</v>
      </c>
      <c r="U77" t="s">
        <v>701</v>
      </c>
    </row>
    <row r="78" spans="1:21" x14ac:dyDescent="0.2">
      <c r="A78">
        <v>142</v>
      </c>
      <c r="B78">
        <v>1</v>
      </c>
      <c r="C78" t="s">
        <v>3</v>
      </c>
      <c r="D78" t="s">
        <v>3</v>
      </c>
      <c r="E78" t="s">
        <v>22</v>
      </c>
      <c r="F78" t="s">
        <v>22</v>
      </c>
      <c r="G78" t="s">
        <v>22</v>
      </c>
      <c r="H78" t="s">
        <v>3</v>
      </c>
      <c r="I78" t="s">
        <v>22</v>
      </c>
      <c r="J78" t="s">
        <v>22</v>
      </c>
      <c r="K78" t="s">
        <v>3</v>
      </c>
      <c r="L78" t="s">
        <v>3</v>
      </c>
      <c r="M78" t="s">
        <v>3</v>
      </c>
      <c r="N78" t="s">
        <v>3</v>
      </c>
      <c r="O78" t="s">
        <v>22</v>
      </c>
      <c r="P78" t="s">
        <v>3</v>
      </c>
      <c r="Q78" t="s">
        <v>3</v>
      </c>
      <c r="R78" t="s">
        <v>3</v>
      </c>
      <c r="S78" t="s">
        <v>700</v>
      </c>
      <c r="T78" t="s">
        <v>707</v>
      </c>
      <c r="U78" t="s">
        <v>701</v>
      </c>
    </row>
    <row r="79" spans="1:21" x14ac:dyDescent="0.2">
      <c r="A79">
        <v>143</v>
      </c>
      <c r="B79">
        <v>1</v>
      </c>
      <c r="C79" t="s">
        <v>3</v>
      </c>
      <c r="D79" t="s">
        <v>3</v>
      </c>
      <c r="E79" t="s">
        <v>22</v>
      </c>
      <c r="F79" t="s">
        <v>22</v>
      </c>
      <c r="G79" t="s">
        <v>22</v>
      </c>
      <c r="H79" t="s">
        <v>3</v>
      </c>
      <c r="I79" t="s">
        <v>22</v>
      </c>
      <c r="J79" t="s">
        <v>22</v>
      </c>
      <c r="K79" t="s">
        <v>3</v>
      </c>
      <c r="L79" t="s">
        <v>3</v>
      </c>
      <c r="M79" t="s">
        <v>3</v>
      </c>
      <c r="N79" t="s">
        <v>3</v>
      </c>
      <c r="O79" t="s">
        <v>22</v>
      </c>
      <c r="P79" t="s">
        <v>3</v>
      </c>
      <c r="Q79" t="s">
        <v>3</v>
      </c>
      <c r="R79" t="s">
        <v>3</v>
      </c>
      <c r="S79" t="s">
        <v>700</v>
      </c>
      <c r="T79" t="s">
        <v>707</v>
      </c>
      <c r="U79" t="s">
        <v>701</v>
      </c>
    </row>
    <row r="80" spans="1:21" x14ac:dyDescent="0.2">
      <c r="A80">
        <v>144</v>
      </c>
      <c r="B80">
        <v>1</v>
      </c>
      <c r="C80" t="s">
        <v>3</v>
      </c>
      <c r="D80" t="s">
        <v>3</v>
      </c>
      <c r="E80" t="s">
        <v>22</v>
      </c>
      <c r="F80" t="s">
        <v>22</v>
      </c>
      <c r="G80" t="s">
        <v>22</v>
      </c>
      <c r="H80" t="s">
        <v>3</v>
      </c>
      <c r="I80" t="s">
        <v>22</v>
      </c>
      <c r="J80" t="s">
        <v>22</v>
      </c>
      <c r="K80" t="s">
        <v>3</v>
      </c>
      <c r="L80" t="s">
        <v>3</v>
      </c>
      <c r="M80" t="s">
        <v>3</v>
      </c>
      <c r="N80" t="s">
        <v>3</v>
      </c>
      <c r="O80" t="s">
        <v>22</v>
      </c>
      <c r="P80" t="s">
        <v>3</v>
      </c>
      <c r="Q80" t="s">
        <v>3</v>
      </c>
      <c r="R80" t="s">
        <v>3</v>
      </c>
      <c r="S80" t="s">
        <v>700</v>
      </c>
      <c r="T80" t="s">
        <v>707</v>
      </c>
      <c r="U80" t="s">
        <v>701</v>
      </c>
    </row>
    <row r="81" spans="1:21" x14ac:dyDescent="0.2">
      <c r="A81">
        <v>145</v>
      </c>
      <c r="B81">
        <v>1</v>
      </c>
      <c r="C81" t="s">
        <v>3</v>
      </c>
      <c r="D81" t="s">
        <v>3</v>
      </c>
      <c r="E81" t="s">
        <v>22</v>
      </c>
      <c r="F81" t="s">
        <v>22</v>
      </c>
      <c r="G81" t="s">
        <v>22</v>
      </c>
      <c r="H81" t="s">
        <v>3</v>
      </c>
      <c r="I81" t="s">
        <v>22</v>
      </c>
      <c r="J81" t="s">
        <v>22</v>
      </c>
      <c r="K81" t="s">
        <v>3</v>
      </c>
      <c r="L81" t="s">
        <v>3</v>
      </c>
      <c r="M81" t="s">
        <v>3</v>
      </c>
      <c r="N81" t="s">
        <v>3</v>
      </c>
      <c r="O81" t="s">
        <v>22</v>
      </c>
      <c r="P81" t="s">
        <v>3</v>
      </c>
      <c r="Q81" t="s">
        <v>3</v>
      </c>
      <c r="R81" t="s">
        <v>3</v>
      </c>
      <c r="S81" t="s">
        <v>700</v>
      </c>
      <c r="T81" t="s">
        <v>707</v>
      </c>
      <c r="U81" t="s">
        <v>701</v>
      </c>
    </row>
    <row r="82" spans="1:21" x14ac:dyDescent="0.2">
      <c r="A82">
        <v>146</v>
      </c>
      <c r="B82">
        <v>1</v>
      </c>
      <c r="C82" t="s">
        <v>3</v>
      </c>
      <c r="D82" t="s">
        <v>3</v>
      </c>
      <c r="E82" t="s">
        <v>22</v>
      </c>
      <c r="F82" t="s">
        <v>22</v>
      </c>
      <c r="G82" t="s">
        <v>22</v>
      </c>
      <c r="H82" t="s">
        <v>3</v>
      </c>
      <c r="I82" t="s">
        <v>22</v>
      </c>
      <c r="J82" t="s">
        <v>22</v>
      </c>
      <c r="K82" t="s">
        <v>3</v>
      </c>
      <c r="L82" t="s">
        <v>3</v>
      </c>
      <c r="M82" t="s">
        <v>3</v>
      </c>
      <c r="N82" t="s">
        <v>3</v>
      </c>
      <c r="O82" t="s">
        <v>22</v>
      </c>
      <c r="P82" t="s">
        <v>3</v>
      </c>
      <c r="Q82" t="s">
        <v>3</v>
      </c>
      <c r="R82" t="s">
        <v>3</v>
      </c>
      <c r="S82" t="s">
        <v>700</v>
      </c>
      <c r="T82" t="s">
        <v>707</v>
      </c>
      <c r="U82" t="s">
        <v>701</v>
      </c>
    </row>
    <row r="83" spans="1:21" x14ac:dyDescent="0.2">
      <c r="A83">
        <v>186</v>
      </c>
      <c r="B83">
        <v>1</v>
      </c>
      <c r="C83" t="s">
        <v>3</v>
      </c>
      <c r="D83" t="s">
        <v>3</v>
      </c>
      <c r="E83" t="s">
        <v>22</v>
      </c>
      <c r="F83" t="s">
        <v>22</v>
      </c>
      <c r="G83" t="s">
        <v>22</v>
      </c>
      <c r="H83" t="s">
        <v>3</v>
      </c>
      <c r="I83" t="s">
        <v>22</v>
      </c>
      <c r="J83" t="s">
        <v>22</v>
      </c>
      <c r="K83" t="s">
        <v>3</v>
      </c>
      <c r="L83" t="s">
        <v>3</v>
      </c>
      <c r="M83" t="s">
        <v>3</v>
      </c>
      <c r="N83" t="s">
        <v>3</v>
      </c>
      <c r="O83" t="s">
        <v>22</v>
      </c>
      <c r="P83" t="s">
        <v>3</v>
      </c>
      <c r="Q83" t="s">
        <v>3</v>
      </c>
      <c r="R83" t="s">
        <v>3</v>
      </c>
      <c r="S83" t="s">
        <v>700</v>
      </c>
      <c r="T83" t="s">
        <v>707</v>
      </c>
      <c r="U83" t="s">
        <v>701</v>
      </c>
    </row>
    <row r="84" spans="1:21" x14ac:dyDescent="0.2">
      <c r="A84">
        <v>187</v>
      </c>
      <c r="B84">
        <v>1</v>
      </c>
      <c r="C84" t="s">
        <v>3</v>
      </c>
      <c r="D84" t="s">
        <v>3</v>
      </c>
      <c r="E84" t="s">
        <v>22</v>
      </c>
      <c r="F84" t="s">
        <v>22</v>
      </c>
      <c r="G84" t="s">
        <v>22</v>
      </c>
      <c r="H84" t="s">
        <v>3</v>
      </c>
      <c r="I84" t="s">
        <v>22</v>
      </c>
      <c r="J84" t="s">
        <v>22</v>
      </c>
      <c r="K84" t="s">
        <v>3</v>
      </c>
      <c r="L84" t="s">
        <v>3</v>
      </c>
      <c r="M84" t="s">
        <v>3</v>
      </c>
      <c r="N84" t="s">
        <v>3</v>
      </c>
      <c r="O84" t="s">
        <v>22</v>
      </c>
      <c r="P84" t="s">
        <v>3</v>
      </c>
      <c r="Q84" t="s">
        <v>3</v>
      </c>
      <c r="R84" t="s">
        <v>3</v>
      </c>
      <c r="S84" t="s">
        <v>700</v>
      </c>
      <c r="T84" t="s">
        <v>707</v>
      </c>
      <c r="U84" t="s">
        <v>701</v>
      </c>
    </row>
    <row r="85" spans="1:21" x14ac:dyDescent="0.2">
      <c r="A85">
        <v>188</v>
      </c>
      <c r="B85">
        <v>1</v>
      </c>
      <c r="C85" t="s">
        <v>3</v>
      </c>
      <c r="D85" t="s">
        <v>3</v>
      </c>
      <c r="E85" t="s">
        <v>22</v>
      </c>
      <c r="F85" t="s">
        <v>22</v>
      </c>
      <c r="G85" t="s">
        <v>22</v>
      </c>
      <c r="H85" t="s">
        <v>3</v>
      </c>
      <c r="I85" t="s">
        <v>22</v>
      </c>
      <c r="J85" t="s">
        <v>22</v>
      </c>
      <c r="K85" t="s">
        <v>3</v>
      </c>
      <c r="L85" t="s">
        <v>3</v>
      </c>
      <c r="M85" t="s">
        <v>3</v>
      </c>
      <c r="N85" t="s">
        <v>3</v>
      </c>
      <c r="O85" t="s">
        <v>22</v>
      </c>
      <c r="P85" t="s">
        <v>3</v>
      </c>
      <c r="Q85" t="s">
        <v>3</v>
      </c>
      <c r="R85" t="s">
        <v>3</v>
      </c>
      <c r="S85" t="s">
        <v>700</v>
      </c>
      <c r="T85" t="s">
        <v>707</v>
      </c>
      <c r="U85" t="s">
        <v>701</v>
      </c>
    </row>
    <row r="86" spans="1:21" x14ac:dyDescent="0.2">
      <c r="A86">
        <v>189</v>
      </c>
      <c r="B86">
        <v>1</v>
      </c>
      <c r="C86" t="s">
        <v>3</v>
      </c>
      <c r="D86" t="s">
        <v>3</v>
      </c>
      <c r="E86" t="s">
        <v>22</v>
      </c>
      <c r="F86" t="s">
        <v>22</v>
      </c>
      <c r="G86" t="s">
        <v>22</v>
      </c>
      <c r="H86" t="s">
        <v>3</v>
      </c>
      <c r="I86" t="s">
        <v>22</v>
      </c>
      <c r="J86" t="s">
        <v>22</v>
      </c>
      <c r="K86" t="s">
        <v>3</v>
      </c>
      <c r="L86" t="s">
        <v>3</v>
      </c>
      <c r="M86" t="s">
        <v>3</v>
      </c>
      <c r="N86" t="s">
        <v>3</v>
      </c>
      <c r="O86" t="s">
        <v>22</v>
      </c>
      <c r="P86" t="s">
        <v>3</v>
      </c>
      <c r="Q86" t="s">
        <v>3</v>
      </c>
      <c r="R86" t="s">
        <v>3</v>
      </c>
      <c r="S86" t="s">
        <v>700</v>
      </c>
      <c r="T86" t="s">
        <v>707</v>
      </c>
      <c r="U86" t="s">
        <v>701</v>
      </c>
    </row>
    <row r="87" spans="1:21" x14ac:dyDescent="0.2">
      <c r="A87">
        <v>190</v>
      </c>
      <c r="B87">
        <v>1</v>
      </c>
      <c r="C87" t="s">
        <v>3</v>
      </c>
      <c r="D87" t="s">
        <v>3</v>
      </c>
      <c r="E87" t="s">
        <v>22</v>
      </c>
      <c r="F87" t="s">
        <v>22</v>
      </c>
      <c r="G87" t="s">
        <v>22</v>
      </c>
      <c r="H87" t="s">
        <v>3</v>
      </c>
      <c r="I87" t="s">
        <v>22</v>
      </c>
      <c r="J87" t="s">
        <v>22</v>
      </c>
      <c r="K87" t="s">
        <v>3</v>
      </c>
      <c r="L87" t="s">
        <v>3</v>
      </c>
      <c r="M87" t="s">
        <v>3</v>
      </c>
      <c r="N87" t="s">
        <v>3</v>
      </c>
      <c r="O87" t="s">
        <v>22</v>
      </c>
      <c r="P87" t="s">
        <v>3</v>
      </c>
      <c r="Q87" t="s">
        <v>3</v>
      </c>
      <c r="R87" t="s">
        <v>3</v>
      </c>
      <c r="S87" t="s">
        <v>700</v>
      </c>
      <c r="T87" t="s">
        <v>707</v>
      </c>
      <c r="U87" t="s">
        <v>701</v>
      </c>
    </row>
    <row r="88" spans="1:21" x14ac:dyDescent="0.2">
      <c r="A88">
        <v>191</v>
      </c>
      <c r="B88">
        <v>1</v>
      </c>
      <c r="C88" t="s">
        <v>3</v>
      </c>
      <c r="D88" t="s">
        <v>3</v>
      </c>
      <c r="E88" t="s">
        <v>22</v>
      </c>
      <c r="F88" t="s">
        <v>22</v>
      </c>
      <c r="G88" t="s">
        <v>22</v>
      </c>
      <c r="H88" t="s">
        <v>3</v>
      </c>
      <c r="I88" t="s">
        <v>22</v>
      </c>
      <c r="J88" t="s">
        <v>22</v>
      </c>
      <c r="K88" t="s">
        <v>3</v>
      </c>
      <c r="L88" t="s">
        <v>3</v>
      </c>
      <c r="M88" t="s">
        <v>3</v>
      </c>
      <c r="N88" t="s">
        <v>3</v>
      </c>
      <c r="O88" t="s">
        <v>22</v>
      </c>
      <c r="P88" t="s">
        <v>3</v>
      </c>
      <c r="Q88" t="s">
        <v>3</v>
      </c>
      <c r="R88" t="s">
        <v>3</v>
      </c>
      <c r="S88" t="s">
        <v>700</v>
      </c>
      <c r="T88" t="s">
        <v>707</v>
      </c>
      <c r="U88" t="s">
        <v>701</v>
      </c>
    </row>
    <row r="89" spans="1:21" x14ac:dyDescent="0.2">
      <c r="A89">
        <v>192</v>
      </c>
      <c r="B89">
        <v>1</v>
      </c>
      <c r="C89" t="s">
        <v>3</v>
      </c>
      <c r="D89" t="s">
        <v>3</v>
      </c>
      <c r="E89" t="s">
        <v>22</v>
      </c>
      <c r="F89" t="s">
        <v>22</v>
      </c>
      <c r="G89" t="s">
        <v>22</v>
      </c>
      <c r="H89" t="s">
        <v>3</v>
      </c>
      <c r="I89" t="s">
        <v>22</v>
      </c>
      <c r="J89" t="s">
        <v>22</v>
      </c>
      <c r="K89" t="s">
        <v>3</v>
      </c>
      <c r="L89" t="s">
        <v>3</v>
      </c>
      <c r="M89" t="s">
        <v>3</v>
      </c>
      <c r="N89" t="s">
        <v>3</v>
      </c>
      <c r="O89" t="s">
        <v>22</v>
      </c>
      <c r="P89" t="s">
        <v>3</v>
      </c>
      <c r="Q89" t="s">
        <v>3</v>
      </c>
      <c r="R89" t="s">
        <v>3</v>
      </c>
      <c r="S89" t="s">
        <v>700</v>
      </c>
      <c r="T89" t="s">
        <v>707</v>
      </c>
      <c r="U89" t="s">
        <v>701</v>
      </c>
    </row>
    <row r="90" spans="1:21" x14ac:dyDescent="0.2">
      <c r="A90">
        <v>193</v>
      </c>
      <c r="B90">
        <v>1</v>
      </c>
      <c r="C90" t="s">
        <v>3</v>
      </c>
      <c r="D90" t="s">
        <v>3</v>
      </c>
      <c r="E90" t="s">
        <v>22</v>
      </c>
      <c r="F90" t="s">
        <v>22</v>
      </c>
      <c r="G90" t="s">
        <v>22</v>
      </c>
      <c r="H90" t="s">
        <v>3</v>
      </c>
      <c r="I90" t="s">
        <v>22</v>
      </c>
      <c r="J90" t="s">
        <v>22</v>
      </c>
      <c r="K90" t="s">
        <v>3</v>
      </c>
      <c r="L90" t="s">
        <v>3</v>
      </c>
      <c r="M90" t="s">
        <v>3</v>
      </c>
      <c r="N90" t="s">
        <v>3</v>
      </c>
      <c r="O90" t="s">
        <v>22</v>
      </c>
      <c r="P90" t="s">
        <v>3</v>
      </c>
      <c r="Q90" t="s">
        <v>3</v>
      </c>
      <c r="R90" t="s">
        <v>3</v>
      </c>
      <c r="S90" t="s">
        <v>700</v>
      </c>
      <c r="T90" t="s">
        <v>707</v>
      </c>
      <c r="U90" t="s">
        <v>701</v>
      </c>
    </row>
    <row r="91" spans="1:21" x14ac:dyDescent="0.2">
      <c r="A91">
        <v>196</v>
      </c>
      <c r="B91">
        <v>1</v>
      </c>
      <c r="C91" t="s">
        <v>3</v>
      </c>
      <c r="D91" t="s">
        <v>3</v>
      </c>
      <c r="E91" t="s">
        <v>22</v>
      </c>
      <c r="F91" t="s">
        <v>22</v>
      </c>
      <c r="G91" t="s">
        <v>22</v>
      </c>
      <c r="H91" t="s">
        <v>3</v>
      </c>
      <c r="I91" t="s">
        <v>22</v>
      </c>
      <c r="J91" t="s">
        <v>22</v>
      </c>
      <c r="K91" t="s">
        <v>3</v>
      </c>
      <c r="L91" t="s">
        <v>3</v>
      </c>
      <c r="M91" t="s">
        <v>3</v>
      </c>
      <c r="N91" t="s">
        <v>3</v>
      </c>
      <c r="O91" t="s">
        <v>22</v>
      </c>
      <c r="P91" t="s">
        <v>3</v>
      </c>
      <c r="Q91" t="s">
        <v>3</v>
      </c>
      <c r="R91" t="s">
        <v>3</v>
      </c>
      <c r="S91" t="s">
        <v>700</v>
      </c>
      <c r="T91" t="s">
        <v>707</v>
      </c>
      <c r="U91" t="s">
        <v>701</v>
      </c>
    </row>
    <row r="92" spans="1:21" x14ac:dyDescent="0.2">
      <c r="A92">
        <v>197</v>
      </c>
      <c r="B92">
        <v>1</v>
      </c>
      <c r="C92" t="s">
        <v>3</v>
      </c>
      <c r="D92" t="s">
        <v>3</v>
      </c>
      <c r="E92" t="s">
        <v>22</v>
      </c>
      <c r="F92" t="s">
        <v>22</v>
      </c>
      <c r="G92" t="s">
        <v>22</v>
      </c>
      <c r="H92" t="s">
        <v>3</v>
      </c>
      <c r="I92" t="s">
        <v>22</v>
      </c>
      <c r="J92" t="s">
        <v>22</v>
      </c>
      <c r="K92" t="s">
        <v>3</v>
      </c>
      <c r="L92" t="s">
        <v>3</v>
      </c>
      <c r="M92" t="s">
        <v>3</v>
      </c>
      <c r="N92" t="s">
        <v>3</v>
      </c>
      <c r="O92" t="s">
        <v>22</v>
      </c>
      <c r="P92" t="s">
        <v>3</v>
      </c>
      <c r="Q92" t="s">
        <v>3</v>
      </c>
      <c r="R92" t="s">
        <v>3</v>
      </c>
      <c r="S92" t="s">
        <v>700</v>
      </c>
      <c r="T92" t="s">
        <v>707</v>
      </c>
      <c r="U92" t="s">
        <v>701</v>
      </c>
    </row>
    <row r="93" spans="1:21" x14ac:dyDescent="0.2">
      <c r="A93">
        <v>200</v>
      </c>
      <c r="B93">
        <v>1</v>
      </c>
      <c r="C93" t="s">
        <v>3</v>
      </c>
      <c r="D93" t="s">
        <v>3</v>
      </c>
      <c r="E93" t="s">
        <v>22</v>
      </c>
      <c r="F93" t="s">
        <v>22</v>
      </c>
      <c r="G93" t="s">
        <v>22</v>
      </c>
      <c r="H93" t="s">
        <v>3</v>
      </c>
      <c r="I93" t="s">
        <v>22</v>
      </c>
      <c r="J93" t="s">
        <v>22</v>
      </c>
      <c r="K93" t="s">
        <v>3</v>
      </c>
      <c r="L93" t="s">
        <v>3</v>
      </c>
      <c r="M93" t="s">
        <v>3</v>
      </c>
      <c r="N93" t="s">
        <v>3</v>
      </c>
      <c r="O93" t="s">
        <v>22</v>
      </c>
      <c r="P93" t="s">
        <v>3</v>
      </c>
      <c r="Q93" t="s">
        <v>3</v>
      </c>
      <c r="R93" t="s">
        <v>3</v>
      </c>
      <c r="S93" t="s">
        <v>700</v>
      </c>
      <c r="T93" t="s">
        <v>707</v>
      </c>
      <c r="U93" t="s">
        <v>701</v>
      </c>
    </row>
    <row r="94" spans="1:21" x14ac:dyDescent="0.2">
      <c r="A94">
        <v>201</v>
      </c>
      <c r="B94">
        <v>1</v>
      </c>
      <c r="C94" t="s">
        <v>3</v>
      </c>
      <c r="D94" t="s">
        <v>3</v>
      </c>
      <c r="E94" t="s">
        <v>22</v>
      </c>
      <c r="F94" t="s">
        <v>22</v>
      </c>
      <c r="G94" t="s">
        <v>22</v>
      </c>
      <c r="H94" t="s">
        <v>3</v>
      </c>
      <c r="I94" t="s">
        <v>22</v>
      </c>
      <c r="J94" t="s">
        <v>22</v>
      </c>
      <c r="K94" t="s">
        <v>3</v>
      </c>
      <c r="L94" t="s">
        <v>3</v>
      </c>
      <c r="M94" t="s">
        <v>3</v>
      </c>
      <c r="N94" t="s">
        <v>3</v>
      </c>
      <c r="O94" t="s">
        <v>22</v>
      </c>
      <c r="P94" t="s">
        <v>3</v>
      </c>
      <c r="Q94" t="s">
        <v>3</v>
      </c>
      <c r="R94" t="s">
        <v>3</v>
      </c>
      <c r="S94" t="s">
        <v>700</v>
      </c>
      <c r="T94" t="s">
        <v>707</v>
      </c>
      <c r="U94" t="s">
        <v>701</v>
      </c>
    </row>
    <row r="95" spans="1:21" x14ac:dyDescent="0.2">
      <c r="A95">
        <v>204</v>
      </c>
      <c r="B95">
        <v>1</v>
      </c>
      <c r="C95" t="s">
        <v>3</v>
      </c>
      <c r="D95" t="s">
        <v>3</v>
      </c>
      <c r="E95" t="s">
        <v>22</v>
      </c>
      <c r="F95" t="s">
        <v>22</v>
      </c>
      <c r="G95" t="s">
        <v>22</v>
      </c>
      <c r="H95" t="s">
        <v>3</v>
      </c>
      <c r="I95" t="s">
        <v>22</v>
      </c>
      <c r="J95" t="s">
        <v>22</v>
      </c>
      <c r="K95" t="s">
        <v>3</v>
      </c>
      <c r="L95" t="s">
        <v>3</v>
      </c>
      <c r="M95" t="s">
        <v>3</v>
      </c>
      <c r="N95" t="s">
        <v>3</v>
      </c>
      <c r="O95" t="s">
        <v>22</v>
      </c>
      <c r="P95" t="s">
        <v>3</v>
      </c>
      <c r="Q95" t="s">
        <v>3</v>
      </c>
      <c r="R95" t="s">
        <v>3</v>
      </c>
      <c r="S95" t="s">
        <v>700</v>
      </c>
      <c r="T95" t="s">
        <v>707</v>
      </c>
      <c r="U95" t="s">
        <v>701</v>
      </c>
    </row>
    <row r="96" spans="1:21" x14ac:dyDescent="0.2">
      <c r="A96">
        <v>205</v>
      </c>
      <c r="B96">
        <v>1</v>
      </c>
      <c r="C96" t="s">
        <v>3</v>
      </c>
      <c r="D96" t="s">
        <v>3</v>
      </c>
      <c r="E96" t="s">
        <v>22</v>
      </c>
      <c r="F96" t="s">
        <v>22</v>
      </c>
      <c r="G96" t="s">
        <v>22</v>
      </c>
      <c r="H96" t="s">
        <v>3</v>
      </c>
      <c r="I96" t="s">
        <v>22</v>
      </c>
      <c r="J96" t="s">
        <v>22</v>
      </c>
      <c r="K96" t="s">
        <v>3</v>
      </c>
      <c r="L96" t="s">
        <v>3</v>
      </c>
      <c r="M96" t="s">
        <v>3</v>
      </c>
      <c r="N96" t="s">
        <v>3</v>
      </c>
      <c r="O96" t="s">
        <v>22</v>
      </c>
      <c r="P96" t="s">
        <v>3</v>
      </c>
      <c r="Q96" t="s">
        <v>3</v>
      </c>
      <c r="R96" t="s">
        <v>3</v>
      </c>
      <c r="S96" t="s">
        <v>700</v>
      </c>
      <c r="T96" t="s">
        <v>707</v>
      </c>
      <c r="U96" t="s">
        <v>701</v>
      </c>
    </row>
    <row r="97" spans="1:21" x14ac:dyDescent="0.2">
      <c r="A97">
        <v>208</v>
      </c>
      <c r="B97">
        <v>1</v>
      </c>
      <c r="C97" t="s">
        <v>3</v>
      </c>
      <c r="D97" t="s">
        <v>3</v>
      </c>
      <c r="E97" t="s">
        <v>22</v>
      </c>
      <c r="F97" t="s">
        <v>22</v>
      </c>
      <c r="G97" t="s">
        <v>22</v>
      </c>
      <c r="H97" t="s">
        <v>3</v>
      </c>
      <c r="I97" t="s">
        <v>22</v>
      </c>
      <c r="J97" t="s">
        <v>22</v>
      </c>
      <c r="K97" t="s">
        <v>3</v>
      </c>
      <c r="L97" t="s">
        <v>3</v>
      </c>
      <c r="M97" t="s">
        <v>3</v>
      </c>
      <c r="N97" t="s">
        <v>3</v>
      </c>
      <c r="O97" t="s">
        <v>22</v>
      </c>
      <c r="P97" t="s">
        <v>3</v>
      </c>
      <c r="Q97" t="s">
        <v>3</v>
      </c>
      <c r="R97" t="s">
        <v>3</v>
      </c>
      <c r="S97" t="s">
        <v>700</v>
      </c>
      <c r="T97" t="s">
        <v>707</v>
      </c>
      <c r="U97" t="s">
        <v>701</v>
      </c>
    </row>
    <row r="98" spans="1:21" x14ac:dyDescent="0.2">
      <c r="A98">
        <v>209</v>
      </c>
      <c r="B98">
        <v>1</v>
      </c>
      <c r="C98" t="s">
        <v>3</v>
      </c>
      <c r="D98" t="s">
        <v>3</v>
      </c>
      <c r="E98" t="s">
        <v>22</v>
      </c>
      <c r="F98" t="s">
        <v>22</v>
      </c>
      <c r="G98" t="s">
        <v>22</v>
      </c>
      <c r="H98" t="s">
        <v>3</v>
      </c>
      <c r="I98" t="s">
        <v>22</v>
      </c>
      <c r="J98" t="s">
        <v>22</v>
      </c>
      <c r="K98" t="s">
        <v>3</v>
      </c>
      <c r="L98" t="s">
        <v>3</v>
      </c>
      <c r="M98" t="s">
        <v>3</v>
      </c>
      <c r="N98" t="s">
        <v>3</v>
      </c>
      <c r="O98" t="s">
        <v>22</v>
      </c>
      <c r="P98" t="s">
        <v>3</v>
      </c>
      <c r="Q98" t="s">
        <v>3</v>
      </c>
      <c r="R98" t="s">
        <v>3</v>
      </c>
      <c r="S98" t="s">
        <v>700</v>
      </c>
      <c r="T98" t="s">
        <v>707</v>
      </c>
      <c r="U98" t="s">
        <v>701</v>
      </c>
    </row>
    <row r="99" spans="1:21" x14ac:dyDescent="0.2">
      <c r="A99">
        <v>216</v>
      </c>
      <c r="B99">
        <v>1</v>
      </c>
      <c r="C99" t="s">
        <v>3</v>
      </c>
      <c r="D99" t="s">
        <v>3</v>
      </c>
      <c r="E99" t="s">
        <v>22</v>
      </c>
      <c r="F99" t="s">
        <v>22</v>
      </c>
      <c r="G99" t="s">
        <v>22</v>
      </c>
      <c r="H99" t="s">
        <v>3</v>
      </c>
      <c r="I99" t="s">
        <v>22</v>
      </c>
      <c r="J99" t="s">
        <v>22</v>
      </c>
      <c r="K99" t="s">
        <v>3</v>
      </c>
      <c r="L99" t="s">
        <v>3</v>
      </c>
      <c r="M99" t="s">
        <v>3</v>
      </c>
      <c r="N99" t="s">
        <v>3</v>
      </c>
      <c r="O99" t="s">
        <v>22</v>
      </c>
      <c r="P99" t="s">
        <v>3</v>
      </c>
      <c r="Q99" t="s">
        <v>3</v>
      </c>
      <c r="R99" t="s">
        <v>3</v>
      </c>
      <c r="S99" t="s">
        <v>700</v>
      </c>
      <c r="T99" t="s">
        <v>707</v>
      </c>
      <c r="U99" t="s">
        <v>701</v>
      </c>
    </row>
    <row r="100" spans="1:21" x14ac:dyDescent="0.2">
      <c r="A100">
        <v>217</v>
      </c>
      <c r="B100">
        <v>1</v>
      </c>
      <c r="C100" t="s">
        <v>3</v>
      </c>
      <c r="D100" t="s">
        <v>3</v>
      </c>
      <c r="E100" t="s">
        <v>22</v>
      </c>
      <c r="F100" t="s">
        <v>22</v>
      </c>
      <c r="G100" t="s">
        <v>22</v>
      </c>
      <c r="H100" t="s">
        <v>3</v>
      </c>
      <c r="I100" t="s">
        <v>22</v>
      </c>
      <c r="J100" t="s">
        <v>22</v>
      </c>
      <c r="K100" t="s">
        <v>3</v>
      </c>
      <c r="L100" t="s">
        <v>3</v>
      </c>
      <c r="M100" t="s">
        <v>3</v>
      </c>
      <c r="N100" t="s">
        <v>3</v>
      </c>
      <c r="O100" t="s">
        <v>22</v>
      </c>
      <c r="P100" t="s">
        <v>3</v>
      </c>
      <c r="Q100" t="s">
        <v>3</v>
      </c>
      <c r="R100" t="s">
        <v>3</v>
      </c>
      <c r="S100" t="s">
        <v>700</v>
      </c>
      <c r="T100" t="s">
        <v>707</v>
      </c>
      <c r="U100" t="s">
        <v>701</v>
      </c>
    </row>
    <row r="101" spans="1:21" x14ac:dyDescent="0.2">
      <c r="A101">
        <v>255</v>
      </c>
      <c r="B101">
        <v>1</v>
      </c>
      <c r="C101" t="s">
        <v>3</v>
      </c>
      <c r="D101" t="s">
        <v>3</v>
      </c>
      <c r="E101" t="s">
        <v>22</v>
      </c>
      <c r="F101" t="s">
        <v>22</v>
      </c>
      <c r="G101" t="s">
        <v>22</v>
      </c>
      <c r="H101" t="s">
        <v>3</v>
      </c>
      <c r="I101" t="s">
        <v>22</v>
      </c>
      <c r="J101" t="s">
        <v>22</v>
      </c>
      <c r="K101" t="s">
        <v>3</v>
      </c>
      <c r="L101" t="s">
        <v>3</v>
      </c>
      <c r="M101" t="s">
        <v>3</v>
      </c>
      <c r="N101" t="s">
        <v>3</v>
      </c>
      <c r="O101" t="s">
        <v>22</v>
      </c>
      <c r="P101" t="s">
        <v>3</v>
      </c>
      <c r="Q101" t="s">
        <v>3</v>
      </c>
      <c r="R101" t="s">
        <v>3</v>
      </c>
      <c r="S101" t="s">
        <v>700</v>
      </c>
      <c r="T101" t="s">
        <v>707</v>
      </c>
      <c r="U101" t="s">
        <v>701</v>
      </c>
    </row>
    <row r="102" spans="1:21" x14ac:dyDescent="0.2">
      <c r="A102">
        <v>256</v>
      </c>
      <c r="B102">
        <v>1</v>
      </c>
      <c r="C102" t="s">
        <v>3</v>
      </c>
      <c r="D102" t="s">
        <v>3</v>
      </c>
      <c r="E102" t="s">
        <v>22</v>
      </c>
      <c r="F102" t="s">
        <v>22</v>
      </c>
      <c r="G102" t="s">
        <v>22</v>
      </c>
      <c r="H102" t="s">
        <v>3</v>
      </c>
      <c r="I102" t="s">
        <v>22</v>
      </c>
      <c r="J102" t="s">
        <v>22</v>
      </c>
      <c r="K102" t="s">
        <v>3</v>
      </c>
      <c r="L102" t="s">
        <v>3</v>
      </c>
      <c r="M102" t="s">
        <v>3</v>
      </c>
      <c r="N102" t="s">
        <v>3</v>
      </c>
      <c r="O102" t="s">
        <v>22</v>
      </c>
      <c r="P102" t="s">
        <v>3</v>
      </c>
      <c r="Q102" t="s">
        <v>3</v>
      </c>
      <c r="R102" t="s">
        <v>3</v>
      </c>
      <c r="S102" t="s">
        <v>700</v>
      </c>
      <c r="T102" t="s">
        <v>707</v>
      </c>
      <c r="U102" t="s">
        <v>701</v>
      </c>
    </row>
    <row r="103" spans="1:21" x14ac:dyDescent="0.2">
      <c r="A103">
        <v>257</v>
      </c>
      <c r="B103">
        <v>1</v>
      </c>
      <c r="C103" t="s">
        <v>3</v>
      </c>
      <c r="D103" t="s">
        <v>3</v>
      </c>
      <c r="E103" t="s">
        <v>22</v>
      </c>
      <c r="F103" t="s">
        <v>22</v>
      </c>
      <c r="G103" t="s">
        <v>22</v>
      </c>
      <c r="H103" t="s">
        <v>3</v>
      </c>
      <c r="I103" t="s">
        <v>22</v>
      </c>
      <c r="J103" t="s">
        <v>22</v>
      </c>
      <c r="K103" t="s">
        <v>3</v>
      </c>
      <c r="L103" t="s">
        <v>3</v>
      </c>
      <c r="M103" t="s">
        <v>3</v>
      </c>
      <c r="N103" t="s">
        <v>3</v>
      </c>
      <c r="O103" t="s">
        <v>22</v>
      </c>
      <c r="P103" t="s">
        <v>3</v>
      </c>
      <c r="Q103" t="s">
        <v>3</v>
      </c>
      <c r="R103" t="s">
        <v>3</v>
      </c>
      <c r="S103" t="s">
        <v>700</v>
      </c>
      <c r="T103" t="s">
        <v>707</v>
      </c>
      <c r="U103" t="s">
        <v>701</v>
      </c>
    </row>
    <row r="104" spans="1:21" x14ac:dyDescent="0.2">
      <c r="A104">
        <v>258</v>
      </c>
      <c r="B104">
        <v>1</v>
      </c>
      <c r="C104" t="s">
        <v>3</v>
      </c>
      <c r="D104" t="s">
        <v>3</v>
      </c>
      <c r="E104" t="s">
        <v>22</v>
      </c>
      <c r="F104" t="s">
        <v>22</v>
      </c>
      <c r="G104" t="s">
        <v>22</v>
      </c>
      <c r="H104" t="s">
        <v>3</v>
      </c>
      <c r="I104" t="s">
        <v>22</v>
      </c>
      <c r="J104" t="s">
        <v>22</v>
      </c>
      <c r="K104" t="s">
        <v>3</v>
      </c>
      <c r="L104" t="s">
        <v>3</v>
      </c>
      <c r="M104" t="s">
        <v>3</v>
      </c>
      <c r="N104" t="s">
        <v>3</v>
      </c>
      <c r="O104" t="s">
        <v>22</v>
      </c>
      <c r="P104" t="s">
        <v>3</v>
      </c>
      <c r="Q104" t="s">
        <v>3</v>
      </c>
      <c r="R104" t="s">
        <v>3</v>
      </c>
      <c r="S104" t="s">
        <v>700</v>
      </c>
      <c r="T104" t="s">
        <v>707</v>
      </c>
      <c r="U104" t="s">
        <v>701</v>
      </c>
    </row>
    <row r="105" spans="1:21" x14ac:dyDescent="0.2">
      <c r="A105">
        <v>259</v>
      </c>
      <c r="B105">
        <v>1</v>
      </c>
      <c r="C105" t="s">
        <v>3</v>
      </c>
      <c r="D105" t="s">
        <v>3</v>
      </c>
      <c r="E105" t="s">
        <v>22</v>
      </c>
      <c r="F105" t="s">
        <v>22</v>
      </c>
      <c r="G105" t="s">
        <v>22</v>
      </c>
      <c r="H105" t="s">
        <v>3</v>
      </c>
      <c r="I105" t="s">
        <v>22</v>
      </c>
      <c r="J105" t="s">
        <v>22</v>
      </c>
      <c r="K105" t="s">
        <v>3</v>
      </c>
      <c r="L105" t="s">
        <v>3</v>
      </c>
      <c r="M105" t="s">
        <v>3</v>
      </c>
      <c r="N105" t="s">
        <v>3</v>
      </c>
      <c r="O105" t="s">
        <v>22</v>
      </c>
      <c r="P105" t="s">
        <v>3</v>
      </c>
      <c r="Q105" t="s">
        <v>3</v>
      </c>
      <c r="R105" t="s">
        <v>3</v>
      </c>
      <c r="S105" t="s">
        <v>700</v>
      </c>
      <c r="T105" t="s">
        <v>707</v>
      </c>
      <c r="U105" t="s">
        <v>701</v>
      </c>
    </row>
    <row r="106" spans="1:21" x14ac:dyDescent="0.2">
      <c r="A106">
        <v>260</v>
      </c>
      <c r="B106">
        <v>1</v>
      </c>
      <c r="C106" t="s">
        <v>3</v>
      </c>
      <c r="D106" t="s">
        <v>3</v>
      </c>
      <c r="E106" t="s">
        <v>22</v>
      </c>
      <c r="F106" t="s">
        <v>22</v>
      </c>
      <c r="G106" t="s">
        <v>22</v>
      </c>
      <c r="H106" t="s">
        <v>3</v>
      </c>
      <c r="I106" t="s">
        <v>22</v>
      </c>
      <c r="J106" t="s">
        <v>22</v>
      </c>
      <c r="K106" t="s">
        <v>3</v>
      </c>
      <c r="L106" t="s">
        <v>3</v>
      </c>
      <c r="M106" t="s">
        <v>3</v>
      </c>
      <c r="N106" t="s">
        <v>3</v>
      </c>
      <c r="O106" t="s">
        <v>22</v>
      </c>
      <c r="P106" t="s">
        <v>3</v>
      </c>
      <c r="Q106" t="s">
        <v>3</v>
      </c>
      <c r="R106" t="s">
        <v>3</v>
      </c>
      <c r="S106" t="s">
        <v>700</v>
      </c>
      <c r="T106" t="s">
        <v>707</v>
      </c>
      <c r="U106" t="s">
        <v>701</v>
      </c>
    </row>
    <row r="107" spans="1:21" x14ac:dyDescent="0.2">
      <c r="A107">
        <v>261</v>
      </c>
      <c r="B107">
        <v>1</v>
      </c>
      <c r="C107" t="s">
        <v>3</v>
      </c>
      <c r="D107" t="s">
        <v>3</v>
      </c>
      <c r="E107" t="s">
        <v>22</v>
      </c>
      <c r="F107" t="s">
        <v>22</v>
      </c>
      <c r="G107" t="s">
        <v>22</v>
      </c>
      <c r="H107" t="s">
        <v>3</v>
      </c>
      <c r="I107" t="s">
        <v>22</v>
      </c>
      <c r="J107" t="s">
        <v>22</v>
      </c>
      <c r="K107" t="s">
        <v>3</v>
      </c>
      <c r="L107" t="s">
        <v>3</v>
      </c>
      <c r="M107" t="s">
        <v>3</v>
      </c>
      <c r="N107" t="s">
        <v>3</v>
      </c>
      <c r="O107" t="s">
        <v>22</v>
      </c>
      <c r="P107" t="s">
        <v>3</v>
      </c>
      <c r="Q107" t="s">
        <v>3</v>
      </c>
      <c r="R107" t="s">
        <v>3</v>
      </c>
      <c r="S107" t="s">
        <v>700</v>
      </c>
      <c r="T107" t="s">
        <v>707</v>
      </c>
      <c r="U107" t="s">
        <v>701</v>
      </c>
    </row>
    <row r="108" spans="1:21" x14ac:dyDescent="0.2">
      <c r="A108">
        <v>262</v>
      </c>
      <c r="B108">
        <v>1</v>
      </c>
      <c r="C108" t="s">
        <v>3</v>
      </c>
      <c r="D108" t="s">
        <v>3</v>
      </c>
      <c r="E108" t="s">
        <v>22</v>
      </c>
      <c r="F108" t="s">
        <v>22</v>
      </c>
      <c r="G108" t="s">
        <v>22</v>
      </c>
      <c r="H108" t="s">
        <v>3</v>
      </c>
      <c r="I108" t="s">
        <v>22</v>
      </c>
      <c r="J108" t="s">
        <v>22</v>
      </c>
      <c r="K108" t="s">
        <v>3</v>
      </c>
      <c r="L108" t="s">
        <v>3</v>
      </c>
      <c r="M108" t="s">
        <v>3</v>
      </c>
      <c r="N108" t="s">
        <v>3</v>
      </c>
      <c r="O108" t="s">
        <v>22</v>
      </c>
      <c r="P108" t="s">
        <v>3</v>
      </c>
      <c r="Q108" t="s">
        <v>3</v>
      </c>
      <c r="R108" t="s">
        <v>3</v>
      </c>
      <c r="S108" t="s">
        <v>700</v>
      </c>
      <c r="T108" t="s">
        <v>707</v>
      </c>
      <c r="U108" t="s">
        <v>701</v>
      </c>
    </row>
    <row r="109" spans="1:21" x14ac:dyDescent="0.2">
      <c r="A109">
        <v>265</v>
      </c>
      <c r="B109">
        <v>1</v>
      </c>
      <c r="C109" t="s">
        <v>3</v>
      </c>
      <c r="D109" t="s">
        <v>3</v>
      </c>
      <c r="E109" t="s">
        <v>22</v>
      </c>
      <c r="F109" t="s">
        <v>22</v>
      </c>
      <c r="G109" t="s">
        <v>22</v>
      </c>
      <c r="H109" t="s">
        <v>3</v>
      </c>
      <c r="I109" t="s">
        <v>22</v>
      </c>
      <c r="J109" t="s">
        <v>22</v>
      </c>
      <c r="K109" t="s">
        <v>3</v>
      </c>
      <c r="L109" t="s">
        <v>3</v>
      </c>
      <c r="M109" t="s">
        <v>3</v>
      </c>
      <c r="N109" t="s">
        <v>3</v>
      </c>
      <c r="O109" t="s">
        <v>22</v>
      </c>
      <c r="P109" t="s">
        <v>3</v>
      </c>
      <c r="Q109" t="s">
        <v>3</v>
      </c>
      <c r="R109" t="s">
        <v>3</v>
      </c>
      <c r="S109" t="s">
        <v>700</v>
      </c>
      <c r="T109" t="s">
        <v>707</v>
      </c>
      <c r="U109" t="s">
        <v>701</v>
      </c>
    </row>
    <row r="110" spans="1:21" x14ac:dyDescent="0.2">
      <c r="A110">
        <v>266</v>
      </c>
      <c r="B110">
        <v>1</v>
      </c>
      <c r="C110" t="s">
        <v>3</v>
      </c>
      <c r="D110" t="s">
        <v>3</v>
      </c>
      <c r="E110" t="s">
        <v>22</v>
      </c>
      <c r="F110" t="s">
        <v>22</v>
      </c>
      <c r="G110" t="s">
        <v>22</v>
      </c>
      <c r="H110" t="s">
        <v>3</v>
      </c>
      <c r="I110" t="s">
        <v>22</v>
      </c>
      <c r="J110" t="s">
        <v>22</v>
      </c>
      <c r="K110" t="s">
        <v>3</v>
      </c>
      <c r="L110" t="s">
        <v>3</v>
      </c>
      <c r="M110" t="s">
        <v>3</v>
      </c>
      <c r="N110" t="s">
        <v>3</v>
      </c>
      <c r="O110" t="s">
        <v>22</v>
      </c>
      <c r="P110" t="s">
        <v>3</v>
      </c>
      <c r="Q110" t="s">
        <v>3</v>
      </c>
      <c r="R110" t="s">
        <v>3</v>
      </c>
      <c r="S110" t="s">
        <v>700</v>
      </c>
      <c r="T110" t="s">
        <v>707</v>
      </c>
      <c r="U110" t="s">
        <v>701</v>
      </c>
    </row>
    <row r="111" spans="1:21" x14ac:dyDescent="0.2">
      <c r="A111">
        <v>269</v>
      </c>
      <c r="B111">
        <v>1</v>
      </c>
      <c r="C111" t="s">
        <v>3</v>
      </c>
      <c r="D111" t="s">
        <v>3</v>
      </c>
      <c r="E111" t="s">
        <v>22</v>
      </c>
      <c r="F111" t="s">
        <v>22</v>
      </c>
      <c r="G111" t="s">
        <v>22</v>
      </c>
      <c r="H111" t="s">
        <v>3</v>
      </c>
      <c r="I111" t="s">
        <v>22</v>
      </c>
      <c r="J111" t="s">
        <v>22</v>
      </c>
      <c r="K111" t="s">
        <v>3</v>
      </c>
      <c r="L111" t="s">
        <v>3</v>
      </c>
      <c r="M111" t="s">
        <v>3</v>
      </c>
      <c r="N111" t="s">
        <v>3</v>
      </c>
      <c r="O111" t="s">
        <v>22</v>
      </c>
      <c r="P111" t="s">
        <v>3</v>
      </c>
      <c r="Q111" t="s">
        <v>3</v>
      </c>
      <c r="R111" t="s">
        <v>3</v>
      </c>
      <c r="S111" t="s">
        <v>700</v>
      </c>
      <c r="T111" t="s">
        <v>707</v>
      </c>
      <c r="U111" t="s">
        <v>701</v>
      </c>
    </row>
    <row r="112" spans="1:21" x14ac:dyDescent="0.2">
      <c r="A112">
        <v>270</v>
      </c>
      <c r="B112">
        <v>1</v>
      </c>
      <c r="C112" t="s">
        <v>3</v>
      </c>
      <c r="D112" t="s">
        <v>3</v>
      </c>
      <c r="E112" t="s">
        <v>22</v>
      </c>
      <c r="F112" t="s">
        <v>22</v>
      </c>
      <c r="G112" t="s">
        <v>22</v>
      </c>
      <c r="H112" t="s">
        <v>3</v>
      </c>
      <c r="I112" t="s">
        <v>22</v>
      </c>
      <c r="J112" t="s">
        <v>22</v>
      </c>
      <c r="K112" t="s">
        <v>3</v>
      </c>
      <c r="L112" t="s">
        <v>3</v>
      </c>
      <c r="M112" t="s">
        <v>3</v>
      </c>
      <c r="N112" t="s">
        <v>3</v>
      </c>
      <c r="O112" t="s">
        <v>22</v>
      </c>
      <c r="P112" t="s">
        <v>3</v>
      </c>
      <c r="Q112" t="s">
        <v>3</v>
      </c>
      <c r="R112" t="s">
        <v>3</v>
      </c>
      <c r="S112" t="s">
        <v>700</v>
      </c>
      <c r="T112" t="s">
        <v>707</v>
      </c>
      <c r="U112" t="s">
        <v>701</v>
      </c>
    </row>
    <row r="113" spans="1:21" x14ac:dyDescent="0.2">
      <c r="A113">
        <v>273</v>
      </c>
      <c r="B113">
        <v>1</v>
      </c>
      <c r="C113" t="s">
        <v>3</v>
      </c>
      <c r="D113" t="s">
        <v>3</v>
      </c>
      <c r="E113" t="s">
        <v>22</v>
      </c>
      <c r="F113" t="s">
        <v>22</v>
      </c>
      <c r="G113" t="s">
        <v>22</v>
      </c>
      <c r="H113" t="s">
        <v>3</v>
      </c>
      <c r="I113" t="s">
        <v>22</v>
      </c>
      <c r="J113" t="s">
        <v>22</v>
      </c>
      <c r="K113" t="s">
        <v>3</v>
      </c>
      <c r="L113" t="s">
        <v>3</v>
      </c>
      <c r="M113" t="s">
        <v>3</v>
      </c>
      <c r="N113" t="s">
        <v>3</v>
      </c>
      <c r="O113" t="s">
        <v>22</v>
      </c>
      <c r="P113" t="s">
        <v>3</v>
      </c>
      <c r="Q113" t="s">
        <v>3</v>
      </c>
      <c r="R113" t="s">
        <v>3</v>
      </c>
      <c r="S113" t="s">
        <v>700</v>
      </c>
      <c r="T113" t="s">
        <v>707</v>
      </c>
      <c r="U113" t="s">
        <v>701</v>
      </c>
    </row>
    <row r="114" spans="1:21" x14ac:dyDescent="0.2">
      <c r="A114">
        <v>274</v>
      </c>
      <c r="B114">
        <v>1</v>
      </c>
      <c r="C114" t="s">
        <v>3</v>
      </c>
      <c r="D114" t="s">
        <v>3</v>
      </c>
      <c r="E114" t="s">
        <v>22</v>
      </c>
      <c r="F114" t="s">
        <v>22</v>
      </c>
      <c r="G114" t="s">
        <v>22</v>
      </c>
      <c r="H114" t="s">
        <v>3</v>
      </c>
      <c r="I114" t="s">
        <v>22</v>
      </c>
      <c r="J114" t="s">
        <v>22</v>
      </c>
      <c r="K114" t="s">
        <v>3</v>
      </c>
      <c r="L114" t="s">
        <v>3</v>
      </c>
      <c r="M114" t="s">
        <v>3</v>
      </c>
      <c r="N114" t="s">
        <v>3</v>
      </c>
      <c r="O114" t="s">
        <v>22</v>
      </c>
      <c r="P114" t="s">
        <v>3</v>
      </c>
      <c r="Q114" t="s">
        <v>3</v>
      </c>
      <c r="R114" t="s">
        <v>3</v>
      </c>
      <c r="S114" t="s">
        <v>700</v>
      </c>
      <c r="T114" t="s">
        <v>707</v>
      </c>
      <c r="U114" t="s">
        <v>701</v>
      </c>
    </row>
    <row r="115" spans="1:21" x14ac:dyDescent="0.2">
      <c r="A115">
        <v>277</v>
      </c>
      <c r="B115">
        <v>1</v>
      </c>
      <c r="C115" t="s">
        <v>3</v>
      </c>
      <c r="D115" t="s">
        <v>3</v>
      </c>
      <c r="E115" t="s">
        <v>22</v>
      </c>
      <c r="F115" t="s">
        <v>22</v>
      </c>
      <c r="G115" t="s">
        <v>22</v>
      </c>
      <c r="H115" t="s">
        <v>3</v>
      </c>
      <c r="I115" t="s">
        <v>22</v>
      </c>
      <c r="J115" t="s">
        <v>22</v>
      </c>
      <c r="K115" t="s">
        <v>3</v>
      </c>
      <c r="L115" t="s">
        <v>3</v>
      </c>
      <c r="M115" t="s">
        <v>3</v>
      </c>
      <c r="N115" t="s">
        <v>3</v>
      </c>
      <c r="O115" t="s">
        <v>22</v>
      </c>
      <c r="P115" t="s">
        <v>3</v>
      </c>
      <c r="Q115" t="s">
        <v>3</v>
      </c>
      <c r="R115" t="s">
        <v>3</v>
      </c>
      <c r="S115" t="s">
        <v>700</v>
      </c>
      <c r="T115" t="s">
        <v>707</v>
      </c>
      <c r="U115" t="s">
        <v>701</v>
      </c>
    </row>
    <row r="116" spans="1:21" x14ac:dyDescent="0.2">
      <c r="A116">
        <v>278</v>
      </c>
      <c r="B116">
        <v>1</v>
      </c>
      <c r="C116" t="s">
        <v>3</v>
      </c>
      <c r="D116" t="s">
        <v>3</v>
      </c>
      <c r="E116" t="s">
        <v>22</v>
      </c>
      <c r="F116" t="s">
        <v>22</v>
      </c>
      <c r="G116" t="s">
        <v>22</v>
      </c>
      <c r="H116" t="s">
        <v>3</v>
      </c>
      <c r="I116" t="s">
        <v>22</v>
      </c>
      <c r="J116" t="s">
        <v>22</v>
      </c>
      <c r="K116" t="s">
        <v>3</v>
      </c>
      <c r="L116" t="s">
        <v>3</v>
      </c>
      <c r="M116" t="s">
        <v>3</v>
      </c>
      <c r="N116" t="s">
        <v>3</v>
      </c>
      <c r="O116" t="s">
        <v>22</v>
      </c>
      <c r="P116" t="s">
        <v>3</v>
      </c>
      <c r="Q116" t="s">
        <v>3</v>
      </c>
      <c r="R116" t="s">
        <v>3</v>
      </c>
      <c r="S116" t="s">
        <v>700</v>
      </c>
      <c r="T116" t="s">
        <v>707</v>
      </c>
      <c r="U116" t="s">
        <v>701</v>
      </c>
    </row>
    <row r="117" spans="1:21" x14ac:dyDescent="0.2">
      <c r="A117">
        <v>279</v>
      </c>
      <c r="B117">
        <v>1</v>
      </c>
      <c r="C117" t="s">
        <v>3</v>
      </c>
      <c r="D117" t="s">
        <v>3</v>
      </c>
      <c r="E117" t="s">
        <v>22</v>
      </c>
      <c r="F117" t="s">
        <v>22</v>
      </c>
      <c r="G117" t="s">
        <v>22</v>
      </c>
      <c r="H117" t="s">
        <v>3</v>
      </c>
      <c r="I117" t="s">
        <v>22</v>
      </c>
      <c r="J117" t="s">
        <v>22</v>
      </c>
      <c r="K117" t="s">
        <v>3</v>
      </c>
      <c r="L117" t="s">
        <v>3</v>
      </c>
      <c r="M117" t="s">
        <v>3</v>
      </c>
      <c r="N117" t="s">
        <v>3</v>
      </c>
      <c r="O117" t="s">
        <v>22</v>
      </c>
      <c r="P117" t="s">
        <v>3</v>
      </c>
      <c r="Q117" t="s">
        <v>3</v>
      </c>
      <c r="R117" t="s">
        <v>3</v>
      </c>
      <c r="S117" t="s">
        <v>700</v>
      </c>
      <c r="T117" t="s">
        <v>707</v>
      </c>
      <c r="U117" t="s">
        <v>701</v>
      </c>
    </row>
    <row r="118" spans="1:21" x14ac:dyDescent="0.2">
      <c r="A118">
        <v>280</v>
      </c>
      <c r="B118">
        <v>1</v>
      </c>
      <c r="C118" t="s">
        <v>3</v>
      </c>
      <c r="D118" t="s">
        <v>3</v>
      </c>
      <c r="E118" t="s">
        <v>22</v>
      </c>
      <c r="F118" t="s">
        <v>22</v>
      </c>
      <c r="G118" t="s">
        <v>22</v>
      </c>
      <c r="H118" t="s">
        <v>3</v>
      </c>
      <c r="I118" t="s">
        <v>22</v>
      </c>
      <c r="J118" t="s">
        <v>22</v>
      </c>
      <c r="K118" t="s">
        <v>3</v>
      </c>
      <c r="L118" t="s">
        <v>3</v>
      </c>
      <c r="M118" t="s">
        <v>3</v>
      </c>
      <c r="N118" t="s">
        <v>3</v>
      </c>
      <c r="O118" t="s">
        <v>22</v>
      </c>
      <c r="P118" t="s">
        <v>3</v>
      </c>
      <c r="Q118" t="s">
        <v>3</v>
      </c>
      <c r="R118" t="s">
        <v>3</v>
      </c>
      <c r="S118" t="s">
        <v>700</v>
      </c>
      <c r="T118" t="s">
        <v>707</v>
      </c>
      <c r="U118" t="s">
        <v>701</v>
      </c>
    </row>
    <row r="119" spans="1:21" x14ac:dyDescent="0.2">
      <c r="A119">
        <v>316</v>
      </c>
      <c r="B119">
        <v>1</v>
      </c>
      <c r="C119" t="s">
        <v>3</v>
      </c>
      <c r="D119" t="s">
        <v>3</v>
      </c>
      <c r="E119" t="s">
        <v>22</v>
      </c>
      <c r="F119" t="s">
        <v>22</v>
      </c>
      <c r="G119" t="s">
        <v>22</v>
      </c>
      <c r="H119" t="s">
        <v>3</v>
      </c>
      <c r="I119" t="s">
        <v>22</v>
      </c>
      <c r="J119" t="s">
        <v>22</v>
      </c>
      <c r="K119" t="s">
        <v>3</v>
      </c>
      <c r="L119" t="s">
        <v>3</v>
      </c>
      <c r="M119" t="s">
        <v>3</v>
      </c>
      <c r="N119" t="s">
        <v>3</v>
      </c>
      <c r="O119" t="s">
        <v>22</v>
      </c>
      <c r="P119" t="s">
        <v>3</v>
      </c>
      <c r="Q119" t="s">
        <v>3</v>
      </c>
      <c r="R119" t="s">
        <v>3</v>
      </c>
      <c r="S119" t="s">
        <v>700</v>
      </c>
      <c r="T119" t="s">
        <v>707</v>
      </c>
      <c r="U119" t="s">
        <v>701</v>
      </c>
    </row>
    <row r="120" spans="1:21" x14ac:dyDescent="0.2">
      <c r="A120">
        <v>317</v>
      </c>
      <c r="B120">
        <v>1</v>
      </c>
      <c r="C120" t="s">
        <v>3</v>
      </c>
      <c r="D120" t="s">
        <v>3</v>
      </c>
      <c r="E120" t="s">
        <v>22</v>
      </c>
      <c r="F120" t="s">
        <v>22</v>
      </c>
      <c r="G120" t="s">
        <v>22</v>
      </c>
      <c r="H120" t="s">
        <v>3</v>
      </c>
      <c r="I120" t="s">
        <v>22</v>
      </c>
      <c r="J120" t="s">
        <v>22</v>
      </c>
      <c r="K120" t="s">
        <v>3</v>
      </c>
      <c r="L120" t="s">
        <v>3</v>
      </c>
      <c r="M120" t="s">
        <v>3</v>
      </c>
      <c r="N120" t="s">
        <v>3</v>
      </c>
      <c r="O120" t="s">
        <v>22</v>
      </c>
      <c r="P120" t="s">
        <v>3</v>
      </c>
      <c r="Q120" t="s">
        <v>3</v>
      </c>
      <c r="R120" t="s">
        <v>3</v>
      </c>
      <c r="S120" t="s">
        <v>700</v>
      </c>
      <c r="T120" t="s">
        <v>707</v>
      </c>
      <c r="U120" t="s">
        <v>701</v>
      </c>
    </row>
    <row r="121" spans="1:21" x14ac:dyDescent="0.2">
      <c r="A121">
        <v>320</v>
      </c>
      <c r="B121">
        <v>1</v>
      </c>
      <c r="C121" t="s">
        <v>3</v>
      </c>
      <c r="D121" t="s">
        <v>3</v>
      </c>
      <c r="E121" t="s">
        <v>22</v>
      </c>
      <c r="F121" t="s">
        <v>22</v>
      </c>
      <c r="G121" t="s">
        <v>22</v>
      </c>
      <c r="H121" t="s">
        <v>3</v>
      </c>
      <c r="I121" t="s">
        <v>22</v>
      </c>
      <c r="J121" t="s">
        <v>22</v>
      </c>
      <c r="K121" t="s">
        <v>3</v>
      </c>
      <c r="L121" t="s">
        <v>3</v>
      </c>
      <c r="M121" t="s">
        <v>3</v>
      </c>
      <c r="N121" t="s">
        <v>3</v>
      </c>
      <c r="O121" t="s">
        <v>22</v>
      </c>
      <c r="P121" t="s">
        <v>3</v>
      </c>
      <c r="Q121" t="s">
        <v>3</v>
      </c>
      <c r="R121" t="s">
        <v>3</v>
      </c>
      <c r="S121" t="s">
        <v>700</v>
      </c>
      <c r="T121" t="s">
        <v>707</v>
      </c>
      <c r="U121" t="s">
        <v>701</v>
      </c>
    </row>
    <row r="122" spans="1:21" x14ac:dyDescent="0.2">
      <c r="A122">
        <v>321</v>
      </c>
      <c r="B122">
        <v>1</v>
      </c>
      <c r="C122" t="s">
        <v>3</v>
      </c>
      <c r="D122" t="s">
        <v>3</v>
      </c>
      <c r="E122" t="s">
        <v>22</v>
      </c>
      <c r="F122" t="s">
        <v>22</v>
      </c>
      <c r="G122" t="s">
        <v>22</v>
      </c>
      <c r="H122" t="s">
        <v>3</v>
      </c>
      <c r="I122" t="s">
        <v>22</v>
      </c>
      <c r="J122" t="s">
        <v>22</v>
      </c>
      <c r="K122" t="s">
        <v>3</v>
      </c>
      <c r="L122" t="s">
        <v>3</v>
      </c>
      <c r="M122" t="s">
        <v>3</v>
      </c>
      <c r="N122" t="s">
        <v>3</v>
      </c>
      <c r="O122" t="s">
        <v>22</v>
      </c>
      <c r="P122" t="s">
        <v>3</v>
      </c>
      <c r="Q122" t="s">
        <v>3</v>
      </c>
      <c r="R122" t="s">
        <v>3</v>
      </c>
      <c r="S122" t="s">
        <v>700</v>
      </c>
      <c r="T122" t="s">
        <v>707</v>
      </c>
      <c r="U122" t="s">
        <v>701</v>
      </c>
    </row>
    <row r="123" spans="1:21" x14ac:dyDescent="0.2">
      <c r="A123">
        <v>324</v>
      </c>
      <c r="B123">
        <v>1</v>
      </c>
      <c r="C123" t="s">
        <v>3</v>
      </c>
      <c r="D123" t="s">
        <v>3</v>
      </c>
      <c r="E123" t="s">
        <v>22</v>
      </c>
      <c r="F123" t="s">
        <v>22</v>
      </c>
      <c r="G123" t="s">
        <v>22</v>
      </c>
      <c r="H123" t="s">
        <v>3</v>
      </c>
      <c r="I123" t="s">
        <v>22</v>
      </c>
      <c r="J123" t="s">
        <v>22</v>
      </c>
      <c r="K123" t="s">
        <v>3</v>
      </c>
      <c r="L123" t="s">
        <v>3</v>
      </c>
      <c r="M123" t="s">
        <v>3</v>
      </c>
      <c r="N123" t="s">
        <v>3</v>
      </c>
      <c r="O123" t="s">
        <v>22</v>
      </c>
      <c r="P123" t="s">
        <v>3</v>
      </c>
      <c r="Q123" t="s">
        <v>3</v>
      </c>
      <c r="R123" t="s">
        <v>3</v>
      </c>
      <c r="S123" t="s">
        <v>700</v>
      </c>
      <c r="T123" t="s">
        <v>707</v>
      </c>
      <c r="U123" t="s">
        <v>701</v>
      </c>
    </row>
    <row r="124" spans="1:21" x14ac:dyDescent="0.2">
      <c r="A124">
        <v>325</v>
      </c>
      <c r="B124">
        <v>1</v>
      </c>
      <c r="C124" t="s">
        <v>3</v>
      </c>
      <c r="D124" t="s">
        <v>3</v>
      </c>
      <c r="E124" t="s">
        <v>22</v>
      </c>
      <c r="F124" t="s">
        <v>22</v>
      </c>
      <c r="G124" t="s">
        <v>22</v>
      </c>
      <c r="H124" t="s">
        <v>3</v>
      </c>
      <c r="I124" t="s">
        <v>22</v>
      </c>
      <c r="J124" t="s">
        <v>22</v>
      </c>
      <c r="K124" t="s">
        <v>3</v>
      </c>
      <c r="L124" t="s">
        <v>3</v>
      </c>
      <c r="M124" t="s">
        <v>3</v>
      </c>
      <c r="N124" t="s">
        <v>3</v>
      </c>
      <c r="O124" t="s">
        <v>22</v>
      </c>
      <c r="P124" t="s">
        <v>3</v>
      </c>
      <c r="Q124" t="s">
        <v>3</v>
      </c>
      <c r="R124" t="s">
        <v>3</v>
      </c>
      <c r="S124" t="s">
        <v>700</v>
      </c>
      <c r="T124" t="s">
        <v>707</v>
      </c>
      <c r="U124" t="s">
        <v>701</v>
      </c>
    </row>
    <row r="125" spans="1:21" x14ac:dyDescent="0.2">
      <c r="A125">
        <v>328</v>
      </c>
      <c r="B125">
        <v>1</v>
      </c>
      <c r="C125" t="s">
        <v>3</v>
      </c>
      <c r="D125" t="s">
        <v>3</v>
      </c>
      <c r="E125" t="s">
        <v>22</v>
      </c>
      <c r="F125" t="s">
        <v>22</v>
      </c>
      <c r="G125" t="s">
        <v>22</v>
      </c>
      <c r="H125" t="s">
        <v>3</v>
      </c>
      <c r="I125" t="s">
        <v>22</v>
      </c>
      <c r="J125" t="s">
        <v>22</v>
      </c>
      <c r="K125" t="s">
        <v>3</v>
      </c>
      <c r="L125" t="s">
        <v>3</v>
      </c>
      <c r="M125" t="s">
        <v>3</v>
      </c>
      <c r="N125" t="s">
        <v>3</v>
      </c>
      <c r="O125" t="s">
        <v>22</v>
      </c>
      <c r="P125" t="s">
        <v>3</v>
      </c>
      <c r="Q125" t="s">
        <v>3</v>
      </c>
      <c r="R125" t="s">
        <v>3</v>
      </c>
      <c r="S125" t="s">
        <v>700</v>
      </c>
      <c r="T125" t="s">
        <v>707</v>
      </c>
      <c r="U125" t="s">
        <v>701</v>
      </c>
    </row>
    <row r="126" spans="1:21" x14ac:dyDescent="0.2">
      <c r="A126">
        <v>329</v>
      </c>
      <c r="B126">
        <v>1</v>
      </c>
      <c r="C126" t="s">
        <v>3</v>
      </c>
      <c r="D126" t="s">
        <v>3</v>
      </c>
      <c r="E126" t="s">
        <v>22</v>
      </c>
      <c r="F126" t="s">
        <v>22</v>
      </c>
      <c r="G126" t="s">
        <v>22</v>
      </c>
      <c r="H126" t="s">
        <v>3</v>
      </c>
      <c r="I126" t="s">
        <v>22</v>
      </c>
      <c r="J126" t="s">
        <v>22</v>
      </c>
      <c r="K126" t="s">
        <v>3</v>
      </c>
      <c r="L126" t="s">
        <v>3</v>
      </c>
      <c r="M126" t="s">
        <v>3</v>
      </c>
      <c r="N126" t="s">
        <v>3</v>
      </c>
      <c r="O126" t="s">
        <v>22</v>
      </c>
      <c r="P126" t="s">
        <v>3</v>
      </c>
      <c r="Q126" t="s">
        <v>3</v>
      </c>
      <c r="R126" t="s">
        <v>3</v>
      </c>
      <c r="S126" t="s">
        <v>700</v>
      </c>
      <c r="T126" t="s">
        <v>707</v>
      </c>
      <c r="U126" t="s">
        <v>701</v>
      </c>
    </row>
    <row r="127" spans="1:21" x14ac:dyDescent="0.2">
      <c r="A127">
        <v>367</v>
      </c>
      <c r="B127">
        <v>1</v>
      </c>
      <c r="C127" t="s">
        <v>3</v>
      </c>
      <c r="D127" t="s">
        <v>3</v>
      </c>
      <c r="E127" t="s">
        <v>22</v>
      </c>
      <c r="F127" t="s">
        <v>22</v>
      </c>
      <c r="G127" t="s">
        <v>22</v>
      </c>
      <c r="H127" t="s">
        <v>3</v>
      </c>
      <c r="I127" t="s">
        <v>22</v>
      </c>
      <c r="J127" t="s">
        <v>22</v>
      </c>
      <c r="K127" t="s">
        <v>3</v>
      </c>
      <c r="L127" t="s">
        <v>3</v>
      </c>
      <c r="M127" t="s">
        <v>3</v>
      </c>
      <c r="N127" t="s">
        <v>3</v>
      </c>
      <c r="O127" t="s">
        <v>22</v>
      </c>
      <c r="P127" t="s">
        <v>3</v>
      </c>
      <c r="Q127" t="s">
        <v>3</v>
      </c>
      <c r="R127" t="s">
        <v>3</v>
      </c>
      <c r="S127" t="s">
        <v>700</v>
      </c>
      <c r="T127" t="s">
        <v>707</v>
      </c>
      <c r="U127" t="s">
        <v>701</v>
      </c>
    </row>
    <row r="128" spans="1:21" x14ac:dyDescent="0.2">
      <c r="A128">
        <v>368</v>
      </c>
      <c r="B128">
        <v>1</v>
      </c>
      <c r="C128" t="s">
        <v>3</v>
      </c>
      <c r="D128" t="s">
        <v>3</v>
      </c>
      <c r="E128" t="s">
        <v>22</v>
      </c>
      <c r="F128" t="s">
        <v>22</v>
      </c>
      <c r="G128" t="s">
        <v>22</v>
      </c>
      <c r="H128" t="s">
        <v>3</v>
      </c>
      <c r="I128" t="s">
        <v>22</v>
      </c>
      <c r="J128" t="s">
        <v>22</v>
      </c>
      <c r="K128" t="s">
        <v>3</v>
      </c>
      <c r="L128" t="s">
        <v>3</v>
      </c>
      <c r="M128" t="s">
        <v>3</v>
      </c>
      <c r="N128" t="s">
        <v>3</v>
      </c>
      <c r="O128" t="s">
        <v>22</v>
      </c>
      <c r="P128" t="s">
        <v>3</v>
      </c>
      <c r="Q128" t="s">
        <v>3</v>
      </c>
      <c r="R128" t="s">
        <v>3</v>
      </c>
      <c r="S128" t="s">
        <v>700</v>
      </c>
      <c r="T128" t="s">
        <v>707</v>
      </c>
      <c r="U128" t="s">
        <v>701</v>
      </c>
    </row>
    <row r="129" spans="1:21" x14ac:dyDescent="0.2">
      <c r="A129">
        <v>369</v>
      </c>
      <c r="B129">
        <v>1</v>
      </c>
      <c r="C129" t="s">
        <v>3</v>
      </c>
      <c r="D129" t="s">
        <v>3</v>
      </c>
      <c r="E129" t="s">
        <v>22</v>
      </c>
      <c r="F129" t="s">
        <v>22</v>
      </c>
      <c r="G129" t="s">
        <v>22</v>
      </c>
      <c r="H129" t="s">
        <v>3</v>
      </c>
      <c r="I129" t="s">
        <v>22</v>
      </c>
      <c r="J129" t="s">
        <v>22</v>
      </c>
      <c r="K129" t="s">
        <v>3</v>
      </c>
      <c r="L129" t="s">
        <v>3</v>
      </c>
      <c r="M129" t="s">
        <v>3</v>
      </c>
      <c r="N129" t="s">
        <v>3</v>
      </c>
      <c r="O129" t="s">
        <v>22</v>
      </c>
      <c r="P129" t="s">
        <v>3</v>
      </c>
      <c r="Q129" t="s">
        <v>3</v>
      </c>
      <c r="R129" t="s">
        <v>3</v>
      </c>
      <c r="S129" t="s">
        <v>700</v>
      </c>
      <c r="T129" t="s">
        <v>707</v>
      </c>
      <c r="U129" t="s">
        <v>701</v>
      </c>
    </row>
    <row r="130" spans="1:21" x14ac:dyDescent="0.2">
      <c r="A130">
        <v>370</v>
      </c>
      <c r="B130">
        <v>1</v>
      </c>
      <c r="C130" t="s">
        <v>3</v>
      </c>
      <c r="D130" t="s">
        <v>3</v>
      </c>
      <c r="E130" t="s">
        <v>22</v>
      </c>
      <c r="F130" t="s">
        <v>22</v>
      </c>
      <c r="G130" t="s">
        <v>22</v>
      </c>
      <c r="H130" t="s">
        <v>3</v>
      </c>
      <c r="I130" t="s">
        <v>22</v>
      </c>
      <c r="J130" t="s">
        <v>22</v>
      </c>
      <c r="K130" t="s">
        <v>3</v>
      </c>
      <c r="L130" t="s">
        <v>3</v>
      </c>
      <c r="M130" t="s">
        <v>3</v>
      </c>
      <c r="N130" t="s">
        <v>3</v>
      </c>
      <c r="O130" t="s">
        <v>22</v>
      </c>
      <c r="P130" t="s">
        <v>3</v>
      </c>
      <c r="Q130" t="s">
        <v>3</v>
      </c>
      <c r="R130" t="s">
        <v>3</v>
      </c>
      <c r="S130" t="s">
        <v>700</v>
      </c>
      <c r="T130" t="s">
        <v>707</v>
      </c>
      <c r="U130" t="s">
        <v>701</v>
      </c>
    </row>
    <row r="131" spans="1:21" x14ac:dyDescent="0.2">
      <c r="A131">
        <v>371</v>
      </c>
      <c r="B131">
        <v>1</v>
      </c>
      <c r="C131" t="s">
        <v>3</v>
      </c>
      <c r="D131" t="s">
        <v>3</v>
      </c>
      <c r="E131" t="s">
        <v>22</v>
      </c>
      <c r="F131" t="s">
        <v>22</v>
      </c>
      <c r="G131" t="s">
        <v>22</v>
      </c>
      <c r="H131" t="s">
        <v>3</v>
      </c>
      <c r="I131" t="s">
        <v>22</v>
      </c>
      <c r="J131" t="s">
        <v>22</v>
      </c>
      <c r="K131" t="s">
        <v>3</v>
      </c>
      <c r="L131" t="s">
        <v>3</v>
      </c>
      <c r="M131" t="s">
        <v>3</v>
      </c>
      <c r="N131" t="s">
        <v>3</v>
      </c>
      <c r="O131" t="s">
        <v>22</v>
      </c>
      <c r="P131" t="s">
        <v>3</v>
      </c>
      <c r="Q131" t="s">
        <v>3</v>
      </c>
      <c r="R131" t="s">
        <v>3</v>
      </c>
      <c r="S131" t="s">
        <v>700</v>
      </c>
      <c r="T131" t="s">
        <v>707</v>
      </c>
      <c r="U131" t="s">
        <v>701</v>
      </c>
    </row>
    <row r="132" spans="1:21" x14ac:dyDescent="0.2">
      <c r="A132">
        <v>372</v>
      </c>
      <c r="B132">
        <v>1</v>
      </c>
      <c r="C132" t="s">
        <v>3</v>
      </c>
      <c r="D132" t="s">
        <v>3</v>
      </c>
      <c r="E132" t="s">
        <v>22</v>
      </c>
      <c r="F132" t="s">
        <v>22</v>
      </c>
      <c r="G132" t="s">
        <v>22</v>
      </c>
      <c r="H132" t="s">
        <v>3</v>
      </c>
      <c r="I132" t="s">
        <v>22</v>
      </c>
      <c r="J132" t="s">
        <v>22</v>
      </c>
      <c r="K132" t="s">
        <v>3</v>
      </c>
      <c r="L132" t="s">
        <v>3</v>
      </c>
      <c r="M132" t="s">
        <v>3</v>
      </c>
      <c r="N132" t="s">
        <v>3</v>
      </c>
      <c r="O132" t="s">
        <v>22</v>
      </c>
      <c r="P132" t="s">
        <v>3</v>
      </c>
      <c r="Q132" t="s">
        <v>3</v>
      </c>
      <c r="R132" t="s">
        <v>3</v>
      </c>
      <c r="S132" t="s">
        <v>700</v>
      </c>
      <c r="T132" t="s">
        <v>707</v>
      </c>
      <c r="U132" t="s">
        <v>701</v>
      </c>
    </row>
    <row r="133" spans="1:21" x14ac:dyDescent="0.2">
      <c r="A133">
        <v>373</v>
      </c>
      <c r="B133">
        <v>1</v>
      </c>
      <c r="C133" t="s">
        <v>3</v>
      </c>
      <c r="D133" t="s">
        <v>3</v>
      </c>
      <c r="E133" t="s">
        <v>22</v>
      </c>
      <c r="F133" t="s">
        <v>22</v>
      </c>
      <c r="G133" t="s">
        <v>22</v>
      </c>
      <c r="H133" t="s">
        <v>3</v>
      </c>
      <c r="I133" t="s">
        <v>22</v>
      </c>
      <c r="J133" t="s">
        <v>22</v>
      </c>
      <c r="K133" t="s">
        <v>3</v>
      </c>
      <c r="L133" t="s">
        <v>3</v>
      </c>
      <c r="M133" t="s">
        <v>3</v>
      </c>
      <c r="N133" t="s">
        <v>3</v>
      </c>
      <c r="O133" t="s">
        <v>22</v>
      </c>
      <c r="P133" t="s">
        <v>3</v>
      </c>
      <c r="Q133" t="s">
        <v>3</v>
      </c>
      <c r="R133" t="s">
        <v>3</v>
      </c>
      <c r="S133" t="s">
        <v>700</v>
      </c>
      <c r="T133" t="s">
        <v>707</v>
      </c>
      <c r="U133" t="s">
        <v>701</v>
      </c>
    </row>
    <row r="134" spans="1:21" x14ac:dyDescent="0.2">
      <c r="A134">
        <v>374</v>
      </c>
      <c r="B134">
        <v>1</v>
      </c>
      <c r="C134" t="s">
        <v>3</v>
      </c>
      <c r="D134" t="s">
        <v>3</v>
      </c>
      <c r="E134" t="s">
        <v>22</v>
      </c>
      <c r="F134" t="s">
        <v>22</v>
      </c>
      <c r="G134" t="s">
        <v>22</v>
      </c>
      <c r="H134" t="s">
        <v>3</v>
      </c>
      <c r="I134" t="s">
        <v>22</v>
      </c>
      <c r="J134" t="s">
        <v>22</v>
      </c>
      <c r="K134" t="s">
        <v>3</v>
      </c>
      <c r="L134" t="s">
        <v>3</v>
      </c>
      <c r="M134" t="s">
        <v>3</v>
      </c>
      <c r="N134" t="s">
        <v>3</v>
      </c>
      <c r="O134" t="s">
        <v>22</v>
      </c>
      <c r="P134" t="s">
        <v>3</v>
      </c>
      <c r="Q134" t="s">
        <v>3</v>
      </c>
      <c r="R134" t="s">
        <v>3</v>
      </c>
      <c r="S134" t="s">
        <v>700</v>
      </c>
      <c r="T134" t="s">
        <v>707</v>
      </c>
      <c r="U134" t="s">
        <v>701</v>
      </c>
    </row>
    <row r="135" spans="1:21" x14ac:dyDescent="0.2">
      <c r="A135">
        <v>375</v>
      </c>
      <c r="B135">
        <v>1</v>
      </c>
      <c r="C135" t="s">
        <v>3</v>
      </c>
      <c r="D135" t="s">
        <v>3</v>
      </c>
      <c r="E135" t="s">
        <v>22</v>
      </c>
      <c r="F135" t="s">
        <v>22</v>
      </c>
      <c r="G135" t="s">
        <v>22</v>
      </c>
      <c r="H135" t="s">
        <v>3</v>
      </c>
      <c r="I135" t="s">
        <v>22</v>
      </c>
      <c r="J135" t="s">
        <v>22</v>
      </c>
      <c r="K135" t="s">
        <v>3</v>
      </c>
      <c r="L135" t="s">
        <v>3</v>
      </c>
      <c r="M135" t="s">
        <v>3</v>
      </c>
      <c r="N135" t="s">
        <v>3</v>
      </c>
      <c r="O135" t="s">
        <v>22</v>
      </c>
      <c r="P135" t="s">
        <v>3</v>
      </c>
      <c r="Q135" t="s">
        <v>3</v>
      </c>
      <c r="R135" t="s">
        <v>3</v>
      </c>
      <c r="S135" t="s">
        <v>700</v>
      </c>
      <c r="T135" t="s">
        <v>707</v>
      </c>
      <c r="U135" t="s">
        <v>701</v>
      </c>
    </row>
    <row r="136" spans="1:21" x14ac:dyDescent="0.2">
      <c r="A136">
        <v>376</v>
      </c>
      <c r="B136">
        <v>1</v>
      </c>
      <c r="C136" t="s">
        <v>3</v>
      </c>
      <c r="D136" t="s">
        <v>3</v>
      </c>
      <c r="E136" t="s">
        <v>22</v>
      </c>
      <c r="F136" t="s">
        <v>22</v>
      </c>
      <c r="G136" t="s">
        <v>22</v>
      </c>
      <c r="H136" t="s">
        <v>3</v>
      </c>
      <c r="I136" t="s">
        <v>22</v>
      </c>
      <c r="J136" t="s">
        <v>22</v>
      </c>
      <c r="K136" t="s">
        <v>3</v>
      </c>
      <c r="L136" t="s">
        <v>3</v>
      </c>
      <c r="M136" t="s">
        <v>3</v>
      </c>
      <c r="N136" t="s">
        <v>3</v>
      </c>
      <c r="O136" t="s">
        <v>22</v>
      </c>
      <c r="P136" t="s">
        <v>3</v>
      </c>
      <c r="Q136" t="s">
        <v>3</v>
      </c>
      <c r="R136" t="s">
        <v>3</v>
      </c>
      <c r="S136" t="s">
        <v>700</v>
      </c>
      <c r="T136" t="s">
        <v>707</v>
      </c>
      <c r="U136" t="s">
        <v>701</v>
      </c>
    </row>
    <row r="137" spans="1:21" x14ac:dyDescent="0.2">
      <c r="A137">
        <v>379</v>
      </c>
      <c r="B137">
        <v>1</v>
      </c>
      <c r="C137" t="s">
        <v>3</v>
      </c>
      <c r="D137" t="s">
        <v>3</v>
      </c>
      <c r="E137" t="s">
        <v>22</v>
      </c>
      <c r="F137" t="s">
        <v>22</v>
      </c>
      <c r="G137" t="s">
        <v>22</v>
      </c>
      <c r="H137" t="s">
        <v>3</v>
      </c>
      <c r="I137" t="s">
        <v>22</v>
      </c>
      <c r="J137" t="s">
        <v>22</v>
      </c>
      <c r="K137" t="s">
        <v>3</v>
      </c>
      <c r="L137" t="s">
        <v>3</v>
      </c>
      <c r="M137" t="s">
        <v>3</v>
      </c>
      <c r="N137" t="s">
        <v>3</v>
      </c>
      <c r="O137" t="s">
        <v>22</v>
      </c>
      <c r="P137" t="s">
        <v>3</v>
      </c>
      <c r="Q137" t="s">
        <v>3</v>
      </c>
      <c r="R137" t="s">
        <v>3</v>
      </c>
      <c r="S137" t="s">
        <v>700</v>
      </c>
      <c r="T137" t="s">
        <v>707</v>
      </c>
      <c r="U137" t="s">
        <v>701</v>
      </c>
    </row>
    <row r="138" spans="1:21" x14ac:dyDescent="0.2">
      <c r="A138">
        <v>380</v>
      </c>
      <c r="B138">
        <v>1</v>
      </c>
      <c r="C138" t="s">
        <v>3</v>
      </c>
      <c r="D138" t="s">
        <v>3</v>
      </c>
      <c r="E138" t="s">
        <v>22</v>
      </c>
      <c r="F138" t="s">
        <v>22</v>
      </c>
      <c r="G138" t="s">
        <v>22</v>
      </c>
      <c r="H138" t="s">
        <v>3</v>
      </c>
      <c r="I138" t="s">
        <v>22</v>
      </c>
      <c r="J138" t="s">
        <v>22</v>
      </c>
      <c r="K138" t="s">
        <v>3</v>
      </c>
      <c r="L138" t="s">
        <v>3</v>
      </c>
      <c r="M138" t="s">
        <v>3</v>
      </c>
      <c r="N138" t="s">
        <v>3</v>
      </c>
      <c r="O138" t="s">
        <v>22</v>
      </c>
      <c r="P138" t="s">
        <v>3</v>
      </c>
      <c r="Q138" t="s">
        <v>3</v>
      </c>
      <c r="R138" t="s">
        <v>3</v>
      </c>
      <c r="S138" t="s">
        <v>700</v>
      </c>
      <c r="T138" t="s">
        <v>707</v>
      </c>
      <c r="U138" t="s">
        <v>701</v>
      </c>
    </row>
    <row r="139" spans="1:21" x14ac:dyDescent="0.2">
      <c r="A139">
        <v>383</v>
      </c>
      <c r="B139">
        <v>1</v>
      </c>
      <c r="C139" t="s">
        <v>3</v>
      </c>
      <c r="D139" t="s">
        <v>3</v>
      </c>
      <c r="E139" t="s">
        <v>22</v>
      </c>
      <c r="F139" t="s">
        <v>22</v>
      </c>
      <c r="G139" t="s">
        <v>22</v>
      </c>
      <c r="H139" t="s">
        <v>3</v>
      </c>
      <c r="I139" t="s">
        <v>22</v>
      </c>
      <c r="J139" t="s">
        <v>22</v>
      </c>
      <c r="K139" t="s">
        <v>3</v>
      </c>
      <c r="L139" t="s">
        <v>3</v>
      </c>
      <c r="M139" t="s">
        <v>3</v>
      </c>
      <c r="N139" t="s">
        <v>3</v>
      </c>
      <c r="O139" t="s">
        <v>22</v>
      </c>
      <c r="P139" t="s">
        <v>3</v>
      </c>
      <c r="Q139" t="s">
        <v>3</v>
      </c>
      <c r="R139" t="s">
        <v>3</v>
      </c>
      <c r="S139" t="s">
        <v>700</v>
      </c>
      <c r="T139" t="s">
        <v>707</v>
      </c>
      <c r="U139" t="s">
        <v>701</v>
      </c>
    </row>
    <row r="140" spans="1:21" x14ac:dyDescent="0.2">
      <c r="A140">
        <v>384</v>
      </c>
      <c r="B140">
        <v>1</v>
      </c>
      <c r="C140" t="s">
        <v>3</v>
      </c>
      <c r="D140" t="s">
        <v>3</v>
      </c>
      <c r="E140" t="s">
        <v>22</v>
      </c>
      <c r="F140" t="s">
        <v>22</v>
      </c>
      <c r="G140" t="s">
        <v>22</v>
      </c>
      <c r="H140" t="s">
        <v>3</v>
      </c>
      <c r="I140" t="s">
        <v>22</v>
      </c>
      <c r="J140" t="s">
        <v>22</v>
      </c>
      <c r="K140" t="s">
        <v>3</v>
      </c>
      <c r="L140" t="s">
        <v>3</v>
      </c>
      <c r="M140" t="s">
        <v>3</v>
      </c>
      <c r="N140" t="s">
        <v>3</v>
      </c>
      <c r="O140" t="s">
        <v>22</v>
      </c>
      <c r="P140" t="s">
        <v>3</v>
      </c>
      <c r="Q140" t="s">
        <v>3</v>
      </c>
      <c r="R140" t="s">
        <v>3</v>
      </c>
      <c r="S140" t="s">
        <v>700</v>
      </c>
      <c r="T140" t="s">
        <v>707</v>
      </c>
      <c r="U140" t="s">
        <v>701</v>
      </c>
    </row>
    <row r="141" spans="1:21" x14ac:dyDescent="0.2">
      <c r="A141">
        <v>387</v>
      </c>
      <c r="B141">
        <v>1</v>
      </c>
      <c r="C141" t="s">
        <v>3</v>
      </c>
      <c r="D141" t="s">
        <v>3</v>
      </c>
      <c r="E141" t="s">
        <v>22</v>
      </c>
      <c r="F141" t="s">
        <v>22</v>
      </c>
      <c r="G141" t="s">
        <v>22</v>
      </c>
      <c r="H141" t="s">
        <v>3</v>
      </c>
      <c r="I141" t="s">
        <v>22</v>
      </c>
      <c r="J141" t="s">
        <v>22</v>
      </c>
      <c r="K141" t="s">
        <v>3</v>
      </c>
      <c r="L141" t="s">
        <v>3</v>
      </c>
      <c r="M141" t="s">
        <v>3</v>
      </c>
      <c r="N141" t="s">
        <v>3</v>
      </c>
      <c r="O141" t="s">
        <v>22</v>
      </c>
      <c r="P141" t="s">
        <v>3</v>
      </c>
      <c r="Q141" t="s">
        <v>3</v>
      </c>
      <c r="R141" t="s">
        <v>3</v>
      </c>
      <c r="S141" t="s">
        <v>700</v>
      </c>
      <c r="T141" t="s">
        <v>707</v>
      </c>
      <c r="U141" t="s">
        <v>701</v>
      </c>
    </row>
    <row r="142" spans="1:21" x14ac:dyDescent="0.2">
      <c r="A142">
        <v>388</v>
      </c>
      <c r="B142">
        <v>1</v>
      </c>
      <c r="C142" t="s">
        <v>3</v>
      </c>
      <c r="D142" t="s">
        <v>3</v>
      </c>
      <c r="E142" t="s">
        <v>22</v>
      </c>
      <c r="F142" t="s">
        <v>22</v>
      </c>
      <c r="G142" t="s">
        <v>22</v>
      </c>
      <c r="H142" t="s">
        <v>3</v>
      </c>
      <c r="I142" t="s">
        <v>22</v>
      </c>
      <c r="J142" t="s">
        <v>22</v>
      </c>
      <c r="K142" t="s">
        <v>3</v>
      </c>
      <c r="L142" t="s">
        <v>3</v>
      </c>
      <c r="M142" t="s">
        <v>3</v>
      </c>
      <c r="N142" t="s">
        <v>3</v>
      </c>
      <c r="O142" t="s">
        <v>22</v>
      </c>
      <c r="P142" t="s">
        <v>3</v>
      </c>
      <c r="Q142" t="s">
        <v>3</v>
      </c>
      <c r="R142" t="s">
        <v>3</v>
      </c>
      <c r="S142" t="s">
        <v>700</v>
      </c>
      <c r="T142" t="s">
        <v>707</v>
      </c>
      <c r="U142" t="s">
        <v>701</v>
      </c>
    </row>
    <row r="143" spans="1:21" x14ac:dyDescent="0.2">
      <c r="A143">
        <v>391</v>
      </c>
      <c r="B143">
        <v>1</v>
      </c>
      <c r="C143" t="s">
        <v>3</v>
      </c>
      <c r="D143" t="s">
        <v>3</v>
      </c>
      <c r="E143" t="s">
        <v>22</v>
      </c>
      <c r="F143" t="s">
        <v>22</v>
      </c>
      <c r="G143" t="s">
        <v>22</v>
      </c>
      <c r="H143" t="s">
        <v>3</v>
      </c>
      <c r="I143" t="s">
        <v>22</v>
      </c>
      <c r="J143" t="s">
        <v>22</v>
      </c>
      <c r="K143" t="s">
        <v>3</v>
      </c>
      <c r="L143" t="s">
        <v>3</v>
      </c>
      <c r="M143" t="s">
        <v>3</v>
      </c>
      <c r="N143" t="s">
        <v>3</v>
      </c>
      <c r="O143" t="s">
        <v>22</v>
      </c>
      <c r="P143" t="s">
        <v>3</v>
      </c>
      <c r="Q143" t="s">
        <v>3</v>
      </c>
      <c r="R143" t="s">
        <v>3</v>
      </c>
      <c r="S143" t="s">
        <v>700</v>
      </c>
      <c r="T143" t="s">
        <v>707</v>
      </c>
      <c r="U143" t="s">
        <v>701</v>
      </c>
    </row>
    <row r="144" spans="1:21" x14ac:dyDescent="0.2">
      <c r="A144">
        <v>392</v>
      </c>
      <c r="B144">
        <v>1</v>
      </c>
      <c r="C144" t="s">
        <v>3</v>
      </c>
      <c r="D144" t="s">
        <v>3</v>
      </c>
      <c r="E144" t="s">
        <v>22</v>
      </c>
      <c r="F144" t="s">
        <v>22</v>
      </c>
      <c r="G144" t="s">
        <v>22</v>
      </c>
      <c r="H144" t="s">
        <v>3</v>
      </c>
      <c r="I144" t="s">
        <v>22</v>
      </c>
      <c r="J144" t="s">
        <v>22</v>
      </c>
      <c r="K144" t="s">
        <v>3</v>
      </c>
      <c r="L144" t="s">
        <v>3</v>
      </c>
      <c r="M144" t="s">
        <v>3</v>
      </c>
      <c r="N144" t="s">
        <v>3</v>
      </c>
      <c r="O144" t="s">
        <v>22</v>
      </c>
      <c r="P144" t="s">
        <v>3</v>
      </c>
      <c r="Q144" t="s">
        <v>3</v>
      </c>
      <c r="R144" t="s">
        <v>3</v>
      </c>
      <c r="S144" t="s">
        <v>700</v>
      </c>
      <c r="T144" t="s">
        <v>707</v>
      </c>
      <c r="U144" t="s">
        <v>701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654F-DCC4-427E-B457-277540EF5D44}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75112</v>
      </c>
      <c r="M1">
        <v>10</v>
      </c>
      <c r="N1">
        <v>11</v>
      </c>
      <c r="O1">
        <v>15</v>
      </c>
      <c r="P1">
        <v>0</v>
      </c>
      <c r="Q1">
        <v>1</v>
      </c>
    </row>
    <row r="12" spans="1:103" x14ac:dyDescent="0.2">
      <c r="F12" t="str">
        <f>Source!F12</f>
        <v>02-01-01 КЛ - 10 кВ траншея</v>
      </c>
      <c r="G12" t="str">
        <f>Source!G12</f>
        <v xml:space="preserve">02-01-01 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доп.43</vt:lpstr>
      <vt:lpstr>Source</vt:lpstr>
      <vt:lpstr>SourceObSm</vt:lpstr>
      <vt:lpstr>SmtRes</vt:lpstr>
      <vt:lpstr>EtalonRes</vt:lpstr>
      <vt:lpstr>SrcPoprs</vt:lpstr>
      <vt:lpstr>SrcKA</vt:lpstr>
      <vt:lpstr>'Смета по ТСН-2001(с доп.43'!Заголовки_для_печати</vt:lpstr>
      <vt:lpstr>'Смета по ТСН-2001(с доп.43'!Область_печати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2025-10-21T07:29:00Z</dcterms:created>
  <dcterms:modified xsi:type="dcterms:W3CDTF">2025-10-21T07:30:40Z</dcterms:modified>
</cp:coreProperties>
</file>